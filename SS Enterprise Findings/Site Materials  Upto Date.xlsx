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2521" documentId="8_{A5E785E9-C163-4176-B291-3CAAD4CE20F2}" xr6:coauthVersionLast="47" xr6:coauthVersionMax="47" xr10:uidLastSave="{220AA2FA-BE9C-4849-B675-38785D8B7D29}"/>
  <bookViews>
    <workbookView xWindow="-108" yWindow="-108" windowWidth="23256" windowHeight="12456" activeTab="2" xr2:uid="{00000000-000D-0000-FFFF-FFFF00000000}"/>
  </bookViews>
  <sheets>
    <sheet name="Lab Sheet" sheetId="4" r:id="rId1"/>
    <sheet name="COMPANY LAB SUPPLY" sheetId="6" r:id="rId2"/>
    <sheet name="Hard Ware Materials" sheetId="1" r:id="rId3"/>
    <sheet name="JCB - Reading" sheetId="5" r:id="rId4"/>
    <sheet name="Bricks" sheetId="2" r:id="rId5"/>
    <sheet name="Tmt" sheetId="3" r:id="rId6"/>
    <sheet name="Concrect Ashoka" sheetId="7" r:id="rId7"/>
    <sheet name="Sheet1" sheetId="8" r:id="rId8"/>
    <sheet name="Mijanur Da Till-31.03.26" sheetId="9" r:id="rId9"/>
    <sheet name="Insan Lab" sheetId="10" r:id="rId10"/>
  </sheets>
  <definedNames>
    <definedName name="_xlnm._FilterDatabase" localSheetId="2" hidden="1">'Hard Ware Materials'!$A$2:$H$240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0" l="1"/>
  <c r="H21" i="10"/>
  <c r="H23" i="10"/>
  <c r="D16" i="10"/>
  <c r="H18" i="10" s="1"/>
  <c r="E16" i="10"/>
  <c r="H19" i="10" s="1"/>
  <c r="F16" i="10"/>
  <c r="H20" i="10" s="1"/>
  <c r="C16" i="10"/>
  <c r="H17" i="10" s="1"/>
  <c r="G16" i="10"/>
  <c r="H2" i="7"/>
  <c r="G2" i="7"/>
  <c r="L110" i="9"/>
  <c r="L168" i="1"/>
  <c r="G114" i="9"/>
  <c r="G113" i="9"/>
  <c r="G112" i="9"/>
  <c r="G111" i="9"/>
  <c r="C109" i="9"/>
  <c r="AA133" i="4"/>
  <c r="AA131" i="4"/>
  <c r="AA132" i="4"/>
  <c r="AA130" i="4"/>
  <c r="Y131" i="4"/>
  <c r="Y132" i="4"/>
  <c r="Y130" i="4"/>
  <c r="X131" i="4"/>
  <c r="X132" i="4"/>
  <c r="X130" i="4"/>
  <c r="W131" i="4"/>
  <c r="W132" i="4"/>
  <c r="W130" i="4"/>
  <c r="Z131" i="4"/>
  <c r="F10" i="5"/>
  <c r="H14" i="5"/>
  <c r="M196" i="1"/>
  <c r="K16" i="6"/>
  <c r="F20" i="6"/>
  <c r="E20" i="6"/>
  <c r="D20" i="6"/>
  <c r="C39" i="8"/>
  <c r="E39" i="8" s="1"/>
  <c r="C35" i="8"/>
  <c r="C34" i="8"/>
  <c r="K32" i="8"/>
  <c r="K28" i="8"/>
  <c r="K27" i="8"/>
  <c r="N25" i="8"/>
  <c r="K30" i="8" s="1"/>
  <c r="M25" i="8"/>
  <c r="K29" i="8" s="1"/>
  <c r="L25" i="8"/>
  <c r="K25" i="8"/>
  <c r="D25" i="8"/>
  <c r="E25" i="8"/>
  <c r="F25" i="8"/>
  <c r="C25" i="8"/>
  <c r="U95" i="4"/>
  <c r="V95" i="4"/>
  <c r="V94" i="4"/>
  <c r="V93" i="4"/>
  <c r="U93" i="4"/>
  <c r="U91" i="4"/>
  <c r="U90" i="4"/>
  <c r="H240" i="1"/>
  <c r="H239" i="1"/>
  <c r="H238" i="1"/>
  <c r="H237" i="1"/>
  <c r="H236" i="1"/>
  <c r="H235" i="1"/>
  <c r="H234" i="1"/>
  <c r="H233" i="1"/>
  <c r="H231" i="1"/>
  <c r="L8" i="5"/>
  <c r="F8" i="5"/>
  <c r="F6" i="5"/>
  <c r="F14" i="6"/>
  <c r="E14" i="6"/>
  <c r="D14" i="6"/>
  <c r="N152" i="1"/>
  <c r="H230" i="1"/>
  <c r="H229" i="1"/>
  <c r="H227" i="1"/>
  <c r="H228" i="1"/>
  <c r="G227" i="1"/>
  <c r="H226" i="1"/>
  <c r="H225" i="1"/>
  <c r="H221" i="1"/>
  <c r="H222" i="1"/>
  <c r="H223" i="1"/>
  <c r="H224" i="1"/>
  <c r="H217" i="1"/>
  <c r="H218" i="1"/>
  <c r="H219" i="1"/>
  <c r="H220" i="1"/>
  <c r="G220" i="1"/>
  <c r="H216" i="1"/>
  <c r="H212" i="1"/>
  <c r="H213" i="1"/>
  <c r="H211" i="1"/>
  <c r="G211" i="1"/>
  <c r="H210" i="1"/>
  <c r="H209" i="1"/>
  <c r="H208" i="1"/>
  <c r="G208" i="1"/>
  <c r="H207" i="1"/>
  <c r="H206" i="1"/>
  <c r="G206" i="1"/>
  <c r="H205" i="1"/>
  <c r="H204" i="1"/>
  <c r="H203" i="1"/>
  <c r="H202" i="1"/>
  <c r="G202" i="1"/>
  <c r="H201" i="1"/>
  <c r="G201" i="1"/>
  <c r="H200" i="1"/>
  <c r="H199" i="1"/>
  <c r="H198" i="1"/>
  <c r="H197" i="1"/>
  <c r="H196" i="1"/>
  <c r="H194" i="1"/>
  <c r="H195" i="1"/>
  <c r="H193" i="1"/>
  <c r="G193" i="1"/>
  <c r="H192" i="1"/>
  <c r="H191" i="1"/>
  <c r="G191" i="1"/>
  <c r="H190" i="1"/>
  <c r="H189" i="1"/>
  <c r="H188" i="1"/>
  <c r="H184" i="1"/>
  <c r="H185" i="1"/>
  <c r="H186" i="1"/>
  <c r="H187" i="1"/>
  <c r="H183" i="1"/>
  <c r="H162" i="1"/>
  <c r="G154" i="1"/>
  <c r="G3" i="4"/>
  <c r="F3" i="5"/>
  <c r="I5" i="3"/>
  <c r="I4" i="3"/>
  <c r="J4" i="3" s="1"/>
  <c r="I3" i="3"/>
  <c r="J3" i="3" s="1"/>
  <c r="G143" i="1"/>
  <c r="G126" i="1"/>
  <c r="G135" i="1"/>
  <c r="G130" i="1"/>
  <c r="G127" i="1"/>
  <c r="G125" i="1"/>
  <c r="G124" i="1"/>
  <c r="G118" i="1"/>
  <c r="G115" i="9" l="1"/>
  <c r="G119" i="9" s="1"/>
  <c r="K31" i="8"/>
  <c r="K33" i="8" s="1"/>
  <c r="K5" i="3"/>
  <c r="K4" i="3"/>
  <c r="J5" i="3"/>
  <c r="K3" i="3"/>
  <c r="H50" i="1" l="1"/>
  <c r="H49" i="1"/>
  <c r="H48" i="1"/>
  <c r="H47" i="1"/>
  <c r="H46" i="1"/>
  <c r="H45" i="1"/>
  <c r="H44" i="1"/>
  <c r="H43" i="1"/>
  <c r="H42" i="1"/>
  <c r="H41" i="1"/>
  <c r="H40" i="1"/>
  <c r="H36" i="1"/>
  <c r="H37" i="1"/>
  <c r="H38" i="1"/>
  <c r="H39" i="1"/>
  <c r="H35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0" i="1"/>
  <c r="H8" i="1"/>
  <c r="H9" i="1"/>
  <c r="H11" i="1"/>
  <c r="H12" i="1"/>
  <c r="H13" i="1"/>
  <c r="H7" i="1"/>
  <c r="H4" i="1"/>
  <c r="H5" i="1"/>
  <c r="H6" i="1"/>
  <c r="H3" i="1"/>
  <c r="H99" i="1" l="1"/>
  <c r="H90" i="1"/>
  <c r="H113" i="1" l="1"/>
  <c r="H114" i="1"/>
  <c r="H115" i="1"/>
  <c r="H112" i="1"/>
  <c r="H108" i="1" l="1"/>
  <c r="H1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tc={08AA8DEE-A2C9-414D-89DA-6292CD599D19}</author>
    <author>tc={9797FC6C-F1D5-448F-B193-4C3A0F74D623}</author>
    <author>tc={04923A12-B843-47EF-B459-FCCF692C6C0B}</author>
    <author>tc={119F2469-A31C-47E9-AFEB-AC010D801D02}</author>
  </authors>
  <commentList>
    <comment ref="L24" authorId="0" shapeId="0" xr:uid="{08AA8DEE-A2C9-414D-89DA-6292CD599D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400 site exp 3000 rupees for traveling exp 4 head lab
</t>
      </text>
    </comment>
    <comment ref="Q48" authorId="1" shapeId="0" xr:uid="{9797FC6C-F1D5-448F-B193-4C3A0F74D6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Travelling Exp 5 Head Lab
</t>
      </text>
    </comment>
    <comment ref="Q58" authorId="2" shapeId="0" xr:uid="{04923A12-B843-47EF-B459-FCCF692C6C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Office Advs Prallad Hand In Emami
</t>
      </text>
    </comment>
    <comment ref="Q66" authorId="3" shapeId="0" xr:uid="{119F2469-A31C-47E9-AFEB-AC010D801D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Office advs prallad hand in emami 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tc={1E5720B8-1AD5-409E-B76C-B407813BFDDF}</author>
  </authors>
  <commentList>
    <comment ref="G3" authorId="0" shapeId="0" xr:uid="{1E5720B8-1AD5-409E-B76C-B407813BFD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400 site exp 3000 rupees for traveling exp 4 head lab
</t>
      </text>
    </comment>
  </commentList>
</comments>
</file>

<file path=xl/sharedStrings.xml><?xml version="1.0" encoding="utf-8"?>
<sst xmlns="http://schemas.openxmlformats.org/spreadsheetml/2006/main" count="948" uniqueCount="409">
  <si>
    <t>8" X 3'X0.30MM</t>
  </si>
  <si>
    <t>10"X3'X0.30MM</t>
  </si>
  <si>
    <t>PCS</t>
  </si>
  <si>
    <t>8'X3'</t>
  </si>
  <si>
    <t>GI SHEET</t>
  </si>
  <si>
    <t>NOS</t>
  </si>
  <si>
    <t>GI WIRE</t>
  </si>
  <si>
    <t>BELCHA</t>
  </si>
  <si>
    <t>CEMENT RAMCO</t>
  </si>
  <si>
    <t>BAG</t>
  </si>
  <si>
    <t>K.G</t>
  </si>
  <si>
    <t>KONNIK</t>
  </si>
  <si>
    <t>PLY</t>
  </si>
  <si>
    <t>2"</t>
  </si>
  <si>
    <t>PAREK</t>
  </si>
  <si>
    <t>3"</t>
  </si>
  <si>
    <t>6"</t>
  </si>
  <si>
    <t>4"</t>
  </si>
  <si>
    <t>PIS</t>
  </si>
  <si>
    <t>30-MTR</t>
  </si>
  <si>
    <t>COCONUT ROPE</t>
  </si>
  <si>
    <t>1'</t>
  </si>
  <si>
    <t>HERPIC+BRASS</t>
  </si>
  <si>
    <t>1+1</t>
  </si>
  <si>
    <t>3'</t>
  </si>
  <si>
    <t>DRAM</t>
  </si>
  <si>
    <t>BALTI ,MOG</t>
  </si>
  <si>
    <t>18X16</t>
  </si>
  <si>
    <t>TERPOL</t>
  </si>
  <si>
    <t>POLE THINE</t>
  </si>
  <si>
    <t>7 MTR</t>
  </si>
  <si>
    <t>ALUCHILA ,CHURI</t>
  </si>
  <si>
    <t>KHATA</t>
  </si>
  <si>
    <t>PEN</t>
  </si>
  <si>
    <t>8"</t>
  </si>
  <si>
    <t>MERBLE CUTTER MACHINE</t>
  </si>
  <si>
    <t>BLADE</t>
  </si>
  <si>
    <t>-</t>
  </si>
  <si>
    <t>BATTAM</t>
  </si>
  <si>
    <t>1.5"</t>
  </si>
  <si>
    <t>GAMLA</t>
  </si>
  <si>
    <t>Rate</t>
  </si>
  <si>
    <t>Amount</t>
  </si>
  <si>
    <t>Unit</t>
  </si>
  <si>
    <t>Qty</t>
  </si>
  <si>
    <t>Description</t>
  </si>
  <si>
    <t>Size - Details</t>
  </si>
  <si>
    <t>Date</t>
  </si>
  <si>
    <t>Sl No</t>
  </si>
  <si>
    <t>Odisha Site Material Book</t>
  </si>
  <si>
    <t>Nail</t>
  </si>
  <si>
    <t>Meter Tape</t>
  </si>
  <si>
    <t>Hesco Lock</t>
  </si>
  <si>
    <t>Hesco Frame</t>
  </si>
  <si>
    <t>Hesco Blade</t>
  </si>
  <si>
    <t>File</t>
  </si>
  <si>
    <t>Coconut Rope</t>
  </si>
  <si>
    <t>Sabol</t>
  </si>
  <si>
    <t>Hammer</t>
  </si>
  <si>
    <t>Handle</t>
  </si>
  <si>
    <t>Kodal</t>
  </si>
  <si>
    <t>Kgs</t>
  </si>
  <si>
    <t>Pcs</t>
  </si>
  <si>
    <t>Bundle</t>
  </si>
  <si>
    <t>Bamboo</t>
  </si>
  <si>
    <t>GI Wire</t>
  </si>
  <si>
    <t>Chain</t>
  </si>
  <si>
    <t>Moby Lock</t>
  </si>
  <si>
    <t>Washer</t>
  </si>
  <si>
    <t>Nos</t>
  </si>
  <si>
    <t>Gram</t>
  </si>
  <si>
    <t>5-MTR</t>
  </si>
  <si>
    <t>Sheet</t>
  </si>
  <si>
    <t>Ply</t>
  </si>
  <si>
    <t>14 Ft</t>
  </si>
  <si>
    <t>8 Ft</t>
  </si>
  <si>
    <t>10 Ft</t>
  </si>
  <si>
    <t>Sf Battery</t>
  </si>
  <si>
    <t>Exide Solar</t>
  </si>
  <si>
    <t>Wioc</t>
  </si>
  <si>
    <t>Convert</t>
  </si>
  <si>
    <t>Bulb</t>
  </si>
  <si>
    <t>Wix</t>
  </si>
  <si>
    <t>Plastic Container</t>
  </si>
  <si>
    <t>TATA G C SHEET</t>
  </si>
  <si>
    <t>SINGEL KAMAL</t>
  </si>
  <si>
    <t>SINGAL COVER</t>
  </si>
  <si>
    <t>PAI PILLOW</t>
  </si>
  <si>
    <t>PILLOW</t>
  </si>
  <si>
    <t>STEEL DOSTA</t>
  </si>
  <si>
    <t>ALUMINIUM BHAVINE</t>
  </si>
  <si>
    <t>ALUMINIUM KEULI</t>
  </si>
  <si>
    <t>STEEL/JHULI</t>
  </si>
  <si>
    <t>GLASS</t>
  </si>
  <si>
    <t>STEEL SPOON</t>
  </si>
  <si>
    <t>MAT</t>
  </si>
  <si>
    <t>BROOM</t>
  </si>
  <si>
    <t>DUST PAN</t>
  </si>
  <si>
    <t>GI SHEET(40)</t>
  </si>
  <si>
    <t>14'X4'</t>
  </si>
  <si>
    <t>12'X4'</t>
  </si>
  <si>
    <t>8'X4'</t>
  </si>
  <si>
    <t>NAILS</t>
  </si>
  <si>
    <t>KGS</t>
  </si>
  <si>
    <t>HEMMA (KRATEN)</t>
  </si>
  <si>
    <t>LAKO PHOUQA</t>
  </si>
  <si>
    <t>WITH HED</t>
  </si>
  <si>
    <t>TK</t>
  </si>
  <si>
    <t>GI PELLA GANT</t>
  </si>
  <si>
    <t>M S POGRIDI GANTE</t>
  </si>
  <si>
    <t>8MM</t>
  </si>
  <si>
    <t>10MM</t>
  </si>
  <si>
    <t>12MM</t>
  </si>
  <si>
    <t>BELCHE</t>
  </si>
  <si>
    <t>TALA CORBA</t>
  </si>
  <si>
    <t>DO-PIN</t>
  </si>
  <si>
    <t>BALLON</t>
  </si>
  <si>
    <t>SCALE</t>
  </si>
  <si>
    <t>FLUIK PEN</t>
  </si>
  <si>
    <t>PENCIL,ERASER &amp; SHAPNER</t>
  </si>
  <si>
    <t>SET</t>
  </si>
  <si>
    <t>SPEK</t>
  </si>
  <si>
    <t>WATER HEADER</t>
  </si>
  <si>
    <t>DOSHTOR KHAN</t>
  </si>
  <si>
    <t>LOCK</t>
  </si>
  <si>
    <t>BOTOL</t>
  </si>
  <si>
    <t>PEN CUP</t>
  </si>
  <si>
    <t>KNEY (POSSIBLY KNIFE)</t>
  </si>
  <si>
    <t>DICE</t>
  </si>
  <si>
    <t>STABLER</t>
  </si>
  <si>
    <t>POCKET BOOK</t>
  </si>
  <si>
    <t>MIRROR</t>
  </si>
  <si>
    <t>OFFICE FILE</t>
  </si>
  <si>
    <t>BALAPOSH</t>
  </si>
  <si>
    <t xml:space="preserve">DUST BIN </t>
  </si>
  <si>
    <t>THALI</t>
  </si>
  <si>
    <t>BAMBOO</t>
  </si>
  <si>
    <t>Line Rope</t>
  </si>
  <si>
    <t xml:space="preserve">SR NO </t>
  </si>
  <si>
    <t>DATE</t>
  </si>
  <si>
    <t>BRAND</t>
  </si>
  <si>
    <t>CAR NO</t>
  </si>
  <si>
    <t xml:space="preserve">BRICKS </t>
  </si>
  <si>
    <t>DESCRIPTION</t>
  </si>
  <si>
    <t>Red Bricks</t>
  </si>
  <si>
    <t>Tractor</t>
  </si>
  <si>
    <t>Odisha Site</t>
  </si>
  <si>
    <t>10mm wire</t>
  </si>
  <si>
    <t>90mtr</t>
  </si>
  <si>
    <t>16A Top</t>
  </si>
  <si>
    <t>6A soket</t>
  </si>
  <si>
    <t>6A Switch</t>
  </si>
  <si>
    <t>4m Board</t>
  </si>
  <si>
    <t>12mm Board</t>
  </si>
  <si>
    <t>16A A Switch</t>
  </si>
  <si>
    <t>16A Scoket</t>
  </si>
  <si>
    <t>1.0m 3 core wire</t>
  </si>
  <si>
    <t>30w bulb</t>
  </si>
  <si>
    <t>40w bulb</t>
  </si>
  <si>
    <t>P.holder</t>
  </si>
  <si>
    <t>Black Tape</t>
  </si>
  <si>
    <t>32A MCB</t>
  </si>
  <si>
    <t>Mcb Box</t>
  </si>
  <si>
    <t>Wire Cutter</t>
  </si>
  <si>
    <t>Tester</t>
  </si>
  <si>
    <t>1.0m Wire</t>
  </si>
  <si>
    <t>33mtr</t>
  </si>
  <si>
    <t>60mtr</t>
  </si>
  <si>
    <t>Shuttering Ply</t>
  </si>
  <si>
    <t>8 x 4</t>
  </si>
  <si>
    <t xml:space="preserve">Battam </t>
  </si>
  <si>
    <t>8 x 2.5 x 1.5</t>
  </si>
  <si>
    <t>Lock</t>
  </si>
  <si>
    <t>Jharu</t>
  </si>
  <si>
    <t>nail</t>
  </si>
  <si>
    <t>Lime</t>
  </si>
  <si>
    <t>Size</t>
  </si>
  <si>
    <t>Payment</t>
  </si>
  <si>
    <t>Online - Sanju A/C Abindra Supia</t>
  </si>
  <si>
    <t>Tmt</t>
  </si>
  <si>
    <t>Rashmi To Odisha Site</t>
  </si>
  <si>
    <t>8mm</t>
  </si>
  <si>
    <t>Tmt Bar 8mm (FE-550D)</t>
  </si>
  <si>
    <t>Rate(Mt)</t>
  </si>
  <si>
    <t>Gst (18%)</t>
  </si>
  <si>
    <t>Sub Total</t>
  </si>
  <si>
    <t>NL01AG1796</t>
  </si>
  <si>
    <t>Tmt Bar 10mm (FE-550D)</t>
  </si>
  <si>
    <t>Tmt Bar 12mm (FE-550D)</t>
  </si>
  <si>
    <t>BILL NO</t>
  </si>
  <si>
    <t>702925041579</t>
  </si>
  <si>
    <t>702925041672</t>
  </si>
  <si>
    <t>Cutter Machine</t>
  </si>
  <si>
    <t>Cutter Blade</t>
  </si>
  <si>
    <t xml:space="preserve">Dice </t>
  </si>
  <si>
    <t>Dice</t>
  </si>
  <si>
    <t>12mm</t>
  </si>
  <si>
    <t>Chak</t>
  </si>
  <si>
    <t>Box</t>
  </si>
  <si>
    <t>Pump Pipe</t>
  </si>
  <si>
    <t>90Mtr</t>
  </si>
  <si>
    <t>Roll</t>
  </si>
  <si>
    <t>Bush</t>
  </si>
  <si>
    <t>2" x 1"</t>
  </si>
  <si>
    <t xml:space="preserve">1" </t>
  </si>
  <si>
    <t>FTA</t>
  </si>
  <si>
    <t>os Nipple</t>
  </si>
  <si>
    <t>Sl NO</t>
  </si>
  <si>
    <t>Starting (H)</t>
  </si>
  <si>
    <t>Ending (H)</t>
  </si>
  <si>
    <t>Working(H)</t>
  </si>
  <si>
    <t>Pokhlain - Blue</t>
  </si>
  <si>
    <t>JCB - Reading</t>
  </si>
  <si>
    <t>SL No</t>
  </si>
  <si>
    <t>Mason</t>
  </si>
  <si>
    <t>Helper</t>
  </si>
  <si>
    <t>Mason-Type</t>
  </si>
  <si>
    <t>Helper -Type</t>
  </si>
  <si>
    <t>Sabir</t>
  </si>
  <si>
    <t>Ashit Da</t>
  </si>
  <si>
    <t>Advs</t>
  </si>
  <si>
    <t>Carpenter</t>
  </si>
  <si>
    <t>Payment Done - Chapter Close</t>
  </si>
  <si>
    <t>Civil</t>
  </si>
  <si>
    <t>Greenply</t>
  </si>
  <si>
    <t>Odisha Site to  Abindra Supia</t>
  </si>
  <si>
    <t>Glass</t>
  </si>
  <si>
    <t>Thali</t>
  </si>
  <si>
    <t>Knife</t>
  </si>
  <si>
    <t xml:space="preserve">BALTI </t>
  </si>
  <si>
    <t>Disel Compaction</t>
  </si>
  <si>
    <t>Disel Vivador fullu set</t>
  </si>
  <si>
    <t>Level Machine</t>
  </si>
  <si>
    <t xml:space="preserve">Site Exp As Per Site Copy </t>
  </si>
  <si>
    <t>Prallad</t>
  </si>
  <si>
    <t>OT-4</t>
  </si>
  <si>
    <t>OT-2</t>
  </si>
  <si>
    <t>OT-8</t>
  </si>
  <si>
    <t>OT-6</t>
  </si>
  <si>
    <t>X</t>
  </si>
  <si>
    <t>Elc Wire</t>
  </si>
  <si>
    <t>Coil</t>
  </si>
  <si>
    <t>Blade</t>
  </si>
  <si>
    <t>Blade 4"</t>
  </si>
  <si>
    <t>Male/Female Jack</t>
  </si>
  <si>
    <t>GI Gamla</t>
  </si>
  <si>
    <t>GI Tayadi</t>
  </si>
  <si>
    <t>Banding wire</t>
  </si>
  <si>
    <t>Bucket</t>
  </si>
  <si>
    <t>Mug</t>
  </si>
  <si>
    <t>Pikashi with handle</t>
  </si>
  <si>
    <t>Small Sal Bollah</t>
  </si>
  <si>
    <t>Nut Bolt 12/13</t>
  </si>
  <si>
    <t>Range 12/13</t>
  </si>
  <si>
    <t>JCB</t>
  </si>
  <si>
    <t>Water Level Pipe</t>
  </si>
  <si>
    <t>Mtr</t>
  </si>
  <si>
    <t>Curing Bag</t>
  </si>
  <si>
    <t>Helmet</t>
  </si>
  <si>
    <t>Safety shoes</t>
  </si>
  <si>
    <t>Safety jacket</t>
  </si>
  <si>
    <t>Garden Pipe</t>
  </si>
  <si>
    <t>Join pipe</t>
  </si>
  <si>
    <t>Jacket</t>
  </si>
  <si>
    <t>Marker pen</t>
  </si>
  <si>
    <t xml:space="preserve">Breaker </t>
  </si>
  <si>
    <t>Attendance Card</t>
  </si>
  <si>
    <t>Chair</t>
  </si>
  <si>
    <t>Black Sunglass</t>
  </si>
  <si>
    <t>B-Glass</t>
  </si>
  <si>
    <t>Cable holder</t>
  </si>
  <si>
    <t xml:space="preserve">Cable </t>
  </si>
  <si>
    <t>Right Angle</t>
  </si>
  <si>
    <t>5m Tape</t>
  </si>
  <si>
    <t>30m Tape</t>
  </si>
  <si>
    <t>4" cut wheel</t>
  </si>
  <si>
    <t>Granding Wheel</t>
  </si>
  <si>
    <t>14" Cutitng Wheel</t>
  </si>
  <si>
    <t>Chalk Pencil</t>
  </si>
  <si>
    <t>Pkt</t>
  </si>
  <si>
    <t>Welding Rod</t>
  </si>
  <si>
    <t>16 Board</t>
  </si>
  <si>
    <t>Battam (8 x 2.5 x 1.5)</t>
  </si>
  <si>
    <t>Plus</t>
  </si>
  <si>
    <t xml:space="preserve">Blanket </t>
  </si>
  <si>
    <t>Safety Shoes</t>
  </si>
  <si>
    <t>6 Am 3 Pin Top</t>
  </si>
  <si>
    <t>16 Am 3 Pin Top</t>
  </si>
  <si>
    <t>Vivator 55 Watt</t>
  </si>
  <si>
    <t>120 Watt Led Flod Light</t>
  </si>
  <si>
    <t>Level Megnetic</t>
  </si>
  <si>
    <t>Hand Gloves</t>
  </si>
  <si>
    <t xml:space="preserve">Kodal </t>
  </si>
  <si>
    <t>Plastic</t>
  </si>
  <si>
    <t>SL NO</t>
  </si>
  <si>
    <t xml:space="preserve">DESCRIPTION </t>
  </si>
  <si>
    <t>M</t>
  </si>
  <si>
    <t>L</t>
  </si>
  <si>
    <t>Odisha Gp Supply</t>
  </si>
  <si>
    <t>Company Supply</t>
  </si>
  <si>
    <t xml:space="preserve">Greenply </t>
  </si>
  <si>
    <t>Total</t>
  </si>
  <si>
    <t>x</t>
  </si>
  <si>
    <t>OT-9</t>
  </si>
  <si>
    <t>Pokhlain</t>
  </si>
  <si>
    <t>Breaker</t>
  </si>
  <si>
    <t>Jcb</t>
  </si>
  <si>
    <t>Hour</t>
  </si>
  <si>
    <t xml:space="preserve">Total </t>
  </si>
  <si>
    <t>Odisha Jcb &amp; Pokhlain</t>
  </si>
  <si>
    <t>Remarks</t>
  </si>
  <si>
    <t>Rate &amp; Hour as per Site details</t>
  </si>
  <si>
    <t xml:space="preserve">Drill Bit </t>
  </si>
  <si>
    <t>Ply Board</t>
  </si>
  <si>
    <t xml:space="preserve"> 44" x 44"</t>
  </si>
  <si>
    <t xml:space="preserve">Angle Grinder </t>
  </si>
  <si>
    <t>Elc Tape</t>
  </si>
  <si>
    <t>Bit</t>
  </si>
  <si>
    <t xml:space="preserve">Date </t>
  </si>
  <si>
    <t>Loaction</t>
  </si>
  <si>
    <t>Grade</t>
  </si>
  <si>
    <t>Slump (mm)</t>
  </si>
  <si>
    <t>Qty (m3)</t>
  </si>
  <si>
    <t>Pcc</t>
  </si>
  <si>
    <t>Rcc</t>
  </si>
  <si>
    <t>WELDER</t>
  </si>
  <si>
    <t>HELPER</t>
  </si>
  <si>
    <t xml:space="preserve">WELDER OT </t>
  </si>
  <si>
    <t xml:space="preserve">HELPER OT </t>
  </si>
  <si>
    <t xml:space="preserve">REMAKRS </t>
  </si>
  <si>
    <t>Duty Time</t>
  </si>
  <si>
    <t>8 am to 7 pm</t>
  </si>
  <si>
    <t>8 am to 1pm</t>
  </si>
  <si>
    <t>8 am to 9.30 pm</t>
  </si>
  <si>
    <t>7 am to 5 pm</t>
  </si>
  <si>
    <t>7.30 am to 7.30 pm</t>
  </si>
  <si>
    <t>7 am to 8.30 pm</t>
  </si>
  <si>
    <t>7 am to 7 pm</t>
  </si>
  <si>
    <t>7 am to 8 pm</t>
  </si>
  <si>
    <t>7.30 to 2.30 pm</t>
  </si>
  <si>
    <t>7.30 am to 9 pm</t>
  </si>
  <si>
    <t>8 am to 5 pm</t>
  </si>
  <si>
    <t>8 am to 9.15 pm</t>
  </si>
  <si>
    <t>8 am to 8 pm</t>
  </si>
  <si>
    <t>7 am to 11.30 pm</t>
  </si>
  <si>
    <t>8 am to 8pm</t>
  </si>
  <si>
    <t>Total - 1 Hour Work</t>
  </si>
  <si>
    <t xml:space="preserve">MAFIJUL WELDER &amp; HELPER AS PER ODISHA SITE </t>
  </si>
  <si>
    <t xml:space="preserve">AS PER MAFIJUL SK </t>
  </si>
  <si>
    <t>TOTAL WELDER @ 750</t>
  </si>
  <si>
    <t>TOTAL HELPER @ 550</t>
  </si>
  <si>
    <t>TOTAL WELDER OT @ 93.75</t>
  </si>
  <si>
    <t>TOTAL HELPER OT @ 68.75</t>
  </si>
  <si>
    <t>TOTAL AMOUNT</t>
  </si>
  <si>
    <t xml:space="preserve">LESS : ADVS </t>
  </si>
  <si>
    <t xml:space="preserve">TOTAL DUE </t>
  </si>
  <si>
    <t>REMARKS</t>
  </si>
  <si>
    <t>Site Advs</t>
  </si>
  <si>
    <t>Train Exp করার পর বেশি হইছিলো</t>
  </si>
  <si>
    <t xml:space="preserve">Note : Train Exp 2 Head :   Ticket - 1200,Food - 400,Auto - 500 </t>
  </si>
  <si>
    <t>Jcb For Greenply-2.1 &amp; ashoka -3 Rock Boulder Shifting</t>
  </si>
  <si>
    <t>JCB Cutting/Back Filling</t>
  </si>
  <si>
    <t>Mason-Ot</t>
  </si>
  <si>
    <t>Helper -Ot</t>
  </si>
  <si>
    <t>M-OT</t>
  </si>
  <si>
    <t>L-OT</t>
  </si>
  <si>
    <t>RIYAZ</t>
  </si>
  <si>
    <t xml:space="preserve">UPTO </t>
  </si>
  <si>
    <t>AS PER MIZANUR DA</t>
  </si>
  <si>
    <t>31.03.26</t>
  </si>
  <si>
    <t xml:space="preserve">ALL TOTAL </t>
  </si>
  <si>
    <t xml:space="preserve">OT M </t>
  </si>
  <si>
    <t>OT L</t>
  </si>
  <si>
    <t xml:space="preserve">OFFICE ADVS </t>
  </si>
  <si>
    <t xml:space="preserve">SITE ADVS </t>
  </si>
  <si>
    <t xml:space="preserve">FOOD BY MIZANUR DA 2 WEEK </t>
  </si>
  <si>
    <t>Mason-OT</t>
  </si>
  <si>
    <t>Helper -OT</t>
  </si>
  <si>
    <t xml:space="preserve">TOTAL </t>
  </si>
  <si>
    <t>TOTAL HELPER @ 620</t>
  </si>
  <si>
    <t>TOTAL MASON @ 750</t>
  </si>
  <si>
    <t>TOTAL MASON OT @ 93.75</t>
  </si>
  <si>
    <t>TOTAL HELPER OT @ 77.5</t>
  </si>
  <si>
    <t>LESS : OFFICE ADVS</t>
  </si>
  <si>
    <t xml:space="preserve">LESS : SITE ADVS </t>
  </si>
  <si>
    <t xml:space="preserve">TOTAL DUE AMOUNT </t>
  </si>
  <si>
    <t xml:space="preserve">Add : Fooding </t>
  </si>
  <si>
    <t xml:space="preserve">Dibakar </t>
  </si>
  <si>
    <t>Rupchand</t>
  </si>
  <si>
    <t xml:space="preserve">Bapi </t>
  </si>
  <si>
    <t>Duty</t>
  </si>
  <si>
    <t>09/03/26 to 26/04/26</t>
  </si>
  <si>
    <t>OT</t>
  </si>
  <si>
    <t>Ot</t>
  </si>
  <si>
    <t>Due</t>
  </si>
  <si>
    <t>Note : As per Mijanur Da Total Mason 117.5 Head &amp; Helper 76 Head</t>
  </si>
  <si>
    <t>Labour</t>
  </si>
  <si>
    <t>Office Advs</t>
  </si>
  <si>
    <t>M-Ot (H)</t>
  </si>
  <si>
    <t>L-ot (H)</t>
  </si>
  <si>
    <t>Less : Office Advs</t>
  </si>
  <si>
    <t>Less : Site Advs</t>
  </si>
  <si>
    <t>Total Due :</t>
  </si>
  <si>
    <t>Total Mason @ 750</t>
  </si>
  <si>
    <t>Total Helper @ 600</t>
  </si>
  <si>
    <t>Total Mason -ot @ 93.75</t>
  </si>
  <si>
    <t>Total Helper -ot @ 75</t>
  </si>
  <si>
    <t>Total Amount</t>
  </si>
  <si>
    <t>Insan / Rajjak Odisha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</si>
</sst>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6"/>
      <color theme="1"/>
      <name val="Arial Black"/>
      <family val="2"/>
    </font>
    <font>
      <b/>
      <i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43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43" fontId="1" fillId="0" borderId="1" xfId="1" applyFont="1" applyFill="1" applyBorder="1"/>
    <xf numFmtId="43" fontId="0" fillId="0" borderId="1" xfId="1" applyFont="1" applyBorder="1"/>
    <xf numFmtId="43" fontId="0" fillId="0" borderId="1" xfId="1" applyFont="1" applyFill="1" applyBorder="1"/>
    <xf numFmtId="43" fontId="0" fillId="0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3" fillId="0" borderId="0" xfId="1" applyFont="1"/>
    <xf numFmtId="1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3" fontId="1" fillId="0" borderId="0" xfId="1" applyFont="1"/>
    <xf numFmtId="43" fontId="1" fillId="0" borderId="1" xfId="1" applyFont="1" applyBorder="1"/>
    <xf numFmtId="0" fontId="0" fillId="0" borderId="4" xfId="0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43" fontId="0" fillId="0" borderId="4" xfId="1" applyFont="1" applyBorder="1" applyAlignment="1">
      <alignment horizontal="center"/>
    </xf>
    <xf numFmtId="14" fontId="0" fillId="0" borderId="1" xfId="0" quotePrefix="1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3" fontId="3" fillId="3" borderId="1" xfId="0" applyNumberFormat="1" applyFont="1" applyFill="1" applyBorder="1"/>
    <xf numFmtId="0" fontId="0" fillId="3" borderId="1" xfId="0" applyFill="1" applyBorder="1"/>
    <xf numFmtId="43" fontId="1" fillId="0" borderId="1" xfId="1" applyFont="1" applyBorder="1" applyAlignment="1">
      <alignment horizontal="right"/>
    </xf>
    <xf numFmtId="14" fontId="0" fillId="0" borderId="0" xfId="0" applyNumberFormat="1"/>
    <xf numFmtId="0" fontId="3" fillId="0" borderId="1" xfId="0" applyFont="1" applyBorder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43" fontId="0" fillId="0" borderId="1" xfId="0" applyNumberFormat="1" applyBorder="1"/>
    <xf numFmtId="0" fontId="3" fillId="7" borderId="1" xfId="0" applyFont="1" applyFill="1" applyBorder="1" applyAlignment="1">
      <alignment horizontal="center"/>
    </xf>
    <xf numFmtId="43" fontId="3" fillId="7" borderId="1" xfId="0" applyNumberFormat="1" applyFont="1" applyFill="1" applyBorder="1"/>
    <xf numFmtId="0" fontId="3" fillId="3" borderId="1" xfId="0" applyFont="1" applyFill="1" applyBorder="1"/>
    <xf numFmtId="43" fontId="3" fillId="7" borderId="1" xfId="1" applyFont="1" applyFill="1" applyBorder="1" applyAlignment="1">
      <alignment horizontal="center"/>
    </xf>
    <xf numFmtId="43" fontId="12" fillId="0" borderId="1" xfId="1" applyFont="1" applyBorder="1"/>
    <xf numFmtId="0" fontId="12" fillId="0" borderId="1" xfId="0" applyFont="1" applyBorder="1"/>
    <xf numFmtId="43" fontId="0" fillId="0" borderId="0" xfId="1" applyFont="1"/>
    <xf numFmtId="0" fontId="14" fillId="3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/>
    <xf numFmtId="43" fontId="16" fillId="0" borderId="1" xfId="1" applyFont="1" applyBorder="1" applyAlignment="1">
      <alignment horizontal="center"/>
    </xf>
    <xf numFmtId="43" fontId="15" fillId="0" borderId="1" xfId="1" applyFont="1" applyBorder="1" applyAlignment="1">
      <alignment horizontal="center"/>
    </xf>
    <xf numFmtId="43" fontId="17" fillId="0" borderId="1" xfId="1" applyFont="1" applyBorder="1"/>
    <xf numFmtId="43" fontId="17" fillId="7" borderId="1" xfId="1" applyFont="1" applyFill="1" applyBorder="1"/>
    <xf numFmtId="43" fontId="17" fillId="8" borderId="1" xfId="1" applyFont="1" applyFill="1" applyBorder="1"/>
    <xf numFmtId="0" fontId="17" fillId="9" borderId="1" xfId="0" applyFont="1" applyFill="1" applyBorder="1" applyAlignment="1">
      <alignment horizontal="center"/>
    </xf>
    <xf numFmtId="43" fontId="17" fillId="9" borderId="1" xfId="1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43" fontId="1" fillId="0" borderId="1" xfId="1" applyFont="1" applyBorder="1" applyAlignment="1">
      <alignment horizontal="center"/>
    </xf>
    <xf numFmtId="43" fontId="1" fillId="0" borderId="2" xfId="1" applyFont="1" applyBorder="1" applyAlignment="1">
      <alignment horizontal="center"/>
    </xf>
    <xf numFmtId="43" fontId="1" fillId="0" borderId="4" xfId="1" applyFont="1" applyBorder="1" applyAlignment="1">
      <alignment horizontal="center"/>
    </xf>
    <xf numFmtId="14" fontId="0" fillId="7" borderId="2" xfId="0" applyNumberFormat="1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4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43" fontId="3" fillId="7" borderId="12" xfId="1" applyFont="1" applyFill="1" applyBorder="1" applyAlignment="1">
      <alignment horizontal="center"/>
    </xf>
    <xf numFmtId="43" fontId="3" fillId="7" borderId="13" xfId="1" applyFont="1" applyFill="1" applyBorder="1" applyAlignment="1">
      <alignment horizontal="center"/>
    </xf>
    <xf numFmtId="43" fontId="3" fillId="7" borderId="14" xfId="1" applyFont="1" applyFill="1" applyBorder="1" applyAlignment="1">
      <alignment horizontal="center"/>
    </xf>
    <xf numFmtId="43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43" fontId="3" fillId="8" borderId="12" xfId="0" applyNumberFormat="1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43" fontId="0" fillId="0" borderId="12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4" xfId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right"/>
    </xf>
    <xf numFmtId="0" fontId="17" fillId="8" borderId="1" xfId="0" applyFont="1" applyFill="1" applyBorder="1" applyAlignment="1">
      <alignment horizontal="right"/>
    </xf>
    <xf numFmtId="0" fontId="17" fillId="7" borderId="1" xfId="0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4" dT="2026-02-12T09:52:13.85" personId="{00000000-0000-0000-0000-000000000000}" id="{08AA8DEE-A2C9-414D-89DA-6292CD599D19}">
    <text xml:space="preserve">400 site exp 3000 rupees for traveling exp 4 head lab
</text>
  </threadedComment>
  <threadedComment ref="Q48" dT="2026-02-12T10:01:41.25" personId="{00000000-0000-0000-0000-000000000000}" id="{9797FC6C-F1D5-448F-B193-4C3A0F74D623}">
    <text xml:space="preserve">Travelling Exp 5 Head Lab
</text>
  </threadedComment>
  <threadedComment ref="Q58" dT="2026-02-12T09:58:29.61" personId="{00000000-0000-0000-0000-000000000000}" id="{04923A12-B843-47EF-B459-FCCF692C6C0B}">
    <text xml:space="preserve">Office Advs Prallad Hand In Emami
</text>
  </threadedComment>
  <threadedComment ref="Q66" dT="2026-02-12T09:58:59.53" personId="{00000000-0000-0000-0000-000000000000}" id="{119F2469-A31C-47E9-AFEB-AC010D801D02}">
    <text xml:space="preserve">Office advs prallad hand in emami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3" dT="2026-02-12T09:52:13.85" personId="{00000000-0000-0000-0000-000000000000}" id="{1E5720B8-1AD5-409E-B76C-B407813BFDDF}">
    <text xml:space="preserve">400 site exp 3000 rupees for traveling exp 4 head lab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8645-676A-4109-B6ED-4B246B097FA1}">
  <dimension ref="A1:AA294"/>
  <sheetViews>
    <sheetView topLeftCell="B1" workbookViewId="0">
      <pane ySplit="2" topLeftCell="A213" activePane="bottomLeft" state="frozen"/>
      <selection pane="bottomLeft" activeCell="U219" sqref="U219"/>
    </sheetView>
  </sheetViews>
  <sheetFormatPr defaultRowHeight="14.4" x14ac:dyDescent="0.3"/>
  <cols>
    <col min="2" max="2" width="10.21875" bestFit="1" customWidth="1"/>
    <col min="3" max="4" width="8.88671875" hidden="1" customWidth="1"/>
    <col min="5" max="5" width="11.5546875" hidden="1" customWidth="1"/>
    <col min="6" max="6" width="11.6640625" hidden="1" customWidth="1"/>
    <col min="7" max="7" width="11.33203125" hidden="1" customWidth="1"/>
    <col min="8" max="9" width="8.88671875" style="33"/>
    <col min="10" max="10" width="11.5546875" style="33" bestFit="1" customWidth="1"/>
    <col min="11" max="11" width="11.6640625" style="33" bestFit="1" customWidth="1"/>
    <col min="12" max="12" width="11.33203125" bestFit="1" customWidth="1"/>
    <col min="13" max="14" width="8.88671875" style="33"/>
    <col min="15" max="15" width="11.5546875" style="33" bestFit="1" customWidth="1"/>
    <col min="16" max="16" width="11.6640625" style="33" bestFit="1" customWidth="1"/>
    <col min="17" max="17" width="11.33203125" bestFit="1" customWidth="1"/>
    <col min="20" max="20" width="10.33203125" bestFit="1" customWidth="1"/>
    <col min="23" max="23" width="9.88671875" bestFit="1" customWidth="1"/>
  </cols>
  <sheetData>
    <row r="1" spans="1:23" ht="17.399999999999999" x14ac:dyDescent="0.3">
      <c r="A1" s="89" t="s">
        <v>146</v>
      </c>
      <c r="B1" s="89"/>
      <c r="C1" s="88" t="s">
        <v>218</v>
      </c>
      <c r="D1" s="88"/>
      <c r="E1" s="88"/>
      <c r="F1" s="88"/>
      <c r="G1" s="88"/>
      <c r="H1" s="90" t="s">
        <v>219</v>
      </c>
      <c r="I1" s="90"/>
      <c r="J1" s="90"/>
      <c r="K1" s="90"/>
      <c r="L1" s="90"/>
      <c r="M1" s="90" t="s">
        <v>234</v>
      </c>
      <c r="N1" s="90"/>
      <c r="O1" s="90"/>
      <c r="P1" s="90"/>
      <c r="Q1" s="90"/>
    </row>
    <row r="2" spans="1:23" x14ac:dyDescent="0.3">
      <c r="A2" s="36" t="s">
        <v>213</v>
      </c>
      <c r="B2" s="36" t="s">
        <v>47</v>
      </c>
      <c r="C2" s="36" t="s">
        <v>214</v>
      </c>
      <c r="D2" s="36" t="s">
        <v>215</v>
      </c>
      <c r="E2" s="36" t="s">
        <v>216</v>
      </c>
      <c r="F2" s="36" t="s">
        <v>217</v>
      </c>
      <c r="G2" s="36" t="s">
        <v>220</v>
      </c>
      <c r="H2" s="36" t="s">
        <v>214</v>
      </c>
      <c r="I2" s="36" t="s">
        <v>215</v>
      </c>
      <c r="J2" s="36" t="s">
        <v>362</v>
      </c>
      <c r="K2" s="36" t="s">
        <v>363</v>
      </c>
      <c r="L2" s="36" t="s">
        <v>220</v>
      </c>
      <c r="M2" s="36" t="s">
        <v>214</v>
      </c>
      <c r="N2" s="36" t="s">
        <v>215</v>
      </c>
      <c r="O2" s="36" t="s">
        <v>362</v>
      </c>
      <c r="P2" s="36" t="s">
        <v>363</v>
      </c>
      <c r="Q2" s="36" t="s">
        <v>220</v>
      </c>
      <c r="T2" s="87" t="s">
        <v>391</v>
      </c>
      <c r="U2" s="87"/>
      <c r="V2" s="87"/>
      <c r="W2" s="87"/>
    </row>
    <row r="3" spans="1:23" hidden="1" x14ac:dyDescent="0.3">
      <c r="A3" s="3">
        <v>1</v>
      </c>
      <c r="B3" s="5">
        <v>46002</v>
      </c>
      <c r="C3" s="3">
        <v>0</v>
      </c>
      <c r="D3" s="3">
        <v>0</v>
      </c>
      <c r="E3" s="4"/>
      <c r="F3" s="4"/>
      <c r="G3" s="7">
        <f>6000+2000</f>
        <v>8000</v>
      </c>
      <c r="H3" s="3"/>
      <c r="I3" s="3"/>
      <c r="J3" s="3"/>
      <c r="K3" s="3"/>
      <c r="L3" s="4"/>
      <c r="M3" s="3"/>
      <c r="N3" s="3"/>
      <c r="O3" s="3"/>
      <c r="P3" s="3"/>
      <c r="Q3" s="4"/>
    </row>
    <row r="4" spans="1:23" hidden="1" x14ac:dyDescent="0.3">
      <c r="A4" s="3">
        <v>2</v>
      </c>
      <c r="B4" s="5">
        <v>46003</v>
      </c>
      <c r="C4" s="3">
        <v>0</v>
      </c>
      <c r="D4" s="3">
        <v>0</v>
      </c>
      <c r="E4" s="4"/>
      <c r="F4" s="4"/>
      <c r="G4" s="7"/>
      <c r="H4" s="3"/>
      <c r="I4" s="3"/>
      <c r="J4" s="3"/>
      <c r="K4" s="3"/>
      <c r="L4" s="4"/>
      <c r="M4" s="3"/>
      <c r="N4" s="3"/>
      <c r="O4" s="3"/>
      <c r="P4" s="3"/>
      <c r="Q4" s="4"/>
    </row>
    <row r="5" spans="1:23" hidden="1" x14ac:dyDescent="0.3">
      <c r="A5" s="3">
        <v>3</v>
      </c>
      <c r="B5" s="5">
        <v>46004</v>
      </c>
      <c r="C5" s="3">
        <v>1</v>
      </c>
      <c r="D5" s="3">
        <v>3</v>
      </c>
      <c r="E5" s="3" t="s">
        <v>221</v>
      </c>
      <c r="F5" s="3" t="s">
        <v>221</v>
      </c>
      <c r="G5" s="7"/>
      <c r="H5" s="3"/>
      <c r="I5" s="3"/>
      <c r="J5" s="3"/>
      <c r="K5" s="3"/>
      <c r="L5" s="4"/>
      <c r="M5" s="3"/>
      <c r="N5" s="3"/>
      <c r="O5" s="3"/>
      <c r="P5" s="3"/>
      <c r="Q5" s="4"/>
    </row>
    <row r="6" spans="1:23" hidden="1" x14ac:dyDescent="0.3">
      <c r="A6" s="3">
        <v>4</v>
      </c>
      <c r="B6" s="5">
        <v>46005</v>
      </c>
      <c r="C6" s="3">
        <v>1</v>
      </c>
      <c r="D6" s="3">
        <v>3</v>
      </c>
      <c r="E6" s="3" t="s">
        <v>221</v>
      </c>
      <c r="F6" s="3" t="s">
        <v>221</v>
      </c>
      <c r="G6" s="7">
        <v>1000</v>
      </c>
      <c r="H6" s="3"/>
      <c r="I6" s="3"/>
      <c r="J6" s="3"/>
      <c r="K6" s="3"/>
      <c r="L6" s="4"/>
      <c r="M6" s="3"/>
      <c r="N6" s="3"/>
      <c r="O6" s="3"/>
      <c r="P6" s="3"/>
      <c r="Q6" s="4"/>
    </row>
    <row r="7" spans="1:23" hidden="1" x14ac:dyDescent="0.3">
      <c r="A7" s="3">
        <v>5</v>
      </c>
      <c r="B7" s="5">
        <v>46006</v>
      </c>
      <c r="C7" s="3">
        <v>1</v>
      </c>
      <c r="D7" s="3">
        <v>3</v>
      </c>
      <c r="E7" s="3" t="s">
        <v>221</v>
      </c>
      <c r="F7" s="3" t="s">
        <v>221</v>
      </c>
      <c r="G7" s="7"/>
      <c r="H7" s="3"/>
      <c r="I7" s="3"/>
      <c r="J7" s="3"/>
      <c r="K7" s="3"/>
      <c r="L7" s="4"/>
      <c r="M7" s="3"/>
      <c r="N7" s="3"/>
      <c r="O7" s="3"/>
      <c r="P7" s="3"/>
      <c r="Q7" s="4"/>
    </row>
    <row r="8" spans="1:23" hidden="1" x14ac:dyDescent="0.3">
      <c r="A8" s="3">
        <v>6</v>
      </c>
      <c r="B8" s="5">
        <v>46007</v>
      </c>
      <c r="C8" s="3">
        <v>1</v>
      </c>
      <c r="D8" s="3">
        <v>3</v>
      </c>
      <c r="E8" s="3" t="s">
        <v>221</v>
      </c>
      <c r="F8" s="3" t="s">
        <v>221</v>
      </c>
      <c r="G8" s="7"/>
      <c r="H8" s="3"/>
      <c r="I8" s="3"/>
      <c r="J8" s="3"/>
      <c r="K8" s="3"/>
      <c r="L8" s="4"/>
      <c r="M8" s="3"/>
      <c r="N8" s="3"/>
      <c r="O8" s="3"/>
      <c r="P8" s="3"/>
      <c r="Q8" s="4"/>
    </row>
    <row r="9" spans="1:23" hidden="1" x14ac:dyDescent="0.3">
      <c r="A9" s="3">
        <v>7</v>
      </c>
      <c r="B9" s="5">
        <v>46008</v>
      </c>
      <c r="C9" s="3">
        <v>1</v>
      </c>
      <c r="D9" s="3">
        <v>3</v>
      </c>
      <c r="E9" s="3" t="s">
        <v>221</v>
      </c>
      <c r="F9" s="3" t="s">
        <v>221</v>
      </c>
      <c r="G9" s="7">
        <v>8000</v>
      </c>
      <c r="H9" s="3"/>
      <c r="I9" s="3"/>
      <c r="J9" s="3"/>
      <c r="K9" s="3"/>
      <c r="L9" s="4"/>
      <c r="M9" s="3"/>
      <c r="N9" s="3"/>
      <c r="O9" s="3"/>
      <c r="P9" s="3"/>
      <c r="Q9" s="4"/>
    </row>
    <row r="10" spans="1:23" hidden="1" x14ac:dyDescent="0.3">
      <c r="A10" s="3">
        <v>8</v>
      </c>
      <c r="B10" s="5">
        <v>46009</v>
      </c>
      <c r="C10" s="3">
        <v>1</v>
      </c>
      <c r="D10" s="3">
        <v>3</v>
      </c>
      <c r="E10" s="3" t="s">
        <v>221</v>
      </c>
      <c r="F10" s="3" t="s">
        <v>221</v>
      </c>
      <c r="G10" s="7"/>
      <c r="H10" s="3"/>
      <c r="I10" s="3"/>
      <c r="J10" s="3"/>
      <c r="K10" s="3"/>
      <c r="L10" s="4"/>
      <c r="M10" s="3"/>
      <c r="N10" s="3"/>
      <c r="O10" s="3"/>
      <c r="P10" s="3"/>
      <c r="Q10" s="4"/>
    </row>
    <row r="11" spans="1:23" hidden="1" x14ac:dyDescent="0.3">
      <c r="A11" s="3">
        <v>9</v>
      </c>
      <c r="B11" s="5">
        <v>46010</v>
      </c>
      <c r="C11" s="3">
        <v>1</v>
      </c>
      <c r="D11" s="3">
        <v>3</v>
      </c>
      <c r="E11" s="3" t="s">
        <v>221</v>
      </c>
      <c r="F11" s="3" t="s">
        <v>221</v>
      </c>
      <c r="G11" s="7"/>
      <c r="H11" s="3"/>
      <c r="I11" s="3"/>
      <c r="J11" s="3"/>
      <c r="K11" s="3"/>
      <c r="L11" s="4"/>
      <c r="M11" s="3"/>
      <c r="N11" s="3"/>
      <c r="O11" s="3"/>
      <c r="P11" s="3"/>
      <c r="Q11" s="4"/>
    </row>
    <row r="12" spans="1:23" hidden="1" x14ac:dyDescent="0.3">
      <c r="A12" s="3">
        <v>10</v>
      </c>
      <c r="B12" s="5">
        <v>46011</v>
      </c>
      <c r="C12" s="3">
        <v>1</v>
      </c>
      <c r="D12" s="3">
        <v>3</v>
      </c>
      <c r="E12" s="3" t="s">
        <v>221</v>
      </c>
      <c r="F12" s="3" t="s">
        <v>221</v>
      </c>
      <c r="G12" s="7">
        <v>2000</v>
      </c>
      <c r="H12" s="3"/>
      <c r="I12" s="3"/>
      <c r="J12" s="3"/>
      <c r="K12" s="3"/>
      <c r="L12" s="4"/>
      <c r="M12" s="3"/>
      <c r="N12" s="3"/>
      <c r="O12" s="3"/>
      <c r="P12" s="3"/>
      <c r="Q12" s="4"/>
    </row>
    <row r="13" spans="1:23" hidden="1" x14ac:dyDescent="0.3">
      <c r="A13" s="3">
        <v>11</v>
      </c>
      <c r="B13" s="5">
        <v>46012</v>
      </c>
      <c r="C13" s="3">
        <v>1</v>
      </c>
      <c r="D13" s="3">
        <v>1</v>
      </c>
      <c r="E13" s="3" t="s">
        <v>221</v>
      </c>
      <c r="F13" s="3" t="s">
        <v>221</v>
      </c>
      <c r="G13" s="7"/>
      <c r="H13" s="3"/>
      <c r="I13" s="3"/>
      <c r="J13" s="3"/>
      <c r="K13" s="3"/>
      <c r="L13" s="4"/>
      <c r="M13" s="3"/>
      <c r="N13" s="3"/>
      <c r="O13" s="3"/>
      <c r="P13" s="3"/>
      <c r="Q13" s="4"/>
    </row>
    <row r="14" spans="1:23" hidden="1" x14ac:dyDescent="0.3">
      <c r="A14" s="3">
        <v>12</v>
      </c>
      <c r="B14" s="5">
        <v>46013</v>
      </c>
      <c r="C14" s="3">
        <v>1</v>
      </c>
      <c r="D14" s="3">
        <v>1</v>
      </c>
      <c r="E14" s="3" t="s">
        <v>221</v>
      </c>
      <c r="F14" s="3" t="s">
        <v>221</v>
      </c>
      <c r="G14" s="7"/>
      <c r="H14" s="3"/>
      <c r="I14" s="3"/>
      <c r="J14" s="3"/>
      <c r="K14" s="3"/>
      <c r="L14" s="4"/>
      <c r="M14" s="3"/>
      <c r="N14" s="3"/>
      <c r="O14" s="3"/>
      <c r="P14" s="3"/>
      <c r="Q14" s="4"/>
    </row>
    <row r="15" spans="1:23" hidden="1" x14ac:dyDescent="0.3">
      <c r="A15" s="3">
        <v>13</v>
      </c>
      <c r="B15" s="5">
        <v>46014</v>
      </c>
      <c r="C15" s="3">
        <v>1</v>
      </c>
      <c r="D15" s="3">
        <v>1</v>
      </c>
      <c r="E15" s="3" t="s">
        <v>221</v>
      </c>
      <c r="F15" s="3" t="s">
        <v>221</v>
      </c>
      <c r="G15" s="7"/>
      <c r="H15" s="3"/>
      <c r="I15" s="3"/>
      <c r="J15" s="3"/>
      <c r="K15" s="3"/>
      <c r="L15" s="4"/>
      <c r="M15" s="3"/>
      <c r="N15" s="3"/>
      <c r="O15" s="3"/>
      <c r="P15" s="3"/>
      <c r="Q15" s="4"/>
    </row>
    <row r="16" spans="1:23" hidden="1" x14ac:dyDescent="0.3">
      <c r="A16" s="3">
        <v>14</v>
      </c>
      <c r="B16" s="5">
        <v>46015</v>
      </c>
      <c r="C16" s="3">
        <v>1</v>
      </c>
      <c r="D16" s="3">
        <v>1</v>
      </c>
      <c r="E16" s="3" t="s">
        <v>221</v>
      </c>
      <c r="F16" s="3" t="s">
        <v>221</v>
      </c>
      <c r="G16" s="7"/>
      <c r="H16" s="3"/>
      <c r="I16" s="3"/>
      <c r="J16" s="3"/>
      <c r="K16" s="3"/>
      <c r="L16" s="4"/>
      <c r="M16" s="3"/>
      <c r="N16" s="3"/>
      <c r="O16" s="3"/>
      <c r="P16" s="3"/>
      <c r="Q16" s="4"/>
    </row>
    <row r="17" spans="1:17" hidden="1" x14ac:dyDescent="0.3">
      <c r="A17" s="3">
        <v>15</v>
      </c>
      <c r="B17" s="5">
        <v>46016</v>
      </c>
      <c r="C17" s="3">
        <v>1</v>
      </c>
      <c r="D17" s="3">
        <v>1</v>
      </c>
      <c r="E17" s="3" t="s">
        <v>221</v>
      </c>
      <c r="F17" s="3" t="s">
        <v>221</v>
      </c>
      <c r="G17" s="7"/>
      <c r="H17" s="3"/>
      <c r="I17" s="3"/>
      <c r="J17" s="3"/>
      <c r="K17" s="3"/>
      <c r="L17" s="4"/>
      <c r="M17" s="3"/>
      <c r="N17" s="3"/>
      <c r="O17" s="3"/>
      <c r="P17" s="3"/>
      <c r="Q17" s="4"/>
    </row>
    <row r="18" spans="1:17" hidden="1" x14ac:dyDescent="0.3">
      <c r="A18" s="3">
        <v>16</v>
      </c>
      <c r="B18" s="5">
        <v>46017</v>
      </c>
      <c r="C18" s="3">
        <v>1</v>
      </c>
      <c r="D18" s="3">
        <v>1</v>
      </c>
      <c r="E18" s="3" t="s">
        <v>221</v>
      </c>
      <c r="F18" s="3" t="s">
        <v>221</v>
      </c>
      <c r="G18" s="7">
        <v>2000</v>
      </c>
      <c r="H18" s="3"/>
      <c r="I18" s="3"/>
      <c r="J18" s="3"/>
      <c r="K18" s="3"/>
      <c r="L18" s="4"/>
      <c r="M18" s="3"/>
      <c r="N18" s="3"/>
      <c r="O18" s="3"/>
      <c r="P18" s="3"/>
      <c r="Q18" s="4"/>
    </row>
    <row r="19" spans="1:17" hidden="1" x14ac:dyDescent="0.3">
      <c r="A19" s="3">
        <v>17</v>
      </c>
      <c r="B19" s="5">
        <v>46018</v>
      </c>
      <c r="C19" s="91" t="s">
        <v>222</v>
      </c>
      <c r="D19" s="92"/>
      <c r="E19" s="92"/>
      <c r="F19" s="92"/>
      <c r="G19" s="93"/>
      <c r="H19" s="3"/>
      <c r="I19" s="3"/>
      <c r="J19" s="3"/>
      <c r="K19" s="3"/>
      <c r="L19" s="4"/>
      <c r="M19" s="3"/>
      <c r="N19" s="3"/>
      <c r="O19" s="3"/>
      <c r="P19" s="3"/>
      <c r="Q19" s="4"/>
    </row>
    <row r="20" spans="1:17" hidden="1" x14ac:dyDescent="0.3">
      <c r="A20" s="3">
        <v>18</v>
      </c>
      <c r="B20" s="5">
        <v>46019</v>
      </c>
      <c r="C20" s="4"/>
      <c r="D20" s="4"/>
      <c r="E20" s="4"/>
      <c r="F20" s="4"/>
      <c r="G20" s="4"/>
      <c r="H20" s="3"/>
      <c r="I20" s="3"/>
      <c r="J20" s="3"/>
      <c r="K20" s="3"/>
      <c r="L20" s="4"/>
      <c r="M20" s="3"/>
      <c r="N20" s="3"/>
      <c r="O20" s="3"/>
      <c r="P20" s="3"/>
      <c r="Q20" s="4"/>
    </row>
    <row r="21" spans="1:17" hidden="1" x14ac:dyDescent="0.3">
      <c r="A21" s="3">
        <v>19</v>
      </c>
      <c r="B21" s="5">
        <v>46020</v>
      </c>
      <c r="C21" s="4"/>
      <c r="D21" s="4"/>
      <c r="E21" s="4"/>
      <c r="F21" s="4"/>
      <c r="G21" s="4"/>
      <c r="H21" s="3"/>
      <c r="I21" s="3"/>
      <c r="J21" s="3"/>
      <c r="K21" s="3"/>
      <c r="L21" s="4"/>
      <c r="M21" s="3"/>
      <c r="N21" s="3"/>
      <c r="O21" s="3"/>
      <c r="P21" s="3"/>
      <c r="Q21" s="4"/>
    </row>
    <row r="22" spans="1:17" hidden="1" x14ac:dyDescent="0.3">
      <c r="A22" s="3">
        <v>20</v>
      </c>
      <c r="B22" s="5">
        <v>46021</v>
      </c>
      <c r="C22" s="4"/>
      <c r="D22" s="4"/>
      <c r="E22" s="4"/>
      <c r="F22" s="4"/>
      <c r="G22" s="4"/>
      <c r="H22" s="3"/>
      <c r="I22" s="3"/>
      <c r="J22" s="3"/>
      <c r="K22" s="3"/>
      <c r="L22" s="4"/>
      <c r="M22" s="3"/>
      <c r="N22" s="3"/>
      <c r="O22" s="3"/>
      <c r="P22" s="3"/>
      <c r="Q22" s="4"/>
    </row>
    <row r="23" spans="1:17" x14ac:dyDescent="0.3">
      <c r="A23" s="3">
        <v>21</v>
      </c>
      <c r="B23" s="5">
        <v>46022</v>
      </c>
      <c r="C23" s="4"/>
      <c r="D23" s="4"/>
      <c r="E23" s="4"/>
      <c r="F23" s="4"/>
      <c r="G23" s="4"/>
      <c r="H23" s="3"/>
      <c r="I23" s="3"/>
      <c r="J23" s="3"/>
      <c r="K23" s="3"/>
      <c r="L23" s="4"/>
      <c r="M23" s="3"/>
      <c r="N23" s="3"/>
      <c r="O23" s="3"/>
      <c r="P23" s="3"/>
      <c r="Q23" s="4"/>
    </row>
    <row r="24" spans="1:17" x14ac:dyDescent="0.3">
      <c r="A24" s="3">
        <v>22</v>
      </c>
      <c r="B24" s="5">
        <v>46023</v>
      </c>
      <c r="C24" s="4"/>
      <c r="D24" s="4"/>
      <c r="E24" s="4"/>
      <c r="F24" s="4"/>
      <c r="G24" s="4"/>
      <c r="H24" s="3">
        <v>0</v>
      </c>
      <c r="I24" s="3">
        <v>0</v>
      </c>
      <c r="J24" s="3"/>
      <c r="K24" s="3"/>
      <c r="L24" s="7">
        <v>3400</v>
      </c>
      <c r="M24" s="3"/>
      <c r="N24" s="3"/>
      <c r="O24" s="3"/>
      <c r="P24" s="3"/>
      <c r="Q24" s="7"/>
    </row>
    <row r="25" spans="1:17" x14ac:dyDescent="0.3">
      <c r="A25" s="3">
        <v>23</v>
      </c>
      <c r="B25" s="5">
        <v>46024</v>
      </c>
      <c r="C25" s="4"/>
      <c r="D25" s="4"/>
      <c r="E25" s="4"/>
      <c r="F25" s="4"/>
      <c r="G25" s="4"/>
      <c r="H25" s="3">
        <v>2</v>
      </c>
      <c r="I25" s="3">
        <v>2</v>
      </c>
      <c r="J25" s="3"/>
      <c r="K25" s="3"/>
      <c r="L25" s="7"/>
      <c r="M25" s="3"/>
      <c r="N25" s="3"/>
      <c r="O25" s="3"/>
      <c r="P25" s="3"/>
      <c r="Q25" s="7"/>
    </row>
    <row r="26" spans="1:17" x14ac:dyDescent="0.3">
      <c r="A26" s="3">
        <v>24</v>
      </c>
      <c r="B26" s="5">
        <v>46025</v>
      </c>
      <c r="C26" s="4"/>
      <c r="D26" s="4"/>
      <c r="E26" s="4"/>
      <c r="F26" s="4"/>
      <c r="G26" s="4"/>
      <c r="H26" s="3">
        <v>2</v>
      </c>
      <c r="I26" s="3">
        <v>2</v>
      </c>
      <c r="J26" s="3"/>
      <c r="K26" s="3"/>
      <c r="L26" s="7">
        <v>2000</v>
      </c>
      <c r="M26" s="3"/>
      <c r="N26" s="3"/>
      <c r="O26" s="3"/>
      <c r="P26" s="3"/>
      <c r="Q26" s="7"/>
    </row>
    <row r="27" spans="1:17" x14ac:dyDescent="0.3">
      <c r="A27" s="3">
        <v>25</v>
      </c>
      <c r="B27" s="5">
        <v>46026</v>
      </c>
      <c r="C27" s="4"/>
      <c r="D27" s="4"/>
      <c r="E27" s="4"/>
      <c r="F27" s="4"/>
      <c r="G27" s="4"/>
      <c r="H27" s="3">
        <v>2</v>
      </c>
      <c r="I27" s="3">
        <v>2</v>
      </c>
      <c r="J27" s="3"/>
      <c r="K27" s="3"/>
      <c r="L27" s="7"/>
      <c r="M27" s="3"/>
      <c r="N27" s="3"/>
      <c r="O27" s="3"/>
      <c r="P27" s="3"/>
      <c r="Q27" s="7"/>
    </row>
    <row r="28" spans="1:17" x14ac:dyDescent="0.3">
      <c r="A28" s="3">
        <v>26</v>
      </c>
      <c r="B28" s="5">
        <v>46027</v>
      </c>
      <c r="C28" s="4"/>
      <c r="D28" s="4"/>
      <c r="E28" s="4"/>
      <c r="F28" s="4"/>
      <c r="G28" s="4"/>
      <c r="H28" s="3">
        <v>2</v>
      </c>
      <c r="I28" s="3">
        <v>2</v>
      </c>
      <c r="J28" s="3"/>
      <c r="K28" s="3"/>
      <c r="L28" s="7"/>
      <c r="M28" s="3"/>
      <c r="N28" s="3"/>
      <c r="O28" s="3"/>
      <c r="P28" s="3"/>
      <c r="Q28" s="7"/>
    </row>
    <row r="29" spans="1:17" x14ac:dyDescent="0.3">
      <c r="A29" s="3">
        <v>27</v>
      </c>
      <c r="B29" s="5">
        <v>46028</v>
      </c>
      <c r="C29" s="4"/>
      <c r="D29" s="4"/>
      <c r="E29" s="4"/>
      <c r="F29" s="4"/>
      <c r="G29" s="4"/>
      <c r="H29" s="3">
        <v>2</v>
      </c>
      <c r="I29" s="3">
        <v>2</v>
      </c>
      <c r="J29" s="3"/>
      <c r="K29" s="3"/>
      <c r="L29" s="7"/>
      <c r="M29" s="3"/>
      <c r="N29" s="3"/>
      <c r="O29" s="3"/>
      <c r="P29" s="3"/>
      <c r="Q29" s="7"/>
    </row>
    <row r="30" spans="1:17" x14ac:dyDescent="0.3">
      <c r="A30" s="3">
        <v>28</v>
      </c>
      <c r="B30" s="5">
        <v>46029</v>
      </c>
      <c r="C30" s="4"/>
      <c r="D30" s="4"/>
      <c r="E30" s="4"/>
      <c r="F30" s="4"/>
      <c r="G30" s="4"/>
      <c r="H30" s="3">
        <v>2</v>
      </c>
      <c r="I30" s="3">
        <v>2</v>
      </c>
      <c r="J30" s="3"/>
      <c r="K30" s="3"/>
      <c r="L30" s="7"/>
      <c r="M30" s="3"/>
      <c r="N30" s="3"/>
      <c r="O30" s="3"/>
      <c r="P30" s="3"/>
      <c r="Q30" s="7"/>
    </row>
    <row r="31" spans="1:17" x14ac:dyDescent="0.3">
      <c r="A31" s="3">
        <v>29</v>
      </c>
      <c r="B31" s="5">
        <v>46030</v>
      </c>
      <c r="C31" s="4"/>
      <c r="D31" s="4"/>
      <c r="E31" s="4"/>
      <c r="F31" s="4"/>
      <c r="G31" s="4"/>
      <c r="H31" s="3">
        <v>2</v>
      </c>
      <c r="I31" s="3">
        <v>2</v>
      </c>
      <c r="J31" s="3"/>
      <c r="K31" s="3"/>
      <c r="L31" s="7"/>
      <c r="M31" s="3"/>
      <c r="N31" s="3"/>
      <c r="O31" s="3"/>
      <c r="P31" s="3"/>
      <c r="Q31" s="7"/>
    </row>
    <row r="32" spans="1:17" x14ac:dyDescent="0.3">
      <c r="A32" s="3">
        <v>30</v>
      </c>
      <c r="B32" s="5">
        <v>46031</v>
      </c>
      <c r="C32" s="4"/>
      <c r="D32" s="4"/>
      <c r="E32" s="4"/>
      <c r="F32" s="4"/>
      <c r="G32" s="4"/>
      <c r="H32" s="3">
        <v>2</v>
      </c>
      <c r="I32" s="3">
        <v>2</v>
      </c>
      <c r="J32" s="3"/>
      <c r="K32" s="3"/>
      <c r="L32" s="7"/>
      <c r="M32" s="3"/>
      <c r="N32" s="3"/>
      <c r="O32" s="3"/>
      <c r="P32" s="3"/>
      <c r="Q32" s="7"/>
    </row>
    <row r="33" spans="1:17" x14ac:dyDescent="0.3">
      <c r="A33" s="3">
        <v>31</v>
      </c>
      <c r="B33" s="5">
        <v>46032</v>
      </c>
      <c r="C33" s="4"/>
      <c r="D33" s="4"/>
      <c r="E33" s="4"/>
      <c r="F33" s="4"/>
      <c r="G33" s="4"/>
      <c r="H33" s="3">
        <v>2</v>
      </c>
      <c r="I33" s="3">
        <v>2</v>
      </c>
      <c r="J33" s="3"/>
      <c r="K33" s="3"/>
      <c r="L33" s="7"/>
      <c r="M33" s="3"/>
      <c r="N33" s="3"/>
      <c r="O33" s="3"/>
      <c r="P33" s="3"/>
      <c r="Q33" s="7"/>
    </row>
    <row r="34" spans="1:17" x14ac:dyDescent="0.3">
      <c r="A34" s="3">
        <v>32</v>
      </c>
      <c r="B34" s="5">
        <v>46033</v>
      </c>
      <c r="C34" s="4"/>
      <c r="D34" s="4"/>
      <c r="E34" s="4"/>
      <c r="F34" s="4"/>
      <c r="G34" s="4"/>
      <c r="H34" s="3">
        <v>0</v>
      </c>
      <c r="I34" s="3">
        <v>0</v>
      </c>
      <c r="J34" s="3"/>
      <c r="K34" s="3"/>
      <c r="L34" s="7">
        <v>1000</v>
      </c>
      <c r="M34" s="3"/>
      <c r="N34" s="3"/>
      <c r="O34" s="3"/>
      <c r="P34" s="3"/>
      <c r="Q34" s="7"/>
    </row>
    <row r="35" spans="1:17" x14ac:dyDescent="0.3">
      <c r="A35" s="3">
        <v>33</v>
      </c>
      <c r="B35" s="5">
        <v>46034</v>
      </c>
      <c r="C35" s="4"/>
      <c r="D35" s="4"/>
      <c r="E35" s="4"/>
      <c r="F35" s="4"/>
      <c r="G35" s="4"/>
      <c r="H35" s="3">
        <v>2</v>
      </c>
      <c r="I35" s="3">
        <v>2</v>
      </c>
      <c r="J35" s="3"/>
      <c r="K35" s="3"/>
      <c r="L35" s="7"/>
      <c r="M35" s="3"/>
      <c r="N35" s="3"/>
      <c r="O35" s="3"/>
      <c r="P35" s="3"/>
      <c r="Q35" s="7"/>
    </row>
    <row r="36" spans="1:17" x14ac:dyDescent="0.3">
      <c r="A36" s="3">
        <v>34</v>
      </c>
      <c r="B36" s="5">
        <v>46035</v>
      </c>
      <c r="C36" s="4"/>
      <c r="D36" s="4"/>
      <c r="E36" s="4"/>
      <c r="F36" s="4"/>
      <c r="G36" s="4"/>
      <c r="H36" s="3">
        <v>2</v>
      </c>
      <c r="I36" s="3">
        <v>2</v>
      </c>
      <c r="J36" s="3"/>
      <c r="K36" s="3"/>
      <c r="L36" s="7"/>
      <c r="M36" s="3"/>
      <c r="N36" s="3"/>
      <c r="O36" s="3"/>
      <c r="P36" s="3"/>
      <c r="Q36" s="7"/>
    </row>
    <row r="37" spans="1:17" x14ac:dyDescent="0.3">
      <c r="A37" s="3">
        <v>35</v>
      </c>
      <c r="B37" s="5">
        <v>46036</v>
      </c>
      <c r="C37" s="4"/>
      <c r="D37" s="4"/>
      <c r="E37" s="4"/>
      <c r="F37" s="4"/>
      <c r="G37" s="4"/>
      <c r="H37" s="3">
        <v>2</v>
      </c>
      <c r="I37" s="3">
        <v>2</v>
      </c>
      <c r="J37" s="3"/>
      <c r="K37" s="3"/>
      <c r="L37" s="7"/>
      <c r="M37" s="3"/>
      <c r="N37" s="3"/>
      <c r="O37" s="3"/>
      <c r="P37" s="3"/>
      <c r="Q37" s="7"/>
    </row>
    <row r="38" spans="1:17" x14ac:dyDescent="0.3">
      <c r="A38" s="3">
        <v>36</v>
      </c>
      <c r="B38" s="5">
        <v>46037</v>
      </c>
      <c r="C38" s="4"/>
      <c r="D38" s="4"/>
      <c r="E38" s="4"/>
      <c r="F38" s="4"/>
      <c r="G38" s="4"/>
      <c r="H38" s="3">
        <v>2</v>
      </c>
      <c r="I38" s="3">
        <v>2</v>
      </c>
      <c r="J38" s="3"/>
      <c r="K38" s="3"/>
      <c r="L38" s="7"/>
      <c r="M38" s="3"/>
      <c r="N38" s="3"/>
      <c r="O38" s="3"/>
      <c r="P38" s="3"/>
      <c r="Q38" s="7"/>
    </row>
    <row r="39" spans="1:17" x14ac:dyDescent="0.3">
      <c r="A39" s="3">
        <v>37</v>
      </c>
      <c r="B39" s="5">
        <v>46038</v>
      </c>
      <c r="C39" s="4"/>
      <c r="D39" s="4"/>
      <c r="E39" s="4"/>
      <c r="F39" s="4"/>
      <c r="G39" s="4"/>
      <c r="H39" s="3">
        <v>2</v>
      </c>
      <c r="I39" s="3">
        <v>2</v>
      </c>
      <c r="J39" s="3"/>
      <c r="K39" s="3"/>
      <c r="L39" s="7">
        <v>1000</v>
      </c>
      <c r="M39" s="3"/>
      <c r="N39" s="3"/>
      <c r="O39" s="3"/>
      <c r="P39" s="3"/>
      <c r="Q39" s="7"/>
    </row>
    <row r="40" spans="1:17" x14ac:dyDescent="0.3">
      <c r="A40" s="3">
        <v>38</v>
      </c>
      <c r="B40" s="5">
        <v>46039</v>
      </c>
      <c r="C40" s="4"/>
      <c r="D40" s="4"/>
      <c r="E40" s="4"/>
      <c r="F40" s="4"/>
      <c r="G40" s="4"/>
      <c r="H40" s="3">
        <v>2</v>
      </c>
      <c r="I40" s="3">
        <v>2</v>
      </c>
      <c r="J40" s="3"/>
      <c r="K40" s="3"/>
      <c r="L40" s="7"/>
      <c r="M40" s="3"/>
      <c r="N40" s="3"/>
      <c r="O40" s="3"/>
      <c r="P40" s="3"/>
      <c r="Q40" s="7"/>
    </row>
    <row r="41" spans="1:17" x14ac:dyDescent="0.3">
      <c r="A41" s="3">
        <v>39</v>
      </c>
      <c r="B41" s="5">
        <v>46040</v>
      </c>
      <c r="C41" s="4"/>
      <c r="D41" s="4"/>
      <c r="E41" s="4"/>
      <c r="F41" s="4"/>
      <c r="G41" s="4"/>
      <c r="H41" s="3">
        <v>2</v>
      </c>
      <c r="I41" s="3">
        <v>2</v>
      </c>
      <c r="J41" s="3"/>
      <c r="K41" s="3"/>
      <c r="L41" s="7">
        <v>10000</v>
      </c>
      <c r="M41" s="3"/>
      <c r="N41" s="3"/>
      <c r="O41" s="3"/>
      <c r="P41" s="3"/>
      <c r="Q41" s="7"/>
    </row>
    <row r="42" spans="1:17" x14ac:dyDescent="0.3">
      <c r="A42" s="3">
        <v>40</v>
      </c>
      <c r="B42" s="5">
        <v>46041</v>
      </c>
      <c r="C42" s="4"/>
      <c r="D42" s="4"/>
      <c r="E42" s="4"/>
      <c r="F42" s="4"/>
      <c r="G42" s="4"/>
      <c r="H42" s="3">
        <v>2</v>
      </c>
      <c r="I42" s="3">
        <v>2</v>
      </c>
      <c r="J42" s="3"/>
      <c r="K42" s="3"/>
      <c r="L42" s="7"/>
      <c r="M42" s="3"/>
      <c r="N42" s="3"/>
      <c r="O42" s="3"/>
      <c r="P42" s="3"/>
      <c r="Q42" s="7"/>
    </row>
    <row r="43" spans="1:17" x14ac:dyDescent="0.3">
      <c r="A43" s="3">
        <v>41</v>
      </c>
      <c r="B43" s="5">
        <v>46042</v>
      </c>
      <c r="C43" s="4"/>
      <c r="D43" s="4"/>
      <c r="E43" s="4"/>
      <c r="F43" s="4"/>
      <c r="G43" s="4"/>
      <c r="H43" s="3">
        <v>2</v>
      </c>
      <c r="I43" s="3">
        <v>2</v>
      </c>
      <c r="J43" s="3"/>
      <c r="K43" s="3"/>
      <c r="L43" s="7"/>
      <c r="M43" s="3"/>
      <c r="N43" s="3"/>
      <c r="O43" s="3"/>
      <c r="P43" s="3"/>
      <c r="Q43" s="7"/>
    </row>
    <row r="44" spans="1:17" x14ac:dyDescent="0.3">
      <c r="A44" s="3">
        <v>42</v>
      </c>
      <c r="B44" s="5">
        <v>46043</v>
      </c>
      <c r="C44" s="4"/>
      <c r="D44" s="4"/>
      <c r="E44" s="4"/>
      <c r="F44" s="4"/>
      <c r="G44" s="4"/>
      <c r="H44" s="3">
        <v>2</v>
      </c>
      <c r="I44" s="3">
        <v>2</v>
      </c>
      <c r="J44" s="3"/>
      <c r="K44" s="3"/>
      <c r="L44" s="7">
        <v>2000</v>
      </c>
      <c r="M44" s="3"/>
      <c r="N44" s="3"/>
      <c r="O44" s="3"/>
      <c r="P44" s="3"/>
      <c r="Q44" s="7"/>
    </row>
    <row r="45" spans="1:17" x14ac:dyDescent="0.3">
      <c r="A45" s="3">
        <v>43</v>
      </c>
      <c r="B45" s="5">
        <v>46044</v>
      </c>
      <c r="C45" s="4"/>
      <c r="D45" s="4"/>
      <c r="E45" s="4"/>
      <c r="F45" s="4"/>
      <c r="G45" s="4"/>
      <c r="H45" s="3">
        <v>2</v>
      </c>
      <c r="I45" s="3">
        <v>2</v>
      </c>
      <c r="J45" s="3"/>
      <c r="K45" s="3"/>
      <c r="L45" s="7"/>
      <c r="M45" s="3"/>
      <c r="N45" s="3"/>
      <c r="O45" s="3"/>
      <c r="P45" s="3"/>
      <c r="Q45" s="7"/>
    </row>
    <row r="46" spans="1:17" x14ac:dyDescent="0.3">
      <c r="A46" s="3">
        <v>44</v>
      </c>
      <c r="B46" s="5">
        <v>46045</v>
      </c>
      <c r="C46" s="4"/>
      <c r="D46" s="4"/>
      <c r="E46" s="4"/>
      <c r="F46" s="4"/>
      <c r="G46" s="4"/>
      <c r="H46" s="3">
        <v>2</v>
      </c>
      <c r="I46" s="3">
        <v>2</v>
      </c>
      <c r="J46" s="3"/>
      <c r="K46" s="3"/>
      <c r="L46" s="7"/>
      <c r="M46" s="3"/>
      <c r="N46" s="3"/>
      <c r="O46" s="3"/>
      <c r="P46" s="3"/>
      <c r="Q46" s="7"/>
    </row>
    <row r="47" spans="1:17" x14ac:dyDescent="0.3">
      <c r="A47" s="3">
        <v>45</v>
      </c>
      <c r="B47" s="5">
        <v>46046</v>
      </c>
      <c r="C47" s="4"/>
      <c r="D47" s="4"/>
      <c r="E47" s="4"/>
      <c r="F47" s="4"/>
      <c r="G47" s="4"/>
      <c r="H47" s="3">
        <v>2</v>
      </c>
      <c r="I47" s="3">
        <v>2</v>
      </c>
      <c r="J47" s="3"/>
      <c r="K47" s="3"/>
      <c r="L47" s="7"/>
      <c r="M47" s="3"/>
      <c r="N47" s="3"/>
      <c r="O47" s="3"/>
      <c r="P47" s="3"/>
      <c r="Q47" s="7">
        <v>10000</v>
      </c>
    </row>
    <row r="48" spans="1:17" x14ac:dyDescent="0.3">
      <c r="A48" s="3">
        <v>46</v>
      </c>
      <c r="B48" s="5">
        <v>46047</v>
      </c>
      <c r="C48" s="4"/>
      <c r="D48" s="4"/>
      <c r="E48" s="4"/>
      <c r="F48" s="4"/>
      <c r="G48" s="4"/>
      <c r="H48" s="3">
        <v>1</v>
      </c>
      <c r="I48" s="3">
        <v>2</v>
      </c>
      <c r="J48" s="3"/>
      <c r="K48" s="3"/>
      <c r="L48" s="7"/>
      <c r="M48" s="3"/>
      <c r="N48" s="3"/>
      <c r="O48" s="3"/>
      <c r="P48" s="3"/>
      <c r="Q48" s="7">
        <v>5000</v>
      </c>
    </row>
    <row r="49" spans="1:17" x14ac:dyDescent="0.3">
      <c r="A49" s="3">
        <v>47</v>
      </c>
      <c r="B49" s="5">
        <v>46048</v>
      </c>
      <c r="C49" s="4"/>
      <c r="D49" s="4"/>
      <c r="E49" s="4"/>
      <c r="F49" s="4"/>
      <c r="G49" s="4"/>
      <c r="H49" s="3">
        <v>0</v>
      </c>
      <c r="I49" s="3">
        <v>0</v>
      </c>
      <c r="J49" s="3"/>
      <c r="K49" s="3"/>
      <c r="L49" s="7"/>
      <c r="M49" s="3"/>
      <c r="N49" s="3"/>
      <c r="O49" s="3"/>
      <c r="P49" s="3"/>
      <c r="Q49" s="7"/>
    </row>
    <row r="50" spans="1:17" x14ac:dyDescent="0.3">
      <c r="A50" s="3">
        <v>48</v>
      </c>
      <c r="B50" s="5">
        <v>46049</v>
      </c>
      <c r="C50" s="4"/>
      <c r="D50" s="4"/>
      <c r="E50" s="4"/>
      <c r="F50" s="4"/>
      <c r="G50" s="4"/>
      <c r="H50" s="3">
        <v>2</v>
      </c>
      <c r="I50" s="3">
        <v>2</v>
      </c>
      <c r="J50" s="3"/>
      <c r="K50" s="3"/>
      <c r="L50" s="4"/>
      <c r="M50" s="3"/>
      <c r="N50" s="3">
        <v>5</v>
      </c>
      <c r="O50" s="3" t="s">
        <v>223</v>
      </c>
      <c r="P50" s="3" t="s">
        <v>223</v>
      </c>
      <c r="Q50" s="7"/>
    </row>
    <row r="51" spans="1:17" x14ac:dyDescent="0.3">
      <c r="A51" s="3">
        <v>49</v>
      </c>
      <c r="B51" s="5">
        <v>46050</v>
      </c>
      <c r="C51" s="4"/>
      <c r="D51" s="4"/>
      <c r="E51" s="4"/>
      <c r="F51" s="4"/>
      <c r="G51" s="4"/>
      <c r="H51" s="3">
        <v>2</v>
      </c>
      <c r="I51" s="3">
        <v>2</v>
      </c>
      <c r="J51" s="3"/>
      <c r="K51" s="3"/>
      <c r="L51" s="4"/>
      <c r="M51" s="3"/>
      <c r="N51" s="3">
        <v>5</v>
      </c>
      <c r="O51" s="3" t="s">
        <v>223</v>
      </c>
      <c r="P51" s="3" t="s">
        <v>223</v>
      </c>
      <c r="Q51" s="7"/>
    </row>
    <row r="52" spans="1:17" x14ac:dyDescent="0.3">
      <c r="A52" s="3">
        <v>50</v>
      </c>
      <c r="B52" s="5">
        <v>46051</v>
      </c>
      <c r="C52" s="4"/>
      <c r="D52" s="4"/>
      <c r="E52" s="4"/>
      <c r="F52" s="4"/>
      <c r="G52" s="4"/>
      <c r="H52" s="3">
        <v>2</v>
      </c>
      <c r="I52" s="3">
        <v>2</v>
      </c>
      <c r="J52" s="3"/>
      <c r="K52" s="3"/>
      <c r="L52" s="7">
        <v>2000</v>
      </c>
      <c r="M52" s="3"/>
      <c r="N52" s="3">
        <v>5</v>
      </c>
      <c r="O52" s="3" t="s">
        <v>223</v>
      </c>
      <c r="P52" s="3" t="s">
        <v>223</v>
      </c>
      <c r="Q52" s="7"/>
    </row>
    <row r="53" spans="1:17" x14ac:dyDescent="0.3">
      <c r="A53" s="3">
        <v>51</v>
      </c>
      <c r="B53" s="5">
        <v>46052</v>
      </c>
      <c r="C53" s="4"/>
      <c r="D53" s="4"/>
      <c r="E53" s="4"/>
      <c r="F53" s="4"/>
      <c r="G53" s="4"/>
      <c r="H53" s="3">
        <v>2</v>
      </c>
      <c r="I53" s="3">
        <v>2</v>
      </c>
      <c r="J53" s="3"/>
      <c r="K53" s="3"/>
      <c r="L53" s="7"/>
      <c r="M53" s="3"/>
      <c r="N53" s="3">
        <v>4</v>
      </c>
      <c r="O53" s="3" t="s">
        <v>223</v>
      </c>
      <c r="P53" s="3" t="s">
        <v>223</v>
      </c>
      <c r="Q53" s="7"/>
    </row>
    <row r="54" spans="1:17" x14ac:dyDescent="0.3">
      <c r="A54" s="3">
        <v>52</v>
      </c>
      <c r="B54" s="5">
        <v>46053</v>
      </c>
      <c r="C54" s="4"/>
      <c r="D54" s="4"/>
      <c r="E54" s="4"/>
      <c r="F54" s="4"/>
      <c r="G54" s="4"/>
      <c r="H54" s="3">
        <v>2</v>
      </c>
      <c r="I54" s="3">
        <v>2</v>
      </c>
      <c r="J54" s="3"/>
      <c r="K54" s="3"/>
      <c r="L54" s="7"/>
      <c r="M54" s="3"/>
      <c r="N54" s="3">
        <v>5</v>
      </c>
      <c r="O54" s="3" t="s">
        <v>223</v>
      </c>
      <c r="P54" s="3" t="s">
        <v>223</v>
      </c>
      <c r="Q54" s="7"/>
    </row>
    <row r="55" spans="1:17" x14ac:dyDescent="0.3">
      <c r="A55" s="3">
        <v>53</v>
      </c>
      <c r="B55" s="5">
        <v>46054</v>
      </c>
      <c r="C55" s="3"/>
      <c r="D55" s="3"/>
      <c r="E55" s="3"/>
      <c r="F55" s="3"/>
      <c r="G55" s="3"/>
      <c r="H55" s="3">
        <v>1</v>
      </c>
      <c r="I55" s="3">
        <v>1</v>
      </c>
      <c r="J55" s="3"/>
      <c r="K55" s="3"/>
      <c r="L55" s="11">
        <v>2000</v>
      </c>
      <c r="M55" s="3"/>
      <c r="N55" s="3">
        <v>5</v>
      </c>
      <c r="O55" s="3" t="s">
        <v>223</v>
      </c>
      <c r="P55" s="3" t="s">
        <v>223</v>
      </c>
      <c r="Q55" s="11">
        <v>2500</v>
      </c>
    </row>
    <row r="56" spans="1:17" x14ac:dyDescent="0.3">
      <c r="A56" s="3">
        <v>54</v>
      </c>
      <c r="B56" s="5">
        <v>46055</v>
      </c>
      <c r="C56" s="3"/>
      <c r="D56" s="3"/>
      <c r="E56" s="3"/>
      <c r="F56" s="3"/>
      <c r="G56" s="3"/>
      <c r="H56" s="3">
        <v>1</v>
      </c>
      <c r="I56" s="3">
        <v>1</v>
      </c>
      <c r="J56" s="3"/>
      <c r="K56" s="3"/>
      <c r="L56" s="3"/>
      <c r="M56" s="3"/>
      <c r="N56" s="3">
        <v>4</v>
      </c>
      <c r="O56" s="3" t="s">
        <v>223</v>
      </c>
      <c r="P56" s="3" t="s">
        <v>223</v>
      </c>
      <c r="Q56" s="11"/>
    </row>
    <row r="57" spans="1:17" x14ac:dyDescent="0.3">
      <c r="A57" s="3">
        <v>55</v>
      </c>
      <c r="B57" s="5">
        <v>46056</v>
      </c>
      <c r="C57" s="3"/>
      <c r="D57" s="3"/>
      <c r="E57" s="3"/>
      <c r="F57" s="3"/>
      <c r="G57" s="3"/>
      <c r="H57" s="3">
        <v>1</v>
      </c>
      <c r="I57" s="3">
        <v>1</v>
      </c>
      <c r="J57" s="3"/>
      <c r="K57" s="3"/>
      <c r="L57" s="3"/>
      <c r="M57" s="3"/>
      <c r="N57" s="3">
        <v>4</v>
      </c>
      <c r="O57" s="3" t="s">
        <v>223</v>
      </c>
      <c r="P57" s="3" t="s">
        <v>223</v>
      </c>
      <c r="Q57" s="11"/>
    </row>
    <row r="58" spans="1:17" x14ac:dyDescent="0.3">
      <c r="A58" s="3">
        <v>56</v>
      </c>
      <c r="B58" s="5">
        <v>46057</v>
      </c>
      <c r="C58" s="3"/>
      <c r="D58" s="3"/>
      <c r="E58" s="3"/>
      <c r="F58" s="3"/>
      <c r="G58" s="3"/>
      <c r="H58" s="3">
        <v>1</v>
      </c>
      <c r="I58" s="3">
        <v>1</v>
      </c>
      <c r="J58" s="3"/>
      <c r="K58" s="3"/>
      <c r="L58" s="3"/>
      <c r="M58" s="3"/>
      <c r="N58" s="3">
        <v>4</v>
      </c>
      <c r="O58" s="3" t="s">
        <v>223</v>
      </c>
      <c r="P58" s="3" t="s">
        <v>223</v>
      </c>
      <c r="Q58" s="11">
        <v>3000</v>
      </c>
    </row>
    <row r="59" spans="1:17" x14ac:dyDescent="0.3">
      <c r="A59" s="3">
        <v>57</v>
      </c>
      <c r="B59" s="5">
        <v>46058</v>
      </c>
      <c r="C59" s="3"/>
      <c r="D59" s="3"/>
      <c r="E59" s="3"/>
      <c r="F59" s="3"/>
      <c r="G59" s="3"/>
      <c r="H59" s="3">
        <v>1</v>
      </c>
      <c r="I59" s="3">
        <v>1</v>
      </c>
      <c r="J59" s="3"/>
      <c r="K59" s="3"/>
      <c r="L59" s="3"/>
      <c r="M59" s="3"/>
      <c r="N59" s="3">
        <v>4</v>
      </c>
      <c r="O59" s="3" t="s">
        <v>223</v>
      </c>
      <c r="P59" s="3" t="s">
        <v>223</v>
      </c>
      <c r="Q59" s="11"/>
    </row>
    <row r="60" spans="1:17" x14ac:dyDescent="0.3">
      <c r="A60" s="3">
        <v>58</v>
      </c>
      <c r="B60" s="5">
        <v>46059</v>
      </c>
      <c r="C60" s="3"/>
      <c r="D60" s="3"/>
      <c r="E60" s="3"/>
      <c r="F60" s="3"/>
      <c r="G60" s="3"/>
      <c r="H60" s="3">
        <v>1</v>
      </c>
      <c r="I60" s="3">
        <v>1</v>
      </c>
      <c r="J60" s="3"/>
      <c r="K60" s="3"/>
      <c r="L60" s="3"/>
      <c r="M60" s="3"/>
      <c r="N60" s="3">
        <v>4</v>
      </c>
      <c r="O60" s="3" t="s">
        <v>223</v>
      </c>
      <c r="P60" s="3" t="s">
        <v>223</v>
      </c>
      <c r="Q60" s="11"/>
    </row>
    <row r="61" spans="1:17" x14ac:dyDescent="0.3">
      <c r="A61" s="3">
        <v>59</v>
      </c>
      <c r="B61" s="5">
        <v>46060</v>
      </c>
      <c r="C61" s="3"/>
      <c r="D61" s="3"/>
      <c r="E61" s="3"/>
      <c r="F61" s="3"/>
      <c r="G61" s="3"/>
      <c r="H61" s="3">
        <v>1</v>
      </c>
      <c r="I61" s="3">
        <v>1</v>
      </c>
      <c r="J61" s="3"/>
      <c r="K61" s="3"/>
      <c r="L61" s="3"/>
      <c r="M61" s="3"/>
      <c r="N61" s="3">
        <v>4</v>
      </c>
      <c r="O61" s="3" t="s">
        <v>223</v>
      </c>
      <c r="P61" s="3" t="s">
        <v>223</v>
      </c>
      <c r="Q61" s="11"/>
    </row>
    <row r="62" spans="1:17" x14ac:dyDescent="0.3">
      <c r="A62" s="3">
        <v>60</v>
      </c>
      <c r="B62" s="5">
        <v>46061</v>
      </c>
      <c r="C62" s="3"/>
      <c r="D62" s="3"/>
      <c r="E62" s="3"/>
      <c r="F62" s="3"/>
      <c r="G62" s="3"/>
      <c r="H62" s="3">
        <v>1</v>
      </c>
      <c r="I62" s="3">
        <v>1</v>
      </c>
      <c r="J62" s="3"/>
      <c r="K62" s="3"/>
      <c r="L62" s="11">
        <v>1000</v>
      </c>
      <c r="M62" s="3"/>
      <c r="N62" s="3">
        <v>4</v>
      </c>
      <c r="O62" s="3" t="s">
        <v>223</v>
      </c>
      <c r="P62" s="3" t="s">
        <v>223</v>
      </c>
      <c r="Q62" s="11">
        <v>2000</v>
      </c>
    </row>
    <row r="63" spans="1:17" x14ac:dyDescent="0.3">
      <c r="A63" s="3">
        <v>61</v>
      </c>
      <c r="B63" s="5">
        <v>46062</v>
      </c>
      <c r="C63" s="3"/>
      <c r="D63" s="3"/>
      <c r="E63" s="3"/>
      <c r="F63" s="3"/>
      <c r="G63" s="3"/>
      <c r="H63" s="3">
        <v>1</v>
      </c>
      <c r="I63" s="3">
        <v>1</v>
      </c>
      <c r="J63" s="3"/>
      <c r="K63" s="3"/>
      <c r="L63" s="3"/>
      <c r="M63" s="3"/>
      <c r="N63" s="3">
        <v>3</v>
      </c>
      <c r="O63" s="3" t="s">
        <v>223</v>
      </c>
      <c r="P63" s="3" t="s">
        <v>223</v>
      </c>
      <c r="Q63" s="11"/>
    </row>
    <row r="64" spans="1:17" x14ac:dyDescent="0.3">
      <c r="A64" s="3">
        <v>62</v>
      </c>
      <c r="B64" s="5">
        <v>46063</v>
      </c>
      <c r="C64" s="3"/>
      <c r="D64" s="3"/>
      <c r="E64" s="3"/>
      <c r="F64" s="3"/>
      <c r="G64" s="3"/>
      <c r="H64" s="3">
        <v>1</v>
      </c>
      <c r="I64" s="3">
        <v>1</v>
      </c>
      <c r="J64" s="3"/>
      <c r="K64" s="3"/>
      <c r="L64" s="3"/>
      <c r="M64" s="3"/>
      <c r="N64" s="3">
        <v>4</v>
      </c>
      <c r="O64" s="3" t="s">
        <v>223</v>
      </c>
      <c r="P64" s="3" t="s">
        <v>223</v>
      </c>
      <c r="Q64" s="11"/>
    </row>
    <row r="65" spans="1:17" x14ac:dyDescent="0.3">
      <c r="A65" s="3">
        <v>63</v>
      </c>
      <c r="B65" s="5">
        <v>46064</v>
      </c>
      <c r="C65" s="3"/>
      <c r="D65" s="3"/>
      <c r="E65" s="3"/>
      <c r="F65" s="3"/>
      <c r="G65" s="3"/>
      <c r="H65" s="3">
        <v>1</v>
      </c>
      <c r="I65" s="3">
        <v>1</v>
      </c>
      <c r="J65" s="3"/>
      <c r="K65" s="3"/>
      <c r="L65" s="3"/>
      <c r="M65" s="3"/>
      <c r="N65" s="3">
        <v>4</v>
      </c>
      <c r="O65" s="3" t="s">
        <v>223</v>
      </c>
      <c r="P65" s="3" t="s">
        <v>223</v>
      </c>
      <c r="Q65" s="11"/>
    </row>
    <row r="66" spans="1:17" x14ac:dyDescent="0.3">
      <c r="A66" s="3">
        <v>64</v>
      </c>
      <c r="B66" s="5">
        <v>46065</v>
      </c>
      <c r="C66" s="3"/>
      <c r="D66" s="3"/>
      <c r="E66" s="3"/>
      <c r="F66" s="3"/>
      <c r="G66" s="3"/>
      <c r="H66" s="3">
        <v>1</v>
      </c>
      <c r="I66" s="3">
        <v>1</v>
      </c>
      <c r="J66" s="3"/>
      <c r="K66" s="3"/>
      <c r="L66" s="3"/>
      <c r="M66" s="3"/>
      <c r="N66" s="3">
        <v>4</v>
      </c>
      <c r="O66" s="3" t="s">
        <v>223</v>
      </c>
      <c r="P66" s="3" t="s">
        <v>223</v>
      </c>
      <c r="Q66" s="11">
        <v>10000</v>
      </c>
    </row>
    <row r="67" spans="1:17" x14ac:dyDescent="0.3">
      <c r="A67" s="3">
        <v>65</v>
      </c>
      <c r="B67" s="5">
        <v>46066</v>
      </c>
      <c r="C67" s="3"/>
      <c r="D67" s="3"/>
      <c r="E67" s="3"/>
      <c r="F67" s="3"/>
      <c r="G67" s="3"/>
      <c r="H67" s="3">
        <v>1</v>
      </c>
      <c r="I67" s="3">
        <v>1</v>
      </c>
      <c r="J67" s="3"/>
      <c r="K67" s="3"/>
      <c r="L67" s="3"/>
      <c r="M67" s="3"/>
      <c r="N67" s="3">
        <v>4</v>
      </c>
      <c r="O67" s="3"/>
      <c r="P67" s="3"/>
      <c r="Q67" s="3"/>
    </row>
    <row r="68" spans="1:17" x14ac:dyDescent="0.3">
      <c r="A68" s="3">
        <v>66</v>
      </c>
      <c r="B68" s="5">
        <v>46067</v>
      </c>
      <c r="C68" s="3"/>
      <c r="D68" s="3"/>
      <c r="E68" s="3"/>
      <c r="F68" s="3"/>
      <c r="G68" s="3"/>
      <c r="H68" s="3">
        <v>1</v>
      </c>
      <c r="I68" s="3">
        <v>1</v>
      </c>
      <c r="J68" s="3"/>
      <c r="K68" s="3"/>
      <c r="L68" s="3"/>
      <c r="M68" s="3"/>
      <c r="N68" s="3">
        <v>4</v>
      </c>
      <c r="O68" s="3"/>
      <c r="P68" s="3"/>
      <c r="Q68" s="3"/>
    </row>
    <row r="69" spans="1:17" x14ac:dyDescent="0.3">
      <c r="A69" s="3">
        <v>67</v>
      </c>
      <c r="B69" s="5">
        <v>46068</v>
      </c>
      <c r="C69" s="3"/>
      <c r="D69" s="3"/>
      <c r="E69" s="3"/>
      <c r="F69" s="3"/>
      <c r="G69" s="3"/>
      <c r="H69" s="3"/>
      <c r="I69" s="3"/>
      <c r="J69" s="3"/>
      <c r="K69" s="3"/>
      <c r="L69" s="3">
        <v>1000</v>
      </c>
      <c r="M69" s="3"/>
      <c r="N69" s="3">
        <v>1</v>
      </c>
      <c r="O69" s="3"/>
      <c r="P69" s="3"/>
      <c r="Q69" s="11">
        <v>2000</v>
      </c>
    </row>
    <row r="70" spans="1:17" x14ac:dyDescent="0.3">
      <c r="A70" s="3">
        <v>68</v>
      </c>
      <c r="B70" s="5">
        <v>46069</v>
      </c>
      <c r="C70" s="3"/>
      <c r="D70" s="3"/>
      <c r="E70" s="3"/>
      <c r="F70" s="3"/>
      <c r="G70" s="3"/>
      <c r="H70" s="3">
        <v>1</v>
      </c>
      <c r="I70" s="3">
        <v>1</v>
      </c>
      <c r="J70" s="3"/>
      <c r="K70" s="3"/>
      <c r="L70" s="3"/>
      <c r="M70" s="3"/>
      <c r="N70" s="3">
        <v>3</v>
      </c>
      <c r="O70" s="3"/>
      <c r="P70" s="3"/>
      <c r="Q70" s="11"/>
    </row>
    <row r="71" spans="1:17" x14ac:dyDescent="0.3">
      <c r="A71" s="3">
        <v>69</v>
      </c>
      <c r="B71" s="5">
        <v>46070</v>
      </c>
      <c r="C71" s="3"/>
      <c r="D71" s="3"/>
      <c r="E71" s="3"/>
      <c r="F71" s="3"/>
      <c r="G71" s="3"/>
      <c r="H71" s="3">
        <v>1</v>
      </c>
      <c r="I71" s="3">
        <v>1</v>
      </c>
      <c r="J71" s="3"/>
      <c r="K71" s="3"/>
      <c r="L71" s="3"/>
      <c r="M71" s="3"/>
      <c r="N71" s="3">
        <v>4</v>
      </c>
      <c r="O71" s="3"/>
      <c r="P71" s="3"/>
      <c r="Q71" s="11"/>
    </row>
    <row r="72" spans="1:17" x14ac:dyDescent="0.3">
      <c r="A72" s="3">
        <v>70</v>
      </c>
      <c r="B72" s="5">
        <v>46071</v>
      </c>
      <c r="C72" s="3"/>
      <c r="D72" s="3"/>
      <c r="E72" s="3"/>
      <c r="F72" s="3"/>
      <c r="G72" s="3"/>
      <c r="H72" s="3">
        <v>1</v>
      </c>
      <c r="I72" s="3">
        <v>1</v>
      </c>
      <c r="J72" s="3">
        <v>1</v>
      </c>
      <c r="K72" s="3">
        <v>1</v>
      </c>
      <c r="L72" s="3">
        <v>2000</v>
      </c>
      <c r="M72" s="3"/>
      <c r="N72" s="3">
        <v>4</v>
      </c>
      <c r="O72" s="3" t="s">
        <v>235</v>
      </c>
      <c r="P72" s="3"/>
      <c r="Q72" s="11"/>
    </row>
    <row r="73" spans="1:17" x14ac:dyDescent="0.3">
      <c r="A73" s="3">
        <v>71</v>
      </c>
      <c r="B73" s="5">
        <v>46072</v>
      </c>
      <c r="C73" s="3"/>
      <c r="D73" s="3"/>
      <c r="E73" s="3"/>
      <c r="F73" s="3"/>
      <c r="G73" s="3"/>
      <c r="H73" s="3">
        <v>1</v>
      </c>
      <c r="I73" s="3"/>
      <c r="J73" s="3">
        <v>1</v>
      </c>
      <c r="K73" s="3">
        <v>2</v>
      </c>
      <c r="L73" s="3"/>
      <c r="M73" s="3"/>
      <c r="N73" s="3">
        <v>4</v>
      </c>
      <c r="O73" s="3" t="s">
        <v>235</v>
      </c>
      <c r="P73" s="3"/>
      <c r="Q73" s="11"/>
    </row>
    <row r="74" spans="1:17" x14ac:dyDescent="0.3">
      <c r="A74" s="3">
        <v>72</v>
      </c>
      <c r="B74" s="5">
        <v>46073</v>
      </c>
      <c r="C74" s="3"/>
      <c r="D74" s="3"/>
      <c r="E74" s="3"/>
      <c r="F74" s="3"/>
      <c r="G74" s="3"/>
      <c r="H74" s="3">
        <v>1</v>
      </c>
      <c r="I74" s="3"/>
      <c r="J74" s="3">
        <v>2</v>
      </c>
      <c r="K74" s="3">
        <v>2</v>
      </c>
      <c r="L74" s="3"/>
      <c r="M74" s="3"/>
      <c r="N74" s="3">
        <v>4</v>
      </c>
      <c r="O74" s="3" t="s">
        <v>237</v>
      </c>
      <c r="P74" s="3"/>
      <c r="Q74" s="11"/>
    </row>
    <row r="75" spans="1:17" x14ac:dyDescent="0.3">
      <c r="A75" s="3">
        <v>73</v>
      </c>
      <c r="B75" s="5">
        <v>46074</v>
      </c>
      <c r="C75" s="3"/>
      <c r="D75" s="3"/>
      <c r="E75" s="3"/>
      <c r="F75" s="3"/>
      <c r="G75" s="3"/>
      <c r="H75" s="3">
        <v>1</v>
      </c>
      <c r="I75" s="3"/>
      <c r="J75" s="3">
        <v>2</v>
      </c>
      <c r="K75" s="3">
        <v>2</v>
      </c>
      <c r="L75" s="3"/>
      <c r="M75" s="3"/>
      <c r="N75" s="3">
        <v>4</v>
      </c>
      <c r="O75" s="3" t="s">
        <v>237</v>
      </c>
      <c r="P75" s="3"/>
      <c r="Q75" s="11"/>
    </row>
    <row r="76" spans="1:17" x14ac:dyDescent="0.3">
      <c r="A76" s="3">
        <v>74</v>
      </c>
      <c r="B76" s="5">
        <v>46075</v>
      </c>
      <c r="C76" s="3"/>
      <c r="D76" s="3"/>
      <c r="E76" s="3"/>
      <c r="F76" s="3"/>
      <c r="G76" s="3"/>
      <c r="H76" s="3">
        <v>1</v>
      </c>
      <c r="I76" s="3"/>
      <c r="J76" s="3">
        <v>1</v>
      </c>
      <c r="K76" s="3">
        <v>1</v>
      </c>
      <c r="L76" s="3">
        <v>500</v>
      </c>
      <c r="M76" s="3"/>
      <c r="N76" s="3">
        <v>4</v>
      </c>
      <c r="O76" s="3" t="s">
        <v>238</v>
      </c>
      <c r="P76" s="3"/>
      <c r="Q76" s="11">
        <v>2000</v>
      </c>
    </row>
    <row r="77" spans="1:17" x14ac:dyDescent="0.3">
      <c r="A77" s="3">
        <v>75</v>
      </c>
      <c r="B77" s="5">
        <v>46076</v>
      </c>
      <c r="C77" s="3"/>
      <c r="D77" s="3"/>
      <c r="E77" s="3"/>
      <c r="F77" s="3"/>
      <c r="G77" s="3"/>
      <c r="H77" s="3">
        <v>1</v>
      </c>
      <c r="I77" s="3"/>
      <c r="J77" s="3">
        <v>4</v>
      </c>
      <c r="K77" s="3">
        <v>4</v>
      </c>
      <c r="L77" s="3"/>
      <c r="M77" s="3"/>
      <c r="N77" s="3">
        <v>3</v>
      </c>
      <c r="O77" s="3" t="s">
        <v>303</v>
      </c>
      <c r="P77" s="3"/>
      <c r="Q77" s="3"/>
    </row>
    <row r="78" spans="1:17" x14ac:dyDescent="0.3">
      <c r="A78" s="3">
        <v>76</v>
      </c>
      <c r="B78" s="5">
        <v>46077</v>
      </c>
      <c r="C78" s="3"/>
      <c r="D78" s="3"/>
      <c r="E78" s="3"/>
      <c r="F78" s="3"/>
      <c r="G78" s="3"/>
      <c r="H78" s="3" t="s">
        <v>239</v>
      </c>
      <c r="I78" s="3"/>
      <c r="J78" s="3"/>
      <c r="K78" s="3"/>
      <c r="L78" s="3"/>
      <c r="M78" s="3"/>
      <c r="N78" s="3" t="s">
        <v>239</v>
      </c>
      <c r="O78" s="3"/>
      <c r="P78" s="3"/>
      <c r="Q78" s="3"/>
    </row>
    <row r="79" spans="1:17" x14ac:dyDescent="0.3">
      <c r="A79" s="3">
        <v>77</v>
      </c>
      <c r="B79" s="5">
        <v>46078</v>
      </c>
      <c r="C79" s="3"/>
      <c r="D79" s="3"/>
      <c r="E79" s="3"/>
      <c r="F79" s="3"/>
      <c r="G79" s="3"/>
      <c r="H79" s="3" t="s">
        <v>239</v>
      </c>
      <c r="I79" s="3"/>
      <c r="J79" s="3"/>
      <c r="K79" s="3"/>
      <c r="L79" s="3"/>
      <c r="M79" s="3"/>
      <c r="N79" s="3">
        <v>1</v>
      </c>
      <c r="O79" s="3"/>
      <c r="P79" s="3"/>
      <c r="Q79" s="3"/>
    </row>
    <row r="80" spans="1:17" x14ac:dyDescent="0.3">
      <c r="A80" s="3">
        <v>78</v>
      </c>
      <c r="B80" s="5">
        <v>46079</v>
      </c>
      <c r="C80" s="3"/>
      <c r="D80" s="3"/>
      <c r="E80" s="3"/>
      <c r="F80" s="3"/>
      <c r="G80" s="3"/>
      <c r="H80" s="3">
        <v>1</v>
      </c>
      <c r="I80" s="3"/>
      <c r="J80" s="3"/>
      <c r="K80" s="3"/>
      <c r="L80" s="3"/>
      <c r="M80" s="3"/>
      <c r="N80" s="3">
        <v>3</v>
      </c>
      <c r="O80" s="3"/>
      <c r="P80" s="3"/>
      <c r="Q80" s="11">
        <v>10000</v>
      </c>
    </row>
    <row r="81" spans="1:26" x14ac:dyDescent="0.3">
      <c r="A81" s="3">
        <v>79</v>
      </c>
      <c r="B81" s="5">
        <v>46080</v>
      </c>
      <c r="C81" s="3"/>
      <c r="D81" s="3"/>
      <c r="E81" s="3"/>
      <c r="F81" s="3"/>
      <c r="G81" s="3"/>
      <c r="H81" s="3">
        <v>1</v>
      </c>
      <c r="I81" s="3"/>
      <c r="J81" s="3"/>
      <c r="K81" s="3"/>
      <c r="L81" s="3"/>
      <c r="M81" s="3"/>
      <c r="N81" s="3">
        <v>3</v>
      </c>
      <c r="O81" s="3"/>
      <c r="P81" s="3"/>
      <c r="Q81" s="11">
        <v>300</v>
      </c>
    </row>
    <row r="82" spans="1:26" x14ac:dyDescent="0.3">
      <c r="A82" s="3">
        <v>80</v>
      </c>
      <c r="B82" s="5">
        <v>46081</v>
      </c>
      <c r="C82" s="3"/>
      <c r="D82" s="3"/>
      <c r="E82" s="3"/>
      <c r="F82" s="3"/>
      <c r="G82" s="3"/>
      <c r="H82" s="3">
        <v>1</v>
      </c>
      <c r="I82" s="3"/>
      <c r="J82" s="3"/>
      <c r="K82" s="3"/>
      <c r="L82" s="3"/>
      <c r="M82" s="3"/>
      <c r="N82" s="3">
        <v>3</v>
      </c>
      <c r="O82" s="3"/>
      <c r="P82" s="3"/>
      <c r="Q82" s="3"/>
    </row>
    <row r="83" spans="1:26" x14ac:dyDescent="0.3">
      <c r="A83" s="3">
        <v>81</v>
      </c>
      <c r="B83" s="5">
        <v>46082</v>
      </c>
      <c r="C83" s="3"/>
      <c r="D83" s="3"/>
      <c r="E83" s="3"/>
      <c r="F83" s="3"/>
      <c r="G83" s="3"/>
      <c r="H83" s="3">
        <v>1</v>
      </c>
      <c r="I83" s="3"/>
      <c r="J83" s="3"/>
      <c r="K83" s="3"/>
      <c r="L83" s="3"/>
      <c r="M83" s="3"/>
      <c r="N83" s="3">
        <v>3</v>
      </c>
      <c r="O83" s="3"/>
      <c r="P83" s="3"/>
      <c r="Q83" s="11">
        <v>3000</v>
      </c>
    </row>
    <row r="84" spans="1:26" x14ac:dyDescent="0.3">
      <c r="A84" s="3">
        <v>82</v>
      </c>
      <c r="B84" s="5">
        <v>46083</v>
      </c>
      <c r="C84" s="3"/>
      <c r="D84" s="3"/>
      <c r="E84" s="3"/>
      <c r="F84" s="3"/>
      <c r="G84" s="3"/>
      <c r="H84" s="3">
        <v>1</v>
      </c>
      <c r="I84" s="3"/>
      <c r="J84" s="3">
        <v>1</v>
      </c>
      <c r="K84" s="3"/>
      <c r="L84" s="3"/>
      <c r="M84" s="3"/>
      <c r="N84" s="3">
        <v>2</v>
      </c>
      <c r="O84" s="3" t="s">
        <v>236</v>
      </c>
      <c r="P84" s="3"/>
      <c r="Q84" s="3"/>
    </row>
    <row r="85" spans="1:26" x14ac:dyDescent="0.3">
      <c r="A85" s="3">
        <v>83</v>
      </c>
      <c r="B85" s="5">
        <v>46084</v>
      </c>
      <c r="C85" s="3"/>
      <c r="D85" s="3"/>
      <c r="E85" s="3"/>
      <c r="F85" s="3"/>
      <c r="G85" s="3"/>
      <c r="H85" s="3" t="s">
        <v>302</v>
      </c>
      <c r="I85" s="3"/>
      <c r="J85" s="3"/>
      <c r="K85" s="3"/>
      <c r="L85" s="3"/>
      <c r="M85" s="3"/>
      <c r="N85" s="3" t="s">
        <v>302</v>
      </c>
      <c r="O85" s="3"/>
      <c r="P85" s="3"/>
      <c r="Q85" s="3"/>
    </row>
    <row r="86" spans="1:26" x14ac:dyDescent="0.3">
      <c r="A86" s="3">
        <v>84</v>
      </c>
      <c r="B86" s="5">
        <v>46085</v>
      </c>
      <c r="C86" s="3"/>
      <c r="D86" s="3"/>
      <c r="E86" s="3"/>
      <c r="F86" s="3"/>
      <c r="G86" s="3"/>
      <c r="H86" s="3">
        <v>0.5</v>
      </c>
      <c r="I86" s="3"/>
      <c r="J86" s="3"/>
      <c r="K86" s="3"/>
      <c r="L86" s="3"/>
      <c r="M86" s="3"/>
      <c r="N86" s="3">
        <v>0.5</v>
      </c>
      <c r="O86" s="3"/>
      <c r="P86" s="3"/>
      <c r="Q86" s="3"/>
    </row>
    <row r="87" spans="1:26" x14ac:dyDescent="0.3">
      <c r="A87" s="3">
        <v>85</v>
      </c>
      <c r="B87" s="5">
        <v>46086</v>
      </c>
      <c r="C87" s="3"/>
      <c r="D87" s="3"/>
      <c r="E87" s="3"/>
      <c r="F87" s="3"/>
      <c r="G87" s="3"/>
      <c r="H87" s="3">
        <v>1</v>
      </c>
      <c r="I87" s="3"/>
      <c r="J87" s="3"/>
      <c r="K87" s="3"/>
      <c r="L87" s="3"/>
      <c r="M87" s="3"/>
      <c r="N87" s="3">
        <v>3</v>
      </c>
      <c r="O87" s="3"/>
      <c r="P87" s="3"/>
      <c r="Q87" s="3"/>
    </row>
    <row r="88" spans="1:26" x14ac:dyDescent="0.3">
      <c r="A88" s="3">
        <v>86</v>
      </c>
      <c r="B88" s="5">
        <v>46087</v>
      </c>
      <c r="C88" s="3"/>
      <c r="D88" s="3"/>
      <c r="E88" s="3"/>
      <c r="F88" s="3"/>
      <c r="G88" s="3"/>
      <c r="H88" s="3">
        <v>1</v>
      </c>
      <c r="I88" s="3"/>
      <c r="J88" s="3"/>
      <c r="K88" s="3"/>
      <c r="L88" s="3"/>
      <c r="M88" s="3"/>
      <c r="N88" s="3">
        <v>3</v>
      </c>
      <c r="O88" s="3">
        <v>1</v>
      </c>
      <c r="P88" s="3"/>
      <c r="Q88" s="3"/>
    </row>
    <row r="89" spans="1:26" x14ac:dyDescent="0.3">
      <c r="A89" s="3">
        <v>87</v>
      </c>
      <c r="B89" s="5">
        <v>46088</v>
      </c>
      <c r="C89" s="3"/>
      <c r="D89" s="3"/>
      <c r="E89" s="3"/>
      <c r="F89" s="3"/>
      <c r="G89" s="3"/>
      <c r="H89" s="3">
        <v>1</v>
      </c>
      <c r="I89" s="3"/>
      <c r="J89" s="3">
        <v>2.5</v>
      </c>
      <c r="K89" s="3"/>
      <c r="L89" s="3"/>
      <c r="M89" s="3"/>
      <c r="N89" s="3">
        <v>3</v>
      </c>
      <c r="O89" s="3">
        <v>5</v>
      </c>
      <c r="P89" s="3"/>
      <c r="Q89" s="3"/>
    </row>
    <row r="90" spans="1:26" x14ac:dyDescent="0.3">
      <c r="A90" s="3">
        <v>88</v>
      </c>
      <c r="B90" s="5">
        <v>46089</v>
      </c>
      <c r="C90" s="3"/>
      <c r="D90" s="3"/>
      <c r="E90" s="3"/>
      <c r="F90" s="3"/>
      <c r="G90" s="3"/>
      <c r="H90" s="3">
        <v>1</v>
      </c>
      <c r="I90" s="3"/>
      <c r="J90" s="3"/>
      <c r="K90" s="3"/>
      <c r="L90" s="3"/>
      <c r="M90" s="3"/>
      <c r="N90" s="3">
        <v>3</v>
      </c>
      <c r="O90" s="3"/>
      <c r="P90" s="3"/>
      <c r="Q90" s="11">
        <v>1500</v>
      </c>
      <c r="U90">
        <f>V90*700</f>
        <v>64750</v>
      </c>
      <c r="V90">
        <v>92.5</v>
      </c>
      <c r="W90" t="s">
        <v>296</v>
      </c>
      <c r="X90">
        <v>14.5</v>
      </c>
      <c r="Z90">
        <v>27900</v>
      </c>
    </row>
    <row r="91" spans="1:26" x14ac:dyDescent="0.3">
      <c r="A91" s="3">
        <v>89</v>
      </c>
      <c r="B91" s="5">
        <v>46090</v>
      </c>
      <c r="C91" s="3"/>
      <c r="D91" s="3"/>
      <c r="E91" s="3"/>
      <c r="F91" s="3"/>
      <c r="G91" s="3"/>
      <c r="H91" s="3" t="s">
        <v>302</v>
      </c>
      <c r="I91" s="3"/>
      <c r="J91" s="3"/>
      <c r="K91" s="3"/>
      <c r="L91" s="3"/>
      <c r="M91" s="3"/>
      <c r="N91" s="3" t="s">
        <v>302</v>
      </c>
      <c r="O91" s="3"/>
      <c r="P91" s="3"/>
      <c r="Q91" s="11"/>
      <c r="U91">
        <f>V91*550</f>
        <v>40150</v>
      </c>
      <c r="V91">
        <v>73</v>
      </c>
      <c r="W91" t="s">
        <v>297</v>
      </c>
      <c r="X91">
        <v>12</v>
      </c>
    </row>
    <row r="92" spans="1:26" x14ac:dyDescent="0.3">
      <c r="A92" s="3">
        <v>90</v>
      </c>
      <c r="B92" s="5">
        <v>46091</v>
      </c>
      <c r="C92" s="3"/>
      <c r="D92" s="3"/>
      <c r="E92" s="3"/>
      <c r="F92" s="3"/>
      <c r="G92" s="3"/>
      <c r="H92" s="3">
        <v>1</v>
      </c>
      <c r="I92" s="3"/>
      <c r="J92" s="3"/>
      <c r="K92" s="3"/>
      <c r="L92" s="3"/>
      <c r="M92" s="3"/>
      <c r="N92" s="3">
        <v>2</v>
      </c>
      <c r="O92" s="3"/>
      <c r="P92" s="3"/>
      <c r="Q92" s="11">
        <v>12000</v>
      </c>
    </row>
    <row r="93" spans="1:26" x14ac:dyDescent="0.3">
      <c r="A93" s="3">
        <v>91</v>
      </c>
      <c r="B93" s="5">
        <v>46092</v>
      </c>
      <c r="C93" s="3"/>
      <c r="D93" s="3"/>
      <c r="E93" s="3"/>
      <c r="F93" s="3"/>
      <c r="G93" s="3"/>
      <c r="H93" s="3">
        <v>1</v>
      </c>
      <c r="I93" s="3"/>
      <c r="J93" s="3"/>
      <c r="K93" s="3"/>
      <c r="L93" s="3"/>
      <c r="M93" s="3"/>
      <c r="N93" s="3">
        <v>1.5</v>
      </c>
      <c r="O93" s="3"/>
      <c r="P93" s="3"/>
      <c r="Q93" s="3"/>
      <c r="U93">
        <f>U90+U91</f>
        <v>104900</v>
      </c>
      <c r="V93">
        <f>87.5*14.5</f>
        <v>1268.75</v>
      </c>
    </row>
    <row r="94" spans="1:26" x14ac:dyDescent="0.3">
      <c r="A94" s="3">
        <v>92</v>
      </c>
      <c r="B94" s="5">
        <v>46093</v>
      </c>
      <c r="C94" s="3"/>
      <c r="D94" s="3"/>
      <c r="E94" s="3"/>
      <c r="F94" s="3"/>
      <c r="G94" s="3"/>
      <c r="H94" s="3">
        <v>1</v>
      </c>
      <c r="I94" s="3"/>
      <c r="J94" s="3"/>
      <c r="K94" s="3"/>
      <c r="L94" s="3"/>
      <c r="M94" s="3"/>
      <c r="N94" s="3">
        <v>1</v>
      </c>
      <c r="O94" s="3"/>
      <c r="P94" s="3"/>
      <c r="Q94" s="3"/>
      <c r="V94">
        <f>68.75*12</f>
        <v>825</v>
      </c>
    </row>
    <row r="95" spans="1:26" x14ac:dyDescent="0.3">
      <c r="A95" s="3">
        <v>93</v>
      </c>
      <c r="B95" s="5">
        <v>46094</v>
      </c>
      <c r="C95" s="3"/>
      <c r="D95" s="3"/>
      <c r="E95" s="3"/>
      <c r="F95" s="3"/>
      <c r="G95" s="3"/>
      <c r="H95" s="3">
        <v>1</v>
      </c>
      <c r="I95" s="3"/>
      <c r="J95" s="3"/>
      <c r="K95" s="3"/>
      <c r="L95" s="3"/>
      <c r="M95" s="3"/>
      <c r="N95" s="3">
        <v>1</v>
      </c>
      <c r="O95" s="3"/>
      <c r="P95" s="3"/>
      <c r="Q95" s="3"/>
      <c r="U95">
        <f>SUM(U93:U94)</f>
        <v>104900</v>
      </c>
      <c r="V95">
        <f>SUM(V93:V94)</f>
        <v>2093.75</v>
      </c>
    </row>
    <row r="96" spans="1:26" x14ac:dyDescent="0.3">
      <c r="A96" s="3">
        <v>94</v>
      </c>
      <c r="B96" s="5">
        <v>46095</v>
      </c>
      <c r="C96" s="3"/>
      <c r="D96" s="3"/>
      <c r="E96" s="3"/>
      <c r="F96" s="3"/>
      <c r="G96" s="3"/>
      <c r="H96" s="3">
        <v>1</v>
      </c>
      <c r="I96" s="3"/>
      <c r="J96" s="3"/>
      <c r="K96" s="3"/>
      <c r="L96" s="3"/>
      <c r="M96" s="3"/>
      <c r="N96" s="3">
        <v>2</v>
      </c>
      <c r="O96" s="3"/>
      <c r="P96" s="3"/>
      <c r="Q96" s="3"/>
    </row>
    <row r="97" spans="1:24" x14ac:dyDescent="0.3">
      <c r="A97" s="3">
        <v>95</v>
      </c>
      <c r="B97" s="5">
        <v>46096</v>
      </c>
      <c r="C97" s="3"/>
      <c r="D97" s="3"/>
      <c r="E97" s="3"/>
      <c r="F97" s="3"/>
      <c r="G97" s="3"/>
      <c r="H97" s="3" t="s">
        <v>302</v>
      </c>
      <c r="I97" s="3"/>
      <c r="J97" s="3"/>
      <c r="K97" s="3"/>
      <c r="L97" s="3"/>
      <c r="M97" s="3"/>
      <c r="N97" s="3">
        <v>1.5</v>
      </c>
      <c r="O97" s="3"/>
      <c r="P97" s="3"/>
      <c r="Q97" s="3"/>
    </row>
    <row r="98" spans="1:24" x14ac:dyDescent="0.3">
      <c r="A98" s="3">
        <v>96</v>
      </c>
      <c r="B98" s="5">
        <v>46097</v>
      </c>
      <c r="C98" s="3"/>
      <c r="D98" s="3"/>
      <c r="E98" s="3"/>
      <c r="F98" s="3"/>
      <c r="G98" s="3"/>
      <c r="H98" s="3">
        <v>1</v>
      </c>
      <c r="I98" s="3"/>
      <c r="J98" s="3">
        <v>2</v>
      </c>
      <c r="K98" s="3"/>
      <c r="L98" s="3"/>
      <c r="M98" s="3"/>
      <c r="N98" s="3"/>
      <c r="O98" s="3"/>
      <c r="P98" s="3"/>
      <c r="Q98" s="3"/>
    </row>
    <row r="99" spans="1:24" x14ac:dyDescent="0.3">
      <c r="A99" s="3">
        <v>97</v>
      </c>
      <c r="B99" s="5">
        <v>46098</v>
      </c>
      <c r="C99" s="3"/>
      <c r="D99" s="3"/>
      <c r="E99" s="3"/>
      <c r="F99" s="3"/>
      <c r="G99" s="3"/>
      <c r="H99" s="3">
        <v>0.5</v>
      </c>
      <c r="I99" s="3"/>
      <c r="J99" s="3"/>
      <c r="K99" s="3"/>
      <c r="L99" s="3"/>
      <c r="M99" s="3"/>
      <c r="N99" s="3"/>
      <c r="O99" s="3"/>
      <c r="P99" s="3"/>
      <c r="Q99" s="3"/>
    </row>
    <row r="100" spans="1:24" x14ac:dyDescent="0.3">
      <c r="A100" s="3">
        <v>98</v>
      </c>
      <c r="B100" s="5">
        <v>46099</v>
      </c>
      <c r="C100" s="3"/>
      <c r="D100" s="3"/>
      <c r="E100" s="3"/>
      <c r="F100" s="3"/>
      <c r="G100" s="3"/>
      <c r="H100" s="3">
        <v>1</v>
      </c>
      <c r="I100" s="3"/>
      <c r="J100" s="3"/>
      <c r="K100" s="3"/>
      <c r="L100" s="3"/>
      <c r="M100" s="3"/>
      <c r="N100" s="3"/>
      <c r="O100" s="3"/>
      <c r="P100" s="3"/>
      <c r="Q100" s="3"/>
    </row>
    <row r="101" spans="1:24" x14ac:dyDescent="0.3">
      <c r="A101" s="3">
        <v>99</v>
      </c>
      <c r="B101" s="5">
        <v>46100</v>
      </c>
      <c r="C101" s="3"/>
      <c r="D101" s="3"/>
      <c r="E101" s="3"/>
      <c r="F101" s="3"/>
      <c r="G101" s="3"/>
      <c r="H101" s="3">
        <v>0.5</v>
      </c>
      <c r="I101" s="3"/>
      <c r="J101" s="3"/>
      <c r="K101" s="3"/>
      <c r="L101" s="3"/>
      <c r="M101" s="3"/>
      <c r="N101" s="3"/>
      <c r="O101" s="3"/>
      <c r="P101" s="3"/>
      <c r="Q101" s="3"/>
    </row>
    <row r="102" spans="1:24" x14ac:dyDescent="0.3">
      <c r="A102" s="3">
        <v>100</v>
      </c>
      <c r="B102" s="5">
        <v>46101</v>
      </c>
      <c r="C102" s="3"/>
      <c r="D102" s="3"/>
      <c r="E102" s="3"/>
      <c r="F102" s="3"/>
      <c r="G102" s="3"/>
      <c r="H102" s="3">
        <v>1</v>
      </c>
      <c r="I102" s="3"/>
      <c r="J102" s="3"/>
      <c r="K102" s="3"/>
      <c r="L102" s="3"/>
      <c r="M102" s="3"/>
      <c r="N102" s="3"/>
      <c r="O102" s="3"/>
      <c r="P102" s="3"/>
      <c r="Q102" s="3"/>
    </row>
    <row r="103" spans="1:24" x14ac:dyDescent="0.3">
      <c r="A103" s="3">
        <v>101</v>
      </c>
      <c r="B103" s="5">
        <v>46102</v>
      </c>
      <c r="C103" s="3"/>
      <c r="D103" s="3"/>
      <c r="E103" s="3"/>
      <c r="F103" s="3"/>
      <c r="G103" s="3"/>
      <c r="H103" s="3">
        <v>1</v>
      </c>
      <c r="I103" s="3"/>
      <c r="J103" s="3"/>
      <c r="K103" s="3"/>
      <c r="L103" s="3"/>
      <c r="M103" s="3"/>
      <c r="N103" s="3"/>
      <c r="O103" s="3"/>
      <c r="P103" s="3"/>
      <c r="Q103" s="3"/>
    </row>
    <row r="104" spans="1:24" x14ac:dyDescent="0.3">
      <c r="A104" s="3">
        <v>102</v>
      </c>
      <c r="B104" s="5">
        <v>46103</v>
      </c>
      <c r="C104" s="3"/>
      <c r="D104" s="3"/>
      <c r="E104" s="3"/>
      <c r="F104" s="3"/>
      <c r="G104" s="3"/>
      <c r="H104" s="3">
        <v>0.5</v>
      </c>
      <c r="I104" s="3"/>
      <c r="J104" s="3"/>
      <c r="K104" s="3"/>
      <c r="L104" s="3"/>
      <c r="M104" s="3"/>
      <c r="N104" s="3"/>
      <c r="O104" s="3"/>
      <c r="P104" s="3"/>
      <c r="Q104" s="3"/>
    </row>
    <row r="105" spans="1:24" x14ac:dyDescent="0.3">
      <c r="A105" s="3">
        <v>103</v>
      </c>
      <c r="B105" s="5">
        <v>46104</v>
      </c>
      <c r="C105" s="3"/>
      <c r="D105" s="3"/>
      <c r="E105" s="3"/>
      <c r="F105" s="3"/>
      <c r="G105" s="3"/>
      <c r="H105" s="3">
        <v>1</v>
      </c>
      <c r="I105" s="3"/>
      <c r="J105" s="3"/>
      <c r="K105" s="3"/>
      <c r="L105" s="3"/>
      <c r="M105" s="3"/>
      <c r="N105" s="3"/>
      <c r="O105" s="3"/>
      <c r="P105" s="3"/>
      <c r="Q105" s="3"/>
    </row>
    <row r="106" spans="1:24" x14ac:dyDescent="0.3">
      <c r="A106" s="3">
        <v>104</v>
      </c>
      <c r="B106" s="5">
        <v>46105</v>
      </c>
      <c r="C106" s="3"/>
      <c r="D106" s="3"/>
      <c r="E106" s="3"/>
      <c r="F106" s="3"/>
      <c r="G106" s="3"/>
      <c r="H106" s="3">
        <v>1</v>
      </c>
      <c r="I106" s="3"/>
      <c r="J106" s="3"/>
      <c r="K106" s="3"/>
      <c r="L106" s="3"/>
      <c r="M106" s="3"/>
      <c r="N106" s="3"/>
      <c r="O106" s="3"/>
      <c r="P106" s="3"/>
      <c r="Q106" s="3"/>
    </row>
    <row r="107" spans="1:24" x14ac:dyDescent="0.3">
      <c r="A107" s="3">
        <v>105</v>
      </c>
      <c r="B107" s="5">
        <v>46106</v>
      </c>
      <c r="C107" s="3"/>
      <c r="D107" s="3"/>
      <c r="E107" s="3"/>
      <c r="F107" s="3"/>
      <c r="G107" s="3"/>
      <c r="H107" s="3">
        <v>1</v>
      </c>
      <c r="I107" s="3"/>
      <c r="J107" s="3">
        <v>4</v>
      </c>
      <c r="K107" s="3"/>
      <c r="L107" s="3"/>
      <c r="M107" s="3"/>
      <c r="N107" s="3"/>
      <c r="O107" s="3"/>
      <c r="P107" s="3"/>
      <c r="Q107" s="3"/>
      <c r="U107" t="s">
        <v>296</v>
      </c>
      <c r="V107">
        <v>104</v>
      </c>
    </row>
    <row r="108" spans="1:24" x14ac:dyDescent="0.3">
      <c r="A108" s="3">
        <v>106</v>
      </c>
      <c r="B108" s="5">
        <v>46107</v>
      </c>
      <c r="C108" s="3"/>
      <c r="D108" s="3"/>
      <c r="E108" s="3"/>
      <c r="F108" s="3"/>
      <c r="G108" s="3"/>
      <c r="H108" s="3">
        <v>1</v>
      </c>
      <c r="I108" s="3"/>
      <c r="J108" s="3">
        <v>3</v>
      </c>
      <c r="K108" s="3"/>
      <c r="L108" s="3"/>
      <c r="M108" s="3"/>
      <c r="N108" s="3"/>
      <c r="O108" s="3"/>
      <c r="P108" s="3"/>
      <c r="Q108" s="3"/>
      <c r="U108" t="s">
        <v>297</v>
      </c>
      <c r="V108">
        <v>73</v>
      </c>
    </row>
    <row r="109" spans="1:24" x14ac:dyDescent="0.3">
      <c r="A109" s="3">
        <v>107</v>
      </c>
      <c r="B109" s="5">
        <v>46108</v>
      </c>
      <c r="C109" s="3"/>
      <c r="D109" s="3"/>
      <c r="E109" s="3"/>
      <c r="F109" s="3"/>
      <c r="G109" s="3"/>
      <c r="H109" s="3">
        <v>1</v>
      </c>
      <c r="I109" s="3"/>
      <c r="J109" s="3">
        <v>2</v>
      </c>
      <c r="K109" s="3"/>
      <c r="L109" s="3"/>
      <c r="M109" s="3"/>
      <c r="N109" s="3"/>
      <c r="O109" s="3"/>
      <c r="P109" s="3"/>
      <c r="Q109" s="3"/>
      <c r="U109" t="s">
        <v>364</v>
      </c>
      <c r="V109">
        <v>25.5</v>
      </c>
    </row>
    <row r="110" spans="1:24" x14ac:dyDescent="0.3">
      <c r="A110" s="3">
        <v>108</v>
      </c>
      <c r="B110" s="5">
        <v>46109</v>
      </c>
      <c r="C110" s="3"/>
      <c r="D110" s="3"/>
      <c r="E110" s="3"/>
      <c r="F110" s="3"/>
      <c r="G110" s="3"/>
      <c r="H110" s="3" t="s">
        <v>302</v>
      </c>
      <c r="I110" s="3"/>
      <c r="J110" s="3"/>
      <c r="K110" s="3"/>
      <c r="L110" s="3"/>
      <c r="M110" s="3"/>
      <c r="N110" s="3"/>
      <c r="O110" s="3"/>
      <c r="P110" s="3"/>
      <c r="Q110" s="3"/>
      <c r="U110" t="s">
        <v>365</v>
      </c>
      <c r="V110">
        <v>12</v>
      </c>
    </row>
    <row r="111" spans="1:24" x14ac:dyDescent="0.3">
      <c r="A111" s="3">
        <v>109</v>
      </c>
      <c r="B111" s="5">
        <v>46110</v>
      </c>
      <c r="C111" s="3"/>
      <c r="D111" s="3"/>
      <c r="E111" s="3"/>
      <c r="F111" s="3"/>
      <c r="G111" s="3"/>
      <c r="H111" s="3">
        <v>0.5</v>
      </c>
      <c r="I111" s="3"/>
      <c r="J111" s="3"/>
      <c r="K111" s="3"/>
      <c r="L111" s="3"/>
      <c r="M111" s="3"/>
      <c r="N111" s="3"/>
      <c r="O111" s="3"/>
      <c r="P111" s="3"/>
      <c r="Q111" s="3"/>
    </row>
    <row r="112" spans="1:24" x14ac:dyDescent="0.3">
      <c r="A112" s="3">
        <v>110</v>
      </c>
      <c r="B112" s="5">
        <v>46111</v>
      </c>
      <c r="C112" s="3"/>
      <c r="D112" s="3"/>
      <c r="E112" s="3"/>
      <c r="F112" s="3"/>
      <c r="G112" s="3"/>
      <c r="H112" s="3">
        <v>0.5</v>
      </c>
      <c r="I112" s="3"/>
      <c r="J112" s="3"/>
      <c r="K112" s="3"/>
      <c r="L112" s="3"/>
      <c r="M112" s="3"/>
      <c r="N112" s="3"/>
      <c r="O112" s="3"/>
      <c r="P112" s="3"/>
      <c r="Q112" s="3"/>
      <c r="S112" s="87" t="s">
        <v>143</v>
      </c>
      <c r="T112" s="87"/>
      <c r="U112" s="87" t="s">
        <v>368</v>
      </c>
      <c r="V112" s="87"/>
      <c r="W112" s="87" t="s">
        <v>366</v>
      </c>
      <c r="X112" s="87"/>
    </row>
    <row r="113" spans="1:23" x14ac:dyDescent="0.3">
      <c r="A113" s="3">
        <v>111</v>
      </c>
      <c r="B113" s="5">
        <v>46112</v>
      </c>
      <c r="C113" s="3"/>
      <c r="D113" s="3"/>
      <c r="E113" s="3"/>
      <c r="F113" s="3"/>
      <c r="G113" s="3"/>
      <c r="H113" s="3">
        <v>1</v>
      </c>
      <c r="I113" s="3"/>
      <c r="J113" s="3"/>
      <c r="K113" s="3"/>
      <c r="L113" s="3"/>
      <c r="M113" s="3"/>
      <c r="N113" s="3"/>
      <c r="O113" s="3"/>
      <c r="P113" s="3"/>
      <c r="Q113" s="3"/>
      <c r="S113" t="s">
        <v>367</v>
      </c>
      <c r="T113" s="41">
        <v>46071</v>
      </c>
      <c r="U113" s="33" t="s">
        <v>296</v>
      </c>
      <c r="V113" s="33">
        <v>74</v>
      </c>
      <c r="W113">
        <v>71</v>
      </c>
    </row>
    <row r="114" spans="1:23" x14ac:dyDescent="0.3">
      <c r="A114" s="3">
        <v>112</v>
      </c>
      <c r="B114" s="5">
        <v>46113</v>
      </c>
      <c r="C114" s="3"/>
      <c r="D114" s="3"/>
      <c r="E114" s="3"/>
      <c r="F114" s="3"/>
      <c r="G114" s="3"/>
      <c r="H114" s="3">
        <v>1</v>
      </c>
      <c r="I114" s="3"/>
      <c r="J114" s="3"/>
      <c r="K114" s="3"/>
      <c r="L114" s="3"/>
      <c r="M114" s="3"/>
      <c r="N114" s="3"/>
      <c r="O114" s="3"/>
      <c r="P114" s="3"/>
      <c r="Q114" s="3"/>
      <c r="U114" s="33" t="s">
        <v>297</v>
      </c>
      <c r="V114" s="33">
        <v>76</v>
      </c>
      <c r="W114">
        <v>73</v>
      </c>
    </row>
    <row r="115" spans="1:23" x14ac:dyDescent="0.3">
      <c r="A115" s="3">
        <v>113</v>
      </c>
      <c r="B115" s="5">
        <v>46114</v>
      </c>
      <c r="C115" s="3"/>
      <c r="D115" s="3"/>
      <c r="E115" s="3"/>
      <c r="F115" s="3"/>
      <c r="G115" s="3"/>
      <c r="H115" s="3">
        <v>1</v>
      </c>
      <c r="I115" s="3"/>
      <c r="J115" s="3"/>
      <c r="K115" s="3"/>
      <c r="L115" s="3"/>
      <c r="M115" s="3"/>
      <c r="N115" s="3"/>
      <c r="O115" s="3"/>
      <c r="P115" s="3"/>
      <c r="Q115" s="3"/>
      <c r="S115" t="s">
        <v>367</v>
      </c>
      <c r="T115" t="s">
        <v>369</v>
      </c>
      <c r="U115" t="s">
        <v>296</v>
      </c>
      <c r="V115" s="33"/>
      <c r="W115">
        <v>33</v>
      </c>
    </row>
    <row r="116" spans="1:23" x14ac:dyDescent="0.3">
      <c r="A116" s="3">
        <v>114</v>
      </c>
      <c r="B116" s="5">
        <v>46115</v>
      </c>
      <c r="C116" s="3"/>
      <c r="D116" s="3"/>
      <c r="E116" s="3"/>
      <c r="F116" s="3"/>
      <c r="G116" s="3"/>
      <c r="H116" s="3">
        <v>0.5</v>
      </c>
      <c r="I116" s="3"/>
      <c r="J116" s="3">
        <v>2</v>
      </c>
      <c r="K116" s="3"/>
      <c r="L116" s="3"/>
      <c r="M116" s="3"/>
      <c r="N116" s="3"/>
      <c r="O116" s="3"/>
      <c r="P116" s="3"/>
      <c r="Q116" s="3"/>
      <c r="U116" t="s">
        <v>297</v>
      </c>
      <c r="W116">
        <v>0</v>
      </c>
    </row>
    <row r="117" spans="1:23" x14ac:dyDescent="0.3">
      <c r="A117" s="3">
        <v>115</v>
      </c>
      <c r="B117" s="5">
        <v>46116</v>
      </c>
      <c r="C117" s="3"/>
      <c r="D117" s="3"/>
      <c r="E117" s="3"/>
      <c r="F117" s="3"/>
      <c r="G117" s="3"/>
      <c r="H117" s="3">
        <v>1</v>
      </c>
      <c r="I117" s="3"/>
      <c r="J117" s="3">
        <v>2</v>
      </c>
      <c r="K117" s="3"/>
      <c r="L117" s="3"/>
      <c r="M117" s="3"/>
      <c r="N117" s="3"/>
      <c r="O117" s="3"/>
      <c r="P117" s="3"/>
      <c r="Q117" s="3"/>
      <c r="S117" s="87" t="s">
        <v>370</v>
      </c>
      <c r="T117" s="87"/>
      <c r="U117" t="s">
        <v>371</v>
      </c>
      <c r="W117">
        <v>25.5</v>
      </c>
    </row>
    <row r="118" spans="1:23" x14ac:dyDescent="0.3">
      <c r="A118" s="3">
        <v>116</v>
      </c>
      <c r="B118" s="5">
        <v>46117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S118" s="87" t="s">
        <v>370</v>
      </c>
      <c r="T118" s="87"/>
      <c r="U118" t="s">
        <v>372</v>
      </c>
      <c r="W118">
        <v>12</v>
      </c>
    </row>
    <row r="119" spans="1:23" x14ac:dyDescent="0.3">
      <c r="A119" s="3">
        <v>117</v>
      </c>
      <c r="B119" s="5">
        <v>46118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23" x14ac:dyDescent="0.3">
      <c r="A120" s="3">
        <v>118</v>
      </c>
      <c r="B120" s="5">
        <v>46119</v>
      </c>
      <c r="C120" s="3"/>
      <c r="D120" s="3"/>
      <c r="E120" s="3"/>
      <c r="F120" s="3"/>
      <c r="G120" s="3"/>
      <c r="H120" s="3">
        <v>1</v>
      </c>
      <c r="I120" s="3"/>
      <c r="J120" s="3"/>
      <c r="K120" s="3"/>
      <c r="L120" s="3"/>
      <c r="M120" s="3"/>
      <c r="N120" s="3"/>
      <c r="O120" s="3"/>
      <c r="P120" s="3"/>
      <c r="Q120" s="3"/>
    </row>
    <row r="121" spans="1:23" x14ac:dyDescent="0.3">
      <c r="A121" s="3">
        <v>119</v>
      </c>
      <c r="B121" s="5">
        <v>46120</v>
      </c>
      <c r="C121" s="3"/>
      <c r="D121" s="3"/>
      <c r="E121" s="3"/>
      <c r="F121" s="3"/>
      <c r="G121" s="3"/>
      <c r="H121" s="3">
        <v>1</v>
      </c>
      <c r="I121" s="3"/>
      <c r="J121" s="3">
        <v>1.5</v>
      </c>
      <c r="K121" s="3"/>
      <c r="L121" s="3"/>
      <c r="M121" s="3"/>
      <c r="N121" s="3"/>
      <c r="O121" s="3"/>
      <c r="P121" s="3"/>
      <c r="Q121" s="3"/>
      <c r="T121" s="87" t="s">
        <v>373</v>
      </c>
      <c r="U121" s="87"/>
      <c r="V121" s="87"/>
      <c r="W121">
        <v>34000</v>
      </c>
    </row>
    <row r="122" spans="1:23" x14ac:dyDescent="0.3">
      <c r="A122" s="3">
        <v>120</v>
      </c>
      <c r="B122" s="5">
        <v>46121</v>
      </c>
      <c r="C122" s="3"/>
      <c r="D122" s="3"/>
      <c r="E122" s="3"/>
      <c r="F122" s="3"/>
      <c r="G122" s="3"/>
      <c r="H122" s="3">
        <v>1</v>
      </c>
      <c r="I122" s="3"/>
      <c r="J122" s="3">
        <v>1</v>
      </c>
      <c r="K122" s="3"/>
      <c r="L122" s="3"/>
      <c r="M122" s="3"/>
      <c r="N122" s="3"/>
      <c r="O122" s="3"/>
      <c r="P122" s="3"/>
      <c r="Q122" s="3"/>
      <c r="T122" s="87" t="s">
        <v>374</v>
      </c>
      <c r="U122" s="87"/>
      <c r="V122" s="87"/>
      <c r="W122">
        <v>14900</v>
      </c>
    </row>
    <row r="123" spans="1:23" x14ac:dyDescent="0.3">
      <c r="A123" s="3">
        <v>121</v>
      </c>
      <c r="B123" s="5">
        <v>46122</v>
      </c>
      <c r="C123" s="3"/>
      <c r="D123" s="3"/>
      <c r="E123" s="3"/>
      <c r="F123" s="3"/>
      <c r="G123" s="3"/>
      <c r="H123" s="3">
        <v>1</v>
      </c>
      <c r="I123" s="3"/>
      <c r="J123" s="3">
        <v>2.5</v>
      </c>
      <c r="K123" s="3"/>
      <c r="L123" s="3"/>
      <c r="M123" s="3"/>
      <c r="N123" s="3"/>
      <c r="O123" s="3"/>
      <c r="P123" s="3"/>
      <c r="Q123" s="3"/>
      <c r="T123" s="87" t="s">
        <v>375</v>
      </c>
      <c r="U123" s="87"/>
      <c r="V123" s="87"/>
      <c r="W123">
        <v>2000</v>
      </c>
    </row>
    <row r="124" spans="1:23" x14ac:dyDescent="0.3">
      <c r="A124" s="3">
        <v>122</v>
      </c>
      <c r="B124" s="5">
        <v>46123</v>
      </c>
      <c r="C124" s="3"/>
      <c r="D124" s="3"/>
      <c r="E124" s="3"/>
      <c r="F124" s="3"/>
      <c r="G124" s="3"/>
      <c r="H124" s="3">
        <v>1</v>
      </c>
      <c r="I124" s="3"/>
      <c r="J124" s="3"/>
      <c r="K124" s="3"/>
      <c r="L124" s="3"/>
      <c r="M124" s="3"/>
      <c r="N124" s="3"/>
      <c r="O124" s="3"/>
      <c r="P124" s="3"/>
      <c r="Q124" s="3"/>
    </row>
    <row r="125" spans="1:23" x14ac:dyDescent="0.3">
      <c r="A125" s="3">
        <v>123</v>
      </c>
      <c r="B125" s="5">
        <v>46124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23" x14ac:dyDescent="0.3">
      <c r="A126" s="3">
        <v>124</v>
      </c>
      <c r="B126" s="5">
        <v>46125</v>
      </c>
      <c r="C126" s="3"/>
      <c r="D126" s="3"/>
      <c r="E126" s="3"/>
      <c r="F126" s="3"/>
      <c r="G126" s="3"/>
      <c r="H126" s="3">
        <v>1</v>
      </c>
      <c r="I126" s="3"/>
      <c r="J126" s="3"/>
      <c r="K126" s="3"/>
      <c r="L126" s="3"/>
      <c r="M126" s="3"/>
      <c r="N126" s="3"/>
      <c r="O126" s="3"/>
      <c r="P126" s="3"/>
      <c r="Q126" s="3"/>
    </row>
    <row r="127" spans="1:23" x14ac:dyDescent="0.3">
      <c r="A127" s="3">
        <v>125</v>
      </c>
      <c r="B127" s="5">
        <v>46126</v>
      </c>
      <c r="C127" s="3"/>
      <c r="D127" s="3"/>
      <c r="E127" s="3"/>
      <c r="F127" s="3"/>
      <c r="G127" s="3"/>
      <c r="H127" s="3">
        <v>1</v>
      </c>
      <c r="I127" s="3"/>
      <c r="J127" s="3"/>
      <c r="K127" s="3"/>
      <c r="L127" s="3"/>
      <c r="M127" s="3"/>
      <c r="N127" s="3"/>
      <c r="O127" s="3"/>
      <c r="P127" s="3"/>
      <c r="Q127" s="3"/>
    </row>
    <row r="128" spans="1:23" x14ac:dyDescent="0.3">
      <c r="A128" s="3">
        <v>126</v>
      </c>
      <c r="B128" s="5">
        <v>46127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27" x14ac:dyDescent="0.3">
      <c r="A129" s="3">
        <v>127</v>
      </c>
      <c r="B129" s="5">
        <v>46128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U129" t="s">
        <v>390</v>
      </c>
      <c r="V129" t="s">
        <v>392</v>
      </c>
      <c r="W129" t="s">
        <v>42</v>
      </c>
      <c r="X129" t="s">
        <v>393</v>
      </c>
      <c r="Y129" t="s">
        <v>308</v>
      </c>
      <c r="Z129" t="s">
        <v>220</v>
      </c>
      <c r="AA129" t="s">
        <v>394</v>
      </c>
    </row>
    <row r="130" spans="1:27" x14ac:dyDescent="0.3">
      <c r="A130" s="3">
        <v>128</v>
      </c>
      <c r="B130" s="5">
        <v>46129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T130" t="s">
        <v>387</v>
      </c>
      <c r="U130">
        <v>29</v>
      </c>
      <c r="V130">
        <v>21.5</v>
      </c>
      <c r="W130" s="52">
        <f>U130*500</f>
        <v>14500</v>
      </c>
      <c r="X130">
        <f>62.5*V130</f>
        <v>1343.75</v>
      </c>
      <c r="Y130">
        <f>W130+X130</f>
        <v>15843.75</v>
      </c>
      <c r="Z130">
        <v>14500</v>
      </c>
      <c r="AA130">
        <f>Y130-Z130</f>
        <v>1343.75</v>
      </c>
    </row>
    <row r="131" spans="1:27" x14ac:dyDescent="0.3">
      <c r="A131" s="3">
        <v>129</v>
      </c>
      <c r="B131" s="5">
        <v>46130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T131" t="s">
        <v>388</v>
      </c>
      <c r="U131">
        <v>31</v>
      </c>
      <c r="V131">
        <v>25</v>
      </c>
      <c r="W131" s="52">
        <f t="shared" ref="W131:W132" si="0">U131*500</f>
        <v>15500</v>
      </c>
      <c r="X131">
        <f t="shared" ref="X131:X132" si="1">62.5*V131</f>
        <v>1562.5</v>
      </c>
      <c r="Y131">
        <f t="shared" ref="Y131:Y132" si="2">W131+X131</f>
        <v>17062.5</v>
      </c>
      <c r="Z131">
        <f>7750+2000+1000+3000</f>
        <v>13750</v>
      </c>
      <c r="AA131">
        <f t="shared" ref="AA131:AA132" si="3">Y131-Z131</f>
        <v>3312.5</v>
      </c>
    </row>
    <row r="132" spans="1:27" x14ac:dyDescent="0.3">
      <c r="A132" s="3">
        <v>130</v>
      </c>
      <c r="B132" s="5">
        <v>46131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T132" t="s">
        <v>389</v>
      </c>
      <c r="U132">
        <v>31</v>
      </c>
      <c r="V132">
        <v>25</v>
      </c>
      <c r="W132" s="52">
        <f t="shared" si="0"/>
        <v>15500</v>
      </c>
      <c r="X132">
        <f t="shared" si="1"/>
        <v>1562.5</v>
      </c>
      <c r="Y132">
        <f t="shared" si="2"/>
        <v>17062.5</v>
      </c>
      <c r="Z132">
        <v>13750</v>
      </c>
      <c r="AA132">
        <f t="shared" si="3"/>
        <v>3312.5</v>
      </c>
    </row>
    <row r="133" spans="1:27" x14ac:dyDescent="0.3">
      <c r="A133" s="3">
        <v>131</v>
      </c>
      <c r="B133" s="5">
        <v>46132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AA133">
        <f>SUM(AA130:AA132)</f>
        <v>7968.75</v>
      </c>
    </row>
    <row r="134" spans="1:27" x14ac:dyDescent="0.3">
      <c r="A134" s="3">
        <v>132</v>
      </c>
      <c r="B134" s="5">
        <v>46133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27" x14ac:dyDescent="0.3">
      <c r="A135" s="3">
        <v>133</v>
      </c>
      <c r="B135" s="5">
        <v>46134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27" x14ac:dyDescent="0.3">
      <c r="A136" s="3">
        <v>134</v>
      </c>
      <c r="B136" s="5">
        <v>46135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27" x14ac:dyDescent="0.3">
      <c r="A137" s="3">
        <v>135</v>
      </c>
      <c r="B137" s="5">
        <v>46136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27" x14ac:dyDescent="0.3">
      <c r="A138" s="3">
        <v>136</v>
      </c>
      <c r="B138" s="5">
        <v>46137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27" x14ac:dyDescent="0.3">
      <c r="A139" s="3">
        <v>137</v>
      </c>
      <c r="B139" s="5">
        <v>46138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27" x14ac:dyDescent="0.3">
      <c r="A140" s="3">
        <v>138</v>
      </c>
      <c r="B140" s="5">
        <v>46139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27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27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27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27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</sheetData>
  <mergeCells count="14">
    <mergeCell ref="T122:V122"/>
    <mergeCell ref="T123:V123"/>
    <mergeCell ref="U112:V112"/>
    <mergeCell ref="W112:X112"/>
    <mergeCell ref="S117:T117"/>
    <mergeCell ref="S118:T118"/>
    <mergeCell ref="T121:V121"/>
    <mergeCell ref="S112:T112"/>
    <mergeCell ref="T2:W2"/>
    <mergeCell ref="C1:G1"/>
    <mergeCell ref="A1:B1"/>
    <mergeCell ref="H1:L1"/>
    <mergeCell ref="C19:G19"/>
    <mergeCell ref="M1:Q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B9D6-C212-48EE-A026-6A530F3AF0C9}">
  <dimension ref="A1:K20"/>
  <sheetViews>
    <sheetView workbookViewId="0">
      <selection activeCell="K17" sqref="K17"/>
    </sheetView>
  </sheetViews>
  <sheetFormatPr defaultRowHeight="14.4" x14ac:dyDescent="0.3"/>
  <cols>
    <col min="2" max="2" width="10.33203125" bestFit="1" customWidth="1"/>
    <col min="3" max="3" width="15" bestFit="1" customWidth="1"/>
    <col min="7" max="7" width="10.33203125" bestFit="1" customWidth="1"/>
  </cols>
  <sheetData>
    <row r="1" spans="1:11" ht="17.399999999999999" x14ac:dyDescent="0.3">
      <c r="A1" s="89" t="s">
        <v>299</v>
      </c>
      <c r="B1" s="89"/>
      <c r="C1" s="89"/>
      <c r="D1" s="89"/>
      <c r="E1" s="89"/>
    </row>
    <row r="2" spans="1:11" x14ac:dyDescent="0.3">
      <c r="A2" s="35" t="s">
        <v>294</v>
      </c>
      <c r="B2" s="35" t="s">
        <v>139</v>
      </c>
      <c r="C2" s="35" t="s">
        <v>295</v>
      </c>
      <c r="D2" s="35" t="s">
        <v>296</v>
      </c>
      <c r="E2" s="35" t="s">
        <v>297</v>
      </c>
    </row>
    <row r="3" spans="1:11" x14ac:dyDescent="0.3">
      <c r="A3" s="3">
        <v>1</v>
      </c>
      <c r="B3" s="5">
        <v>46034</v>
      </c>
      <c r="C3" s="3" t="s">
        <v>298</v>
      </c>
      <c r="D3" s="3">
        <v>1</v>
      </c>
      <c r="E3" s="3">
        <v>1</v>
      </c>
    </row>
    <row r="4" spans="1:11" x14ac:dyDescent="0.3">
      <c r="A4" s="3">
        <v>2</v>
      </c>
      <c r="B4" s="21">
        <v>46035</v>
      </c>
      <c r="C4" s="3" t="s">
        <v>298</v>
      </c>
      <c r="D4" s="3">
        <v>1</v>
      </c>
      <c r="E4" s="3">
        <v>1</v>
      </c>
    </row>
    <row r="5" spans="1:11" x14ac:dyDescent="0.3">
      <c r="A5" s="3">
        <v>3</v>
      </c>
      <c r="B5" s="21">
        <v>46036</v>
      </c>
      <c r="C5" s="3" t="s">
        <v>298</v>
      </c>
      <c r="D5" s="3">
        <v>1</v>
      </c>
      <c r="E5" s="3">
        <v>1</v>
      </c>
    </row>
    <row r="6" spans="1:11" x14ac:dyDescent="0.3">
      <c r="A6" s="3">
        <v>4</v>
      </c>
      <c r="B6" s="21">
        <v>46037</v>
      </c>
      <c r="C6" s="3" t="s">
        <v>298</v>
      </c>
      <c r="D6" s="3">
        <v>1</v>
      </c>
      <c r="E6" s="3">
        <v>1</v>
      </c>
    </row>
    <row r="7" spans="1:11" x14ac:dyDescent="0.3">
      <c r="A7" s="3">
        <v>5</v>
      </c>
      <c r="B7" s="21">
        <v>46038</v>
      </c>
      <c r="C7" s="3" t="s">
        <v>298</v>
      </c>
      <c r="D7" s="3">
        <v>1</v>
      </c>
      <c r="E7" s="3">
        <v>1</v>
      </c>
    </row>
    <row r="8" spans="1:11" x14ac:dyDescent="0.3">
      <c r="A8" s="3">
        <v>6</v>
      </c>
      <c r="B8" s="21">
        <v>46039</v>
      </c>
      <c r="C8" s="3" t="s">
        <v>298</v>
      </c>
      <c r="D8" s="3">
        <v>1</v>
      </c>
      <c r="E8" s="3">
        <v>1</v>
      </c>
    </row>
    <row r="9" spans="1:11" x14ac:dyDescent="0.3">
      <c r="A9" s="3">
        <v>7</v>
      </c>
      <c r="B9" s="21">
        <v>46040</v>
      </c>
      <c r="C9" s="3" t="s">
        <v>298</v>
      </c>
      <c r="D9" s="3">
        <v>1</v>
      </c>
      <c r="E9" s="3">
        <v>1</v>
      </c>
      <c r="F9" s="94" t="s">
        <v>300</v>
      </c>
      <c r="G9" s="94"/>
    </row>
    <row r="10" spans="1:11" x14ac:dyDescent="0.3">
      <c r="A10" s="3">
        <v>8</v>
      </c>
      <c r="B10" s="21">
        <v>46041</v>
      </c>
      <c r="C10" s="3" t="s">
        <v>298</v>
      </c>
      <c r="D10" s="3">
        <v>2</v>
      </c>
      <c r="E10" s="3">
        <v>2</v>
      </c>
      <c r="F10" s="3">
        <v>3</v>
      </c>
      <c r="G10" s="5">
        <v>46072</v>
      </c>
    </row>
    <row r="11" spans="1:11" x14ac:dyDescent="0.3">
      <c r="A11" s="3">
        <v>9</v>
      </c>
      <c r="B11" s="21">
        <v>46043</v>
      </c>
      <c r="C11" s="3" t="s">
        <v>298</v>
      </c>
      <c r="D11" s="3">
        <v>2</v>
      </c>
      <c r="E11" s="3">
        <v>2</v>
      </c>
      <c r="F11" s="3">
        <v>3</v>
      </c>
      <c r="G11" s="5">
        <v>46073</v>
      </c>
    </row>
    <row r="12" spans="1:11" x14ac:dyDescent="0.3">
      <c r="A12" s="3">
        <v>10</v>
      </c>
      <c r="B12" s="21">
        <v>46044</v>
      </c>
      <c r="C12" s="3" t="s">
        <v>298</v>
      </c>
      <c r="D12" s="3">
        <v>1</v>
      </c>
      <c r="E12" s="3">
        <v>2</v>
      </c>
      <c r="F12" s="3">
        <v>4</v>
      </c>
      <c r="G12" s="5">
        <v>46074</v>
      </c>
    </row>
    <row r="13" spans="1:11" x14ac:dyDescent="0.3">
      <c r="A13" s="3">
        <v>11</v>
      </c>
      <c r="B13" s="21">
        <v>46045</v>
      </c>
      <c r="C13" s="3" t="s">
        <v>298</v>
      </c>
      <c r="D13" s="3">
        <v>1</v>
      </c>
      <c r="E13" s="3">
        <v>1</v>
      </c>
      <c r="F13" s="4"/>
      <c r="G13" s="4"/>
    </row>
    <row r="14" spans="1:11" x14ac:dyDescent="0.3">
      <c r="A14" s="95" t="s">
        <v>301</v>
      </c>
      <c r="B14" s="96"/>
      <c r="C14" s="97"/>
      <c r="D14" s="35">
        <f>SUM(D3:D13)</f>
        <v>13</v>
      </c>
      <c r="E14" s="35">
        <f>SUM(E3:E13)</f>
        <v>14</v>
      </c>
      <c r="F14" s="37">
        <f>SUM(F10:F13)</f>
        <v>10</v>
      </c>
      <c r="G14" s="4"/>
    </row>
    <row r="16" spans="1:11" x14ac:dyDescent="0.3">
      <c r="D16" s="33">
        <v>750</v>
      </c>
      <c r="E16" s="33">
        <v>600</v>
      </c>
      <c r="K16">
        <f>24150+8470</f>
        <v>32620</v>
      </c>
    </row>
    <row r="20" spans="4:6" x14ac:dyDescent="0.3">
      <c r="D20">
        <f>D14*D16</f>
        <v>9750</v>
      </c>
      <c r="E20">
        <f>E14*E16</f>
        <v>8400</v>
      </c>
      <c r="F20">
        <f>F14*600</f>
        <v>6000</v>
      </c>
    </row>
  </sheetData>
  <mergeCells count="3">
    <mergeCell ref="A1:E1"/>
    <mergeCell ref="F9:G9"/>
    <mergeCell ref="A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5"/>
  <sheetViews>
    <sheetView tabSelected="1" workbookViewId="0">
      <pane ySplit="2" topLeftCell="A3" activePane="bottomLeft" state="frozen"/>
      <selection pane="bottomLeft" activeCell="L5" sqref="L5"/>
    </sheetView>
  </sheetViews>
  <sheetFormatPr defaultRowHeight="14.4" x14ac:dyDescent="0.3"/>
  <cols>
    <col min="1" max="1" width="10.44140625" style="14" bestFit="1" customWidth="1"/>
    <col min="2" max="2" width="10.44140625" style="34" bestFit="1" customWidth="1"/>
    <col min="3" max="3" width="23.5546875" style="1" bestFit="1" customWidth="1"/>
    <col min="4" max="4" width="15.44140625" style="34" bestFit="1" customWidth="1"/>
    <col min="5" max="6" width="9.109375" style="34"/>
    <col min="7" max="7" width="16.33203125" style="17" customWidth="1"/>
    <col min="8" max="8" width="13.44140625" style="17" bestFit="1" customWidth="1"/>
    <col min="11" max="11" width="12.109375" customWidth="1"/>
    <col min="12" max="12" width="10.109375" customWidth="1"/>
    <col min="13" max="13" width="21.5546875" bestFit="1" customWidth="1"/>
  </cols>
  <sheetData>
    <row r="1" spans="1:9" ht="63.6" customHeight="1" x14ac:dyDescent="0.3">
      <c r="A1" s="76" t="s">
        <v>49</v>
      </c>
      <c r="B1" s="76"/>
      <c r="C1" s="76"/>
      <c r="D1" s="76"/>
      <c r="E1" s="76"/>
      <c r="F1" s="76"/>
      <c r="G1" s="76"/>
      <c r="H1" s="76"/>
    </row>
    <row r="2" spans="1:9" ht="18" x14ac:dyDescent="0.35">
      <c r="A2" s="10" t="s">
        <v>48</v>
      </c>
      <c r="B2" s="10" t="s">
        <v>47</v>
      </c>
      <c r="C2" s="10" t="s">
        <v>45</v>
      </c>
      <c r="D2" s="32" t="s">
        <v>46</v>
      </c>
      <c r="E2" s="10" t="s">
        <v>44</v>
      </c>
      <c r="F2" s="10" t="s">
        <v>43</v>
      </c>
      <c r="G2" s="16" t="s">
        <v>41</v>
      </c>
      <c r="H2" s="16" t="s">
        <v>42</v>
      </c>
    </row>
    <row r="3" spans="1:9" x14ac:dyDescent="0.3">
      <c r="A3" s="71">
        <v>1</v>
      </c>
      <c r="B3" s="72">
        <v>45997</v>
      </c>
      <c r="C3" s="4" t="s">
        <v>85</v>
      </c>
      <c r="D3" s="3"/>
      <c r="E3" s="3">
        <v>2</v>
      </c>
      <c r="F3" s="3" t="s">
        <v>2</v>
      </c>
      <c r="G3" s="7">
        <v>300</v>
      </c>
      <c r="H3" s="7">
        <f>G3*E3</f>
        <v>600</v>
      </c>
      <c r="I3" s="1"/>
    </row>
    <row r="4" spans="1:9" x14ac:dyDescent="0.3">
      <c r="A4" s="71"/>
      <c r="B4" s="72"/>
      <c r="C4" s="4" t="s">
        <v>86</v>
      </c>
      <c r="D4" s="3"/>
      <c r="E4" s="3">
        <v>2</v>
      </c>
      <c r="F4" s="3" t="s">
        <v>2</v>
      </c>
      <c r="G4" s="7">
        <v>250</v>
      </c>
      <c r="H4" s="7">
        <f t="shared" ref="H4:H33" si="0">G4*E4</f>
        <v>500</v>
      </c>
      <c r="I4" s="1"/>
    </row>
    <row r="5" spans="1:9" x14ac:dyDescent="0.3">
      <c r="A5" s="71"/>
      <c r="B5" s="72"/>
      <c r="C5" s="4" t="s">
        <v>87</v>
      </c>
      <c r="D5" s="3"/>
      <c r="E5" s="3">
        <v>2</v>
      </c>
      <c r="F5" s="3" t="s">
        <v>2</v>
      </c>
      <c r="G5" s="7">
        <v>50</v>
      </c>
      <c r="H5" s="7">
        <f t="shared" si="0"/>
        <v>100</v>
      </c>
      <c r="I5" s="1"/>
    </row>
    <row r="6" spans="1:9" x14ac:dyDescent="0.3">
      <c r="A6" s="71"/>
      <c r="B6" s="72"/>
      <c r="C6" s="4" t="s">
        <v>88</v>
      </c>
      <c r="D6" s="3"/>
      <c r="E6" s="3">
        <v>2</v>
      </c>
      <c r="F6" s="3" t="s">
        <v>2</v>
      </c>
      <c r="G6" s="8">
        <v>100</v>
      </c>
      <c r="H6" s="7">
        <f t="shared" si="0"/>
        <v>200</v>
      </c>
      <c r="I6" s="1"/>
    </row>
    <row r="7" spans="1:9" x14ac:dyDescent="0.3">
      <c r="A7" s="71">
        <v>2</v>
      </c>
      <c r="B7" s="72">
        <v>45998</v>
      </c>
      <c r="C7" s="4" t="s">
        <v>89</v>
      </c>
      <c r="D7" s="3"/>
      <c r="E7" s="3">
        <v>1</v>
      </c>
      <c r="F7" s="3" t="s">
        <v>2</v>
      </c>
      <c r="G7" s="8">
        <v>170</v>
      </c>
      <c r="H7" s="8">
        <f t="shared" si="0"/>
        <v>170</v>
      </c>
      <c r="I7" s="1"/>
    </row>
    <row r="8" spans="1:9" x14ac:dyDescent="0.3">
      <c r="A8" s="71"/>
      <c r="B8" s="72"/>
      <c r="C8" s="4" t="s">
        <v>90</v>
      </c>
      <c r="D8" s="3"/>
      <c r="E8" s="3">
        <v>1</v>
      </c>
      <c r="F8" s="3" t="s">
        <v>2</v>
      </c>
      <c r="G8" s="8">
        <v>785</v>
      </c>
      <c r="H8" s="8">
        <f t="shared" si="0"/>
        <v>785</v>
      </c>
      <c r="I8" s="1"/>
    </row>
    <row r="9" spans="1:9" x14ac:dyDescent="0.3">
      <c r="A9" s="71"/>
      <c r="B9" s="72"/>
      <c r="C9" s="4" t="s">
        <v>91</v>
      </c>
      <c r="D9" s="3"/>
      <c r="E9" s="3">
        <v>1</v>
      </c>
      <c r="F9" s="3" t="s">
        <v>2</v>
      </c>
      <c r="G9" s="8">
        <v>485</v>
      </c>
      <c r="H9" s="8">
        <f t="shared" si="0"/>
        <v>485</v>
      </c>
      <c r="I9" s="1"/>
    </row>
    <row r="10" spans="1:9" x14ac:dyDescent="0.3">
      <c r="A10" s="71"/>
      <c r="B10" s="72"/>
      <c r="C10" s="4" t="s">
        <v>92</v>
      </c>
      <c r="D10" s="3"/>
      <c r="E10" s="3">
        <v>4</v>
      </c>
      <c r="F10" s="3" t="s">
        <v>2</v>
      </c>
      <c r="G10" s="8">
        <v>60</v>
      </c>
      <c r="H10" s="8">
        <f t="shared" si="0"/>
        <v>240</v>
      </c>
      <c r="I10" s="1"/>
    </row>
    <row r="11" spans="1:9" x14ac:dyDescent="0.3">
      <c r="A11" s="71"/>
      <c r="B11" s="72"/>
      <c r="C11" s="4" t="s">
        <v>94</v>
      </c>
      <c r="D11" s="3"/>
      <c r="E11" s="3">
        <v>2</v>
      </c>
      <c r="F11" s="3" t="s">
        <v>2</v>
      </c>
      <c r="G11" s="8">
        <v>60</v>
      </c>
      <c r="H11" s="8">
        <f t="shared" si="0"/>
        <v>120</v>
      </c>
      <c r="I11" s="1"/>
    </row>
    <row r="12" spans="1:9" x14ac:dyDescent="0.3">
      <c r="A12" s="71"/>
      <c r="B12" s="72"/>
      <c r="C12" s="4" t="s">
        <v>127</v>
      </c>
      <c r="D12" s="3"/>
      <c r="E12" s="3">
        <v>1</v>
      </c>
      <c r="F12" s="3" t="s">
        <v>2</v>
      </c>
      <c r="G12" s="8">
        <v>20</v>
      </c>
      <c r="H12" s="8">
        <f t="shared" si="0"/>
        <v>20</v>
      </c>
      <c r="I12" s="1"/>
    </row>
    <row r="13" spans="1:9" x14ac:dyDescent="0.3">
      <c r="A13" s="71"/>
      <c r="B13" s="72"/>
      <c r="C13" s="4" t="s">
        <v>93</v>
      </c>
      <c r="D13" s="3"/>
      <c r="E13" s="3">
        <v>2</v>
      </c>
      <c r="F13" s="3" t="s">
        <v>2</v>
      </c>
      <c r="G13" s="8">
        <v>30</v>
      </c>
      <c r="H13" s="8">
        <f t="shared" si="0"/>
        <v>60</v>
      </c>
      <c r="I13" s="1"/>
    </row>
    <row r="14" spans="1:9" x14ac:dyDescent="0.3">
      <c r="A14" s="71">
        <v>3</v>
      </c>
      <c r="B14" s="72">
        <v>45999</v>
      </c>
      <c r="C14" s="4" t="s">
        <v>95</v>
      </c>
      <c r="D14" s="3"/>
      <c r="E14" s="3">
        <v>1</v>
      </c>
      <c r="F14" s="3" t="s">
        <v>2</v>
      </c>
      <c r="G14" s="8">
        <v>250</v>
      </c>
      <c r="H14" s="8">
        <f t="shared" si="0"/>
        <v>250</v>
      </c>
      <c r="I14" s="1"/>
    </row>
    <row r="15" spans="1:9" x14ac:dyDescent="0.3">
      <c r="A15" s="71"/>
      <c r="B15" s="72"/>
      <c r="C15" s="4" t="s">
        <v>96</v>
      </c>
      <c r="D15" s="3"/>
      <c r="E15" s="3">
        <v>1</v>
      </c>
      <c r="F15" s="3" t="s">
        <v>2</v>
      </c>
      <c r="G15" s="8">
        <v>75</v>
      </c>
      <c r="H15" s="8">
        <f t="shared" si="0"/>
        <v>75</v>
      </c>
      <c r="I15" s="1"/>
    </row>
    <row r="16" spans="1:9" x14ac:dyDescent="0.3">
      <c r="A16" s="71"/>
      <c r="B16" s="72"/>
      <c r="C16" s="4" t="s">
        <v>97</v>
      </c>
      <c r="D16" s="3"/>
      <c r="E16" s="3">
        <v>1</v>
      </c>
      <c r="F16" s="3" t="s">
        <v>2</v>
      </c>
      <c r="G16" s="7">
        <v>75</v>
      </c>
      <c r="H16" s="7">
        <f t="shared" si="0"/>
        <v>75</v>
      </c>
      <c r="I16" s="1"/>
    </row>
    <row r="17" spans="1:9" x14ac:dyDescent="0.3">
      <c r="A17" s="71">
        <v>4</v>
      </c>
      <c r="B17" s="72">
        <v>46000</v>
      </c>
      <c r="C17" s="4" t="s">
        <v>98</v>
      </c>
      <c r="D17" s="3" t="s">
        <v>99</v>
      </c>
      <c r="E17" s="3">
        <v>1</v>
      </c>
      <c r="F17" s="3" t="s">
        <v>2</v>
      </c>
      <c r="G17" s="7">
        <v>1750</v>
      </c>
      <c r="H17" s="7">
        <f t="shared" si="0"/>
        <v>1750</v>
      </c>
      <c r="I17" s="1"/>
    </row>
    <row r="18" spans="1:9" x14ac:dyDescent="0.3">
      <c r="A18" s="71"/>
      <c r="B18" s="72"/>
      <c r="C18" s="4" t="s">
        <v>98</v>
      </c>
      <c r="D18" s="3" t="s">
        <v>100</v>
      </c>
      <c r="E18" s="3">
        <v>1</v>
      </c>
      <c r="F18" s="3" t="s">
        <v>2</v>
      </c>
      <c r="G18" s="7">
        <v>1550</v>
      </c>
      <c r="H18" s="7">
        <f t="shared" si="0"/>
        <v>1550</v>
      </c>
      <c r="I18" s="1"/>
    </row>
    <row r="19" spans="1:9" x14ac:dyDescent="0.3">
      <c r="A19" s="71"/>
      <c r="B19" s="72"/>
      <c r="C19" s="4" t="s">
        <v>98</v>
      </c>
      <c r="D19" s="3" t="s">
        <v>101</v>
      </c>
      <c r="E19" s="3">
        <v>1</v>
      </c>
      <c r="F19" s="3" t="s">
        <v>2</v>
      </c>
      <c r="G19" s="7">
        <v>1050</v>
      </c>
      <c r="H19" s="7">
        <f t="shared" si="0"/>
        <v>1050</v>
      </c>
      <c r="I19" s="1"/>
    </row>
    <row r="20" spans="1:9" x14ac:dyDescent="0.3">
      <c r="A20" s="71"/>
      <c r="B20" s="72"/>
      <c r="C20" s="4" t="s">
        <v>102</v>
      </c>
      <c r="D20" s="3"/>
      <c r="E20" s="3">
        <v>1</v>
      </c>
      <c r="F20" s="3" t="s">
        <v>103</v>
      </c>
      <c r="G20" s="7">
        <v>80</v>
      </c>
      <c r="H20" s="7">
        <f t="shared" si="0"/>
        <v>80</v>
      </c>
      <c r="I20" s="1"/>
    </row>
    <row r="21" spans="1:9" x14ac:dyDescent="0.3">
      <c r="A21" s="71"/>
      <c r="B21" s="72"/>
      <c r="C21" s="4" t="s">
        <v>20</v>
      </c>
      <c r="D21" s="3"/>
      <c r="E21" s="3">
        <v>1</v>
      </c>
      <c r="F21" s="3" t="s">
        <v>103</v>
      </c>
      <c r="G21" s="7">
        <v>100</v>
      </c>
      <c r="H21" s="7">
        <f t="shared" si="0"/>
        <v>100</v>
      </c>
      <c r="I21" s="1"/>
    </row>
    <row r="22" spans="1:9" x14ac:dyDescent="0.3">
      <c r="A22" s="71"/>
      <c r="B22" s="72"/>
      <c r="C22" s="4" t="s">
        <v>104</v>
      </c>
      <c r="D22" s="3"/>
      <c r="E22" s="3">
        <v>1</v>
      </c>
      <c r="F22" s="3" t="s">
        <v>2</v>
      </c>
      <c r="G22" s="7">
        <v>160</v>
      </c>
      <c r="H22" s="7">
        <f t="shared" si="0"/>
        <v>160</v>
      </c>
      <c r="I22" s="1"/>
    </row>
    <row r="23" spans="1:9" x14ac:dyDescent="0.3">
      <c r="A23" s="71"/>
      <c r="B23" s="72"/>
      <c r="C23" s="4" t="s">
        <v>105</v>
      </c>
      <c r="D23" s="3" t="s">
        <v>106</v>
      </c>
      <c r="E23" s="3">
        <v>1</v>
      </c>
      <c r="F23" s="3" t="s">
        <v>107</v>
      </c>
      <c r="G23" s="7">
        <v>420</v>
      </c>
      <c r="H23" s="7">
        <f t="shared" si="0"/>
        <v>420</v>
      </c>
      <c r="I23" s="1"/>
    </row>
    <row r="24" spans="1:9" x14ac:dyDescent="0.3">
      <c r="A24" s="71"/>
      <c r="B24" s="72"/>
      <c r="C24" s="4" t="s">
        <v>108</v>
      </c>
      <c r="D24" s="3"/>
      <c r="E24" s="3">
        <v>1</v>
      </c>
      <c r="F24" s="3" t="s">
        <v>2</v>
      </c>
      <c r="G24" s="7">
        <v>150</v>
      </c>
      <c r="H24" s="7">
        <f t="shared" si="0"/>
        <v>150</v>
      </c>
      <c r="I24" s="1"/>
    </row>
    <row r="25" spans="1:9" x14ac:dyDescent="0.3">
      <c r="A25" s="71"/>
      <c r="B25" s="72"/>
      <c r="C25" s="4" t="s">
        <v>109</v>
      </c>
      <c r="D25" s="3"/>
      <c r="E25" s="3">
        <v>1</v>
      </c>
      <c r="F25" s="3" t="s">
        <v>2</v>
      </c>
      <c r="G25" s="7">
        <v>130</v>
      </c>
      <c r="H25" s="7">
        <f t="shared" si="0"/>
        <v>130</v>
      </c>
      <c r="I25" s="1"/>
    </row>
    <row r="26" spans="1:9" x14ac:dyDescent="0.3">
      <c r="A26" s="71"/>
      <c r="B26" s="72"/>
      <c r="C26" s="4" t="s">
        <v>128</v>
      </c>
      <c r="D26" s="3" t="s">
        <v>110</v>
      </c>
      <c r="E26" s="3">
        <v>1</v>
      </c>
      <c r="F26" s="3" t="s">
        <v>2</v>
      </c>
      <c r="G26" s="7">
        <v>160</v>
      </c>
      <c r="H26" s="7">
        <f t="shared" si="0"/>
        <v>160</v>
      </c>
      <c r="I26" s="1"/>
    </row>
    <row r="27" spans="1:9" x14ac:dyDescent="0.3">
      <c r="A27" s="71"/>
      <c r="B27" s="72"/>
      <c r="C27" s="4" t="s">
        <v>128</v>
      </c>
      <c r="D27" s="3" t="s">
        <v>111</v>
      </c>
      <c r="E27" s="3">
        <v>1</v>
      </c>
      <c r="F27" s="3" t="s">
        <v>2</v>
      </c>
      <c r="G27" s="7">
        <v>250</v>
      </c>
      <c r="H27" s="7">
        <f t="shared" si="0"/>
        <v>250</v>
      </c>
      <c r="I27" s="1"/>
    </row>
    <row r="28" spans="1:9" x14ac:dyDescent="0.3">
      <c r="A28" s="71"/>
      <c r="B28" s="72"/>
      <c r="C28" s="4" t="s">
        <v>128</v>
      </c>
      <c r="D28" s="3" t="s">
        <v>112</v>
      </c>
      <c r="E28" s="3">
        <v>1</v>
      </c>
      <c r="F28" s="3" t="s">
        <v>2</v>
      </c>
      <c r="G28" s="7">
        <v>450</v>
      </c>
      <c r="H28" s="7">
        <f t="shared" si="0"/>
        <v>450</v>
      </c>
      <c r="I28" s="1"/>
    </row>
    <row r="29" spans="1:9" x14ac:dyDescent="0.3">
      <c r="A29" s="71"/>
      <c r="B29" s="72"/>
      <c r="C29" s="4" t="s">
        <v>113</v>
      </c>
      <c r="D29" s="3"/>
      <c r="E29" s="3">
        <v>1</v>
      </c>
      <c r="F29" s="3" t="s">
        <v>2</v>
      </c>
      <c r="G29" s="7">
        <v>350</v>
      </c>
      <c r="H29" s="7">
        <f t="shared" si="0"/>
        <v>350</v>
      </c>
      <c r="I29" s="1"/>
    </row>
    <row r="30" spans="1:9" x14ac:dyDescent="0.3">
      <c r="A30" s="71"/>
      <c r="B30" s="72"/>
      <c r="C30" s="4" t="s">
        <v>114</v>
      </c>
      <c r="D30" s="3"/>
      <c r="E30" s="3">
        <v>1</v>
      </c>
      <c r="F30" s="3" t="s">
        <v>2</v>
      </c>
      <c r="G30" s="7">
        <v>1300</v>
      </c>
      <c r="H30" s="7">
        <f t="shared" si="0"/>
        <v>1300</v>
      </c>
      <c r="I30" s="1"/>
    </row>
    <row r="31" spans="1:9" x14ac:dyDescent="0.3">
      <c r="A31" s="71"/>
      <c r="B31" s="72"/>
      <c r="C31" s="4" t="s">
        <v>129</v>
      </c>
      <c r="D31" s="3"/>
      <c r="E31" s="3">
        <v>2</v>
      </c>
      <c r="F31" s="3" t="s">
        <v>2</v>
      </c>
      <c r="G31" s="7">
        <v>60</v>
      </c>
      <c r="H31" s="7">
        <f t="shared" si="0"/>
        <v>120</v>
      </c>
      <c r="I31" s="1"/>
    </row>
    <row r="32" spans="1:9" x14ac:dyDescent="0.3">
      <c r="A32" s="71"/>
      <c r="B32" s="72"/>
      <c r="C32" s="4" t="s">
        <v>115</v>
      </c>
      <c r="D32" s="3"/>
      <c r="E32" s="3">
        <v>1</v>
      </c>
      <c r="F32" s="3" t="s">
        <v>2</v>
      </c>
      <c r="G32" s="7">
        <v>10</v>
      </c>
      <c r="H32" s="7">
        <f t="shared" si="0"/>
        <v>10</v>
      </c>
      <c r="I32" s="1"/>
    </row>
    <row r="33" spans="1:9" x14ac:dyDescent="0.3">
      <c r="A33" s="71"/>
      <c r="B33" s="72"/>
      <c r="C33" s="4" t="s">
        <v>116</v>
      </c>
      <c r="D33" s="3"/>
      <c r="E33" s="3">
        <v>2</v>
      </c>
      <c r="F33" s="3" t="s">
        <v>2</v>
      </c>
      <c r="G33" s="7">
        <v>10</v>
      </c>
      <c r="H33" s="7">
        <f t="shared" si="0"/>
        <v>20</v>
      </c>
      <c r="I33" s="1"/>
    </row>
    <row r="34" spans="1:9" x14ac:dyDescent="0.3">
      <c r="A34" s="71"/>
      <c r="B34" s="72"/>
      <c r="C34" s="4" t="s">
        <v>130</v>
      </c>
      <c r="D34" s="3"/>
      <c r="E34" s="3">
        <v>3</v>
      </c>
      <c r="F34" s="3" t="s">
        <v>2</v>
      </c>
      <c r="G34" s="15" t="s">
        <v>37</v>
      </c>
      <c r="H34" s="7">
        <v>50</v>
      </c>
      <c r="I34" s="1"/>
    </row>
    <row r="35" spans="1:9" x14ac:dyDescent="0.3">
      <c r="A35" s="71"/>
      <c r="B35" s="72"/>
      <c r="C35" s="4" t="s">
        <v>117</v>
      </c>
      <c r="D35" s="3"/>
      <c r="E35" s="3">
        <v>1</v>
      </c>
      <c r="F35" s="3" t="s">
        <v>2</v>
      </c>
      <c r="G35" s="7">
        <v>10</v>
      </c>
      <c r="H35" s="7">
        <f>G35*E35</f>
        <v>10</v>
      </c>
      <c r="I35" s="1"/>
    </row>
    <row r="36" spans="1:9" x14ac:dyDescent="0.3">
      <c r="A36" s="71"/>
      <c r="B36" s="72"/>
      <c r="C36" s="4" t="s">
        <v>118</v>
      </c>
      <c r="D36" s="3"/>
      <c r="E36" s="3">
        <v>1</v>
      </c>
      <c r="F36" s="3" t="s">
        <v>2</v>
      </c>
      <c r="G36" s="7">
        <v>25</v>
      </c>
      <c r="H36" s="7">
        <f t="shared" ref="H36:H50" si="1">G36*E36</f>
        <v>25</v>
      </c>
      <c r="I36" s="1"/>
    </row>
    <row r="37" spans="1:9" x14ac:dyDescent="0.3">
      <c r="A37" s="71"/>
      <c r="B37" s="72"/>
      <c r="C37" s="4" t="s">
        <v>131</v>
      </c>
      <c r="D37" s="3"/>
      <c r="E37" s="3">
        <v>1</v>
      </c>
      <c r="F37" s="3" t="s">
        <v>2</v>
      </c>
      <c r="G37" s="7">
        <v>20</v>
      </c>
      <c r="H37" s="7">
        <f t="shared" si="1"/>
        <v>20</v>
      </c>
      <c r="I37" s="1"/>
    </row>
    <row r="38" spans="1:9" x14ac:dyDescent="0.3">
      <c r="A38" s="71"/>
      <c r="B38" s="72"/>
      <c r="C38" s="4" t="s">
        <v>119</v>
      </c>
      <c r="D38" s="3"/>
      <c r="E38" s="3">
        <v>1</v>
      </c>
      <c r="F38" s="3" t="s">
        <v>120</v>
      </c>
      <c r="G38" s="7">
        <v>15</v>
      </c>
      <c r="H38" s="7">
        <f t="shared" si="1"/>
        <v>15</v>
      </c>
      <c r="I38" s="1"/>
    </row>
    <row r="39" spans="1:9" x14ac:dyDescent="0.3">
      <c r="A39" s="71"/>
      <c r="B39" s="72"/>
      <c r="C39" s="4" t="s">
        <v>132</v>
      </c>
      <c r="D39" s="3"/>
      <c r="E39" s="3">
        <v>4</v>
      </c>
      <c r="F39" s="3" t="s">
        <v>2</v>
      </c>
      <c r="G39" s="7">
        <v>20</v>
      </c>
      <c r="H39" s="7">
        <f t="shared" si="1"/>
        <v>80</v>
      </c>
      <c r="I39" s="1"/>
    </row>
    <row r="40" spans="1:9" x14ac:dyDescent="0.3">
      <c r="A40" s="71"/>
      <c r="B40" s="72"/>
      <c r="C40" s="4" t="s">
        <v>121</v>
      </c>
      <c r="D40" s="3"/>
      <c r="E40" s="3">
        <v>1</v>
      </c>
      <c r="F40" s="3" t="s">
        <v>2</v>
      </c>
      <c r="G40" s="7">
        <v>220</v>
      </c>
      <c r="H40" s="7">
        <f t="shared" si="1"/>
        <v>220</v>
      </c>
      <c r="I40" s="1"/>
    </row>
    <row r="41" spans="1:9" x14ac:dyDescent="0.3">
      <c r="A41" s="71"/>
      <c r="B41" s="72"/>
      <c r="C41" s="4" t="s">
        <v>122</v>
      </c>
      <c r="D41" s="3"/>
      <c r="E41" s="3">
        <v>1</v>
      </c>
      <c r="F41" s="3" t="s">
        <v>2</v>
      </c>
      <c r="G41" s="7">
        <v>500</v>
      </c>
      <c r="H41" s="7">
        <f t="shared" si="1"/>
        <v>500</v>
      </c>
      <c r="I41" s="1"/>
    </row>
    <row r="42" spans="1:9" x14ac:dyDescent="0.3">
      <c r="A42" s="71"/>
      <c r="B42" s="72"/>
      <c r="C42" s="4" t="s">
        <v>133</v>
      </c>
      <c r="D42" s="3"/>
      <c r="E42" s="3">
        <v>1</v>
      </c>
      <c r="F42" s="3" t="s">
        <v>2</v>
      </c>
      <c r="G42" s="7">
        <v>1500</v>
      </c>
      <c r="H42" s="7">
        <f t="shared" si="1"/>
        <v>1500</v>
      </c>
      <c r="I42" s="1"/>
    </row>
    <row r="43" spans="1:9" x14ac:dyDescent="0.3">
      <c r="A43" s="71"/>
      <c r="B43" s="72"/>
      <c r="C43" s="4" t="s">
        <v>123</v>
      </c>
      <c r="D43" s="3"/>
      <c r="E43" s="3">
        <v>1</v>
      </c>
      <c r="F43" s="3" t="s">
        <v>2</v>
      </c>
      <c r="G43" s="7">
        <v>100</v>
      </c>
      <c r="H43" s="7">
        <f t="shared" si="1"/>
        <v>100</v>
      </c>
      <c r="I43" s="1"/>
    </row>
    <row r="44" spans="1:9" x14ac:dyDescent="0.3">
      <c r="A44" s="71"/>
      <c r="B44" s="72"/>
      <c r="C44" s="4" t="s">
        <v>134</v>
      </c>
      <c r="D44" s="3"/>
      <c r="E44" s="3">
        <v>1</v>
      </c>
      <c r="F44" s="3" t="s">
        <v>2</v>
      </c>
      <c r="G44" s="7">
        <v>100</v>
      </c>
      <c r="H44" s="7">
        <f t="shared" si="1"/>
        <v>100</v>
      </c>
      <c r="I44" s="1"/>
    </row>
    <row r="45" spans="1:9" x14ac:dyDescent="0.3">
      <c r="A45" s="71"/>
      <c r="B45" s="72"/>
      <c r="C45" s="4" t="s">
        <v>124</v>
      </c>
      <c r="D45" s="3"/>
      <c r="E45" s="3">
        <v>1</v>
      </c>
      <c r="F45" s="3" t="s">
        <v>2</v>
      </c>
      <c r="G45" s="7">
        <v>200</v>
      </c>
      <c r="H45" s="7">
        <f t="shared" si="1"/>
        <v>200</v>
      </c>
      <c r="I45" s="1"/>
    </row>
    <row r="46" spans="1:9" x14ac:dyDescent="0.3">
      <c r="A46" s="71"/>
      <c r="B46" s="72"/>
      <c r="C46" s="4" t="s">
        <v>125</v>
      </c>
      <c r="D46" s="3"/>
      <c r="E46" s="3">
        <v>1</v>
      </c>
      <c r="F46" s="3" t="s">
        <v>2</v>
      </c>
      <c r="G46" s="7">
        <v>80</v>
      </c>
      <c r="H46" s="7">
        <f t="shared" si="1"/>
        <v>80</v>
      </c>
      <c r="I46" s="1"/>
    </row>
    <row r="47" spans="1:9" x14ac:dyDescent="0.3">
      <c r="A47" s="71">
        <v>5</v>
      </c>
      <c r="B47" s="77">
        <v>46001</v>
      </c>
      <c r="C47" s="4" t="s">
        <v>40</v>
      </c>
      <c r="D47" s="3"/>
      <c r="E47" s="3">
        <v>2</v>
      </c>
      <c r="F47" s="3" t="s">
        <v>2</v>
      </c>
      <c r="G47" s="7">
        <v>150</v>
      </c>
      <c r="H47" s="7">
        <f t="shared" si="1"/>
        <v>300</v>
      </c>
      <c r="I47" s="1"/>
    </row>
    <row r="48" spans="1:9" x14ac:dyDescent="0.3">
      <c r="A48" s="71"/>
      <c r="B48" s="77"/>
      <c r="C48" s="4" t="s">
        <v>126</v>
      </c>
      <c r="D48" s="3"/>
      <c r="E48" s="3">
        <v>4</v>
      </c>
      <c r="F48" s="3" t="s">
        <v>2</v>
      </c>
      <c r="G48" s="7">
        <v>30</v>
      </c>
      <c r="H48" s="7">
        <f t="shared" si="1"/>
        <v>120</v>
      </c>
      <c r="I48" s="1"/>
    </row>
    <row r="49" spans="1:9" x14ac:dyDescent="0.3">
      <c r="A49" s="71">
        <v>6</v>
      </c>
      <c r="B49" s="77">
        <v>46002</v>
      </c>
      <c r="C49" s="4" t="s">
        <v>135</v>
      </c>
      <c r="D49" s="3"/>
      <c r="E49" s="3">
        <v>4</v>
      </c>
      <c r="F49" s="3" t="s">
        <v>2</v>
      </c>
      <c r="G49" s="7">
        <v>80</v>
      </c>
      <c r="H49" s="7">
        <f t="shared" si="1"/>
        <v>320</v>
      </c>
      <c r="I49" s="1"/>
    </row>
    <row r="50" spans="1:9" x14ac:dyDescent="0.3">
      <c r="A50" s="71"/>
      <c r="B50" s="77"/>
      <c r="C50" s="4" t="s">
        <v>135</v>
      </c>
      <c r="D50" s="3"/>
      <c r="E50" s="3">
        <v>1</v>
      </c>
      <c r="F50" s="3" t="s">
        <v>2</v>
      </c>
      <c r="G50" s="7">
        <v>150</v>
      </c>
      <c r="H50" s="7">
        <f t="shared" si="1"/>
        <v>150</v>
      </c>
      <c r="I50" s="1"/>
    </row>
    <row r="51" spans="1:9" x14ac:dyDescent="0.3">
      <c r="A51" s="67">
        <v>7</v>
      </c>
      <c r="B51" s="65">
        <v>46003</v>
      </c>
      <c r="C51" s="4" t="s">
        <v>50</v>
      </c>
      <c r="D51" s="3" t="s">
        <v>13</v>
      </c>
      <c r="E51" s="3">
        <v>1</v>
      </c>
      <c r="F51" s="3" t="s">
        <v>61</v>
      </c>
      <c r="G51" s="7">
        <v>80</v>
      </c>
      <c r="H51" s="8">
        <v>80</v>
      </c>
      <c r="I51" s="1"/>
    </row>
    <row r="52" spans="1:9" x14ac:dyDescent="0.3">
      <c r="A52" s="70"/>
      <c r="B52" s="69"/>
      <c r="C52" s="4" t="s">
        <v>50</v>
      </c>
      <c r="D52" s="3" t="s">
        <v>15</v>
      </c>
      <c r="E52" s="3">
        <v>1</v>
      </c>
      <c r="F52" s="3" t="s">
        <v>61</v>
      </c>
      <c r="G52" s="7">
        <v>80</v>
      </c>
      <c r="H52" s="8">
        <v>80</v>
      </c>
      <c r="I52" s="1"/>
    </row>
    <row r="53" spans="1:9" x14ac:dyDescent="0.3">
      <c r="A53" s="70"/>
      <c r="B53" s="69"/>
      <c r="C53" s="4" t="s">
        <v>50</v>
      </c>
      <c r="D53" s="3" t="s">
        <v>16</v>
      </c>
      <c r="E53" s="3">
        <v>2</v>
      </c>
      <c r="F53" s="3" t="s">
        <v>61</v>
      </c>
      <c r="G53" s="7">
        <v>80</v>
      </c>
      <c r="H53" s="8">
        <v>160</v>
      </c>
      <c r="I53" s="1"/>
    </row>
    <row r="54" spans="1:9" x14ac:dyDescent="0.3">
      <c r="A54" s="70"/>
      <c r="B54" s="69"/>
      <c r="C54" s="4" t="s">
        <v>50</v>
      </c>
      <c r="D54" s="3" t="s">
        <v>17</v>
      </c>
      <c r="E54" s="3">
        <v>2</v>
      </c>
      <c r="F54" s="3" t="s">
        <v>61</v>
      </c>
      <c r="G54" s="7">
        <v>80</v>
      </c>
      <c r="H54" s="8">
        <v>160</v>
      </c>
      <c r="I54" s="1"/>
    </row>
    <row r="55" spans="1:9" x14ac:dyDescent="0.3">
      <c r="A55" s="70"/>
      <c r="B55" s="69"/>
      <c r="C55" s="4" t="s">
        <v>51</v>
      </c>
      <c r="D55" s="3" t="s">
        <v>71</v>
      </c>
      <c r="E55" s="3">
        <v>1</v>
      </c>
      <c r="F55" s="3" t="s">
        <v>62</v>
      </c>
      <c r="G55" s="7">
        <v>177</v>
      </c>
      <c r="H55" s="8">
        <v>177</v>
      </c>
      <c r="I55" s="1"/>
    </row>
    <row r="56" spans="1:9" x14ac:dyDescent="0.3">
      <c r="A56" s="70"/>
      <c r="B56" s="69"/>
      <c r="C56" s="4" t="s">
        <v>51</v>
      </c>
      <c r="D56" s="3" t="s">
        <v>19</v>
      </c>
      <c r="E56" s="3">
        <v>1</v>
      </c>
      <c r="F56" s="3" t="s">
        <v>62</v>
      </c>
      <c r="G56" s="7">
        <v>490</v>
      </c>
      <c r="H56" s="8">
        <v>490</v>
      </c>
      <c r="I56" s="1"/>
    </row>
    <row r="57" spans="1:9" x14ac:dyDescent="0.3">
      <c r="A57" s="70"/>
      <c r="B57" s="69"/>
      <c r="C57" s="4" t="s">
        <v>52</v>
      </c>
      <c r="D57" s="3"/>
      <c r="E57" s="3">
        <v>1</v>
      </c>
      <c r="F57" s="3" t="s">
        <v>62</v>
      </c>
      <c r="G57" s="7">
        <v>150</v>
      </c>
      <c r="H57" s="8">
        <v>150</v>
      </c>
      <c r="I57" s="1"/>
    </row>
    <row r="58" spans="1:9" x14ac:dyDescent="0.3">
      <c r="A58" s="70"/>
      <c r="B58" s="69"/>
      <c r="C58" s="4" t="s">
        <v>53</v>
      </c>
      <c r="D58" s="3"/>
      <c r="E58" s="3">
        <v>1</v>
      </c>
      <c r="F58" s="3" t="s">
        <v>62</v>
      </c>
      <c r="G58" s="7">
        <v>170</v>
      </c>
      <c r="H58" s="8">
        <v>170</v>
      </c>
      <c r="I58" s="1"/>
    </row>
    <row r="59" spans="1:9" x14ac:dyDescent="0.3">
      <c r="A59" s="70"/>
      <c r="B59" s="69"/>
      <c r="C59" s="4" t="s">
        <v>54</v>
      </c>
      <c r="D59" s="3"/>
      <c r="E59" s="3">
        <v>2</v>
      </c>
      <c r="F59" s="3" t="s">
        <v>62</v>
      </c>
      <c r="G59" s="7">
        <v>20</v>
      </c>
      <c r="H59" s="8">
        <v>40</v>
      </c>
      <c r="I59" s="1"/>
    </row>
    <row r="60" spans="1:9" x14ac:dyDescent="0.3">
      <c r="A60" s="70"/>
      <c r="B60" s="69"/>
      <c r="C60" s="4" t="s">
        <v>55</v>
      </c>
      <c r="D60" s="3"/>
      <c r="E60" s="3">
        <v>1</v>
      </c>
      <c r="F60" s="3" t="s">
        <v>62</v>
      </c>
      <c r="G60" s="7">
        <v>87</v>
      </c>
      <c r="H60" s="8">
        <v>87</v>
      </c>
      <c r="I60" s="1"/>
    </row>
    <row r="61" spans="1:9" x14ac:dyDescent="0.3">
      <c r="A61" s="70"/>
      <c r="B61" s="69"/>
      <c r="C61" s="4" t="s">
        <v>56</v>
      </c>
      <c r="D61" s="3"/>
      <c r="E61" s="3">
        <v>1</v>
      </c>
      <c r="F61" s="3" t="s">
        <v>63</v>
      </c>
      <c r="G61" s="7">
        <v>160</v>
      </c>
      <c r="H61" s="8">
        <v>160</v>
      </c>
      <c r="I61" s="1"/>
    </row>
    <row r="62" spans="1:9" x14ac:dyDescent="0.3">
      <c r="A62" s="70"/>
      <c r="B62" s="69"/>
      <c r="C62" s="4" t="s">
        <v>57</v>
      </c>
      <c r="D62" s="3" t="s">
        <v>24</v>
      </c>
      <c r="E62" s="3">
        <v>1</v>
      </c>
      <c r="F62" s="3" t="s">
        <v>62</v>
      </c>
      <c r="G62" s="7">
        <v>400</v>
      </c>
      <c r="H62" s="8">
        <v>400</v>
      </c>
      <c r="I62" s="1"/>
    </row>
    <row r="63" spans="1:9" x14ac:dyDescent="0.3">
      <c r="A63" s="70"/>
      <c r="B63" s="69"/>
      <c r="C63" s="4" t="s">
        <v>58</v>
      </c>
      <c r="D63" s="3"/>
      <c r="E63" s="3">
        <v>2</v>
      </c>
      <c r="F63" s="3" t="s">
        <v>62</v>
      </c>
      <c r="G63" s="7">
        <v>200</v>
      </c>
      <c r="H63" s="8">
        <v>400</v>
      </c>
      <c r="I63" s="1"/>
    </row>
    <row r="64" spans="1:9" x14ac:dyDescent="0.3">
      <c r="A64" s="70"/>
      <c r="B64" s="69"/>
      <c r="C64" s="4" t="s">
        <v>59</v>
      </c>
      <c r="D64" s="3"/>
      <c r="E64" s="3">
        <v>2</v>
      </c>
      <c r="F64" s="3" t="s">
        <v>62</v>
      </c>
      <c r="G64" s="7">
        <v>75</v>
      </c>
      <c r="H64" s="8">
        <v>150</v>
      </c>
      <c r="I64" s="1"/>
    </row>
    <row r="65" spans="1:9" x14ac:dyDescent="0.3">
      <c r="A65" s="68"/>
      <c r="B65" s="66"/>
      <c r="C65" s="4" t="s">
        <v>60</v>
      </c>
      <c r="D65" s="3"/>
      <c r="E65" s="3">
        <v>2</v>
      </c>
      <c r="F65" s="3" t="s">
        <v>62</v>
      </c>
      <c r="G65" s="7">
        <v>200</v>
      </c>
      <c r="H65" s="8">
        <v>400</v>
      </c>
      <c r="I65" s="1"/>
    </row>
    <row r="66" spans="1:9" x14ac:dyDescent="0.3">
      <c r="A66" s="75">
        <v>8</v>
      </c>
      <c r="B66" s="72">
        <v>46009</v>
      </c>
      <c r="C66" s="4" t="s">
        <v>64</v>
      </c>
      <c r="D66" s="3"/>
      <c r="E66" s="3">
        <v>20</v>
      </c>
      <c r="F66" s="3" t="s">
        <v>69</v>
      </c>
      <c r="G66" s="11" t="s">
        <v>37</v>
      </c>
      <c r="H66" s="9" t="s">
        <v>37</v>
      </c>
      <c r="I66" s="1"/>
    </row>
    <row r="67" spans="1:9" x14ac:dyDescent="0.3">
      <c r="A67" s="75"/>
      <c r="B67" s="72"/>
      <c r="C67" s="4" t="s">
        <v>50</v>
      </c>
      <c r="D67" s="3" t="s">
        <v>13</v>
      </c>
      <c r="E67" s="3">
        <v>2</v>
      </c>
      <c r="F67" s="3" t="s">
        <v>61</v>
      </c>
      <c r="G67" s="7">
        <v>80</v>
      </c>
      <c r="H67" s="8">
        <v>160</v>
      </c>
      <c r="I67" s="1"/>
    </row>
    <row r="68" spans="1:9" x14ac:dyDescent="0.3">
      <c r="A68" s="75"/>
      <c r="B68" s="72"/>
      <c r="C68" s="4" t="s">
        <v>50</v>
      </c>
      <c r="D68" s="3" t="s">
        <v>15</v>
      </c>
      <c r="E68" s="3">
        <v>2</v>
      </c>
      <c r="F68" s="3" t="s">
        <v>61</v>
      </c>
      <c r="G68" s="7">
        <v>80</v>
      </c>
      <c r="H68" s="8">
        <v>160</v>
      </c>
      <c r="I68" s="1"/>
    </row>
    <row r="69" spans="1:9" x14ac:dyDescent="0.3">
      <c r="A69" s="75"/>
      <c r="B69" s="72"/>
      <c r="C69" s="4" t="s">
        <v>50</v>
      </c>
      <c r="D69" s="3" t="s">
        <v>16</v>
      </c>
      <c r="E69" s="3">
        <v>2</v>
      </c>
      <c r="F69" s="3" t="s">
        <v>61</v>
      </c>
      <c r="G69" s="7">
        <v>80</v>
      </c>
      <c r="H69" s="8">
        <v>160</v>
      </c>
      <c r="I69" s="1"/>
    </row>
    <row r="70" spans="1:9" x14ac:dyDescent="0.3">
      <c r="A70" s="75"/>
      <c r="B70" s="72"/>
      <c r="C70" s="4" t="s">
        <v>65</v>
      </c>
      <c r="D70" s="3"/>
      <c r="E70" s="3">
        <v>660</v>
      </c>
      <c r="F70" s="3" t="s">
        <v>70</v>
      </c>
      <c r="G70" s="11" t="s">
        <v>37</v>
      </c>
      <c r="H70" s="8">
        <v>100</v>
      </c>
      <c r="I70" s="1"/>
    </row>
    <row r="71" spans="1:9" x14ac:dyDescent="0.3">
      <c r="A71" s="75"/>
      <c r="B71" s="72"/>
      <c r="C71" s="4" t="s">
        <v>66</v>
      </c>
      <c r="D71" s="3" t="s">
        <v>21</v>
      </c>
      <c r="E71" s="3">
        <v>1</v>
      </c>
      <c r="F71" s="3" t="s">
        <v>62</v>
      </c>
      <c r="G71" s="7">
        <v>60</v>
      </c>
      <c r="H71" s="8">
        <v>60</v>
      </c>
      <c r="I71" s="1"/>
    </row>
    <row r="72" spans="1:9" x14ac:dyDescent="0.3">
      <c r="A72" s="75"/>
      <c r="B72" s="72"/>
      <c r="C72" s="4" t="s">
        <v>67</v>
      </c>
      <c r="D72" s="3"/>
      <c r="E72" s="3">
        <v>1</v>
      </c>
      <c r="F72" s="3" t="s">
        <v>62</v>
      </c>
      <c r="G72" s="7">
        <v>158</v>
      </c>
      <c r="H72" s="8">
        <v>158</v>
      </c>
      <c r="I72" s="1"/>
    </row>
    <row r="73" spans="1:9" x14ac:dyDescent="0.3">
      <c r="A73" s="75"/>
      <c r="B73" s="72"/>
      <c r="C73" s="4" t="s">
        <v>68</v>
      </c>
      <c r="D73" s="3"/>
      <c r="E73" s="3">
        <v>126</v>
      </c>
      <c r="F73" s="3" t="s">
        <v>62</v>
      </c>
      <c r="G73" s="11" t="s">
        <v>37</v>
      </c>
      <c r="H73" s="8">
        <v>180</v>
      </c>
      <c r="I73" s="1"/>
    </row>
    <row r="74" spans="1:9" x14ac:dyDescent="0.3">
      <c r="A74" s="75">
        <v>9</v>
      </c>
      <c r="B74" s="72">
        <v>46010</v>
      </c>
      <c r="C74" s="4" t="s">
        <v>72</v>
      </c>
      <c r="D74" s="3" t="s">
        <v>74</v>
      </c>
      <c r="E74" s="3">
        <v>12</v>
      </c>
      <c r="F74" s="3" t="s">
        <v>69</v>
      </c>
      <c r="G74" s="74" t="s">
        <v>37</v>
      </c>
      <c r="H74" s="73">
        <v>35600</v>
      </c>
      <c r="I74" s="1"/>
    </row>
    <row r="75" spans="1:9" x14ac:dyDescent="0.3">
      <c r="A75" s="75"/>
      <c r="B75" s="72"/>
      <c r="C75" s="4" t="s">
        <v>72</v>
      </c>
      <c r="D75" s="3" t="s">
        <v>75</v>
      </c>
      <c r="E75" s="3">
        <v>7</v>
      </c>
      <c r="F75" s="3" t="s">
        <v>69</v>
      </c>
      <c r="G75" s="74"/>
      <c r="H75" s="73"/>
      <c r="I75" s="1"/>
    </row>
    <row r="76" spans="1:9" x14ac:dyDescent="0.3">
      <c r="A76" s="75"/>
      <c r="B76" s="72"/>
      <c r="C76" s="4" t="s">
        <v>72</v>
      </c>
      <c r="D76" s="3" t="s">
        <v>76</v>
      </c>
      <c r="E76" s="3">
        <v>7</v>
      </c>
      <c r="F76" s="3" t="s">
        <v>69</v>
      </c>
      <c r="G76" s="74"/>
      <c r="H76" s="73"/>
      <c r="I76" s="1"/>
    </row>
    <row r="77" spans="1:9" x14ac:dyDescent="0.3">
      <c r="A77" s="75"/>
      <c r="B77" s="72"/>
      <c r="C77" s="4" t="s">
        <v>73</v>
      </c>
      <c r="D77" s="3"/>
      <c r="E77" s="3">
        <v>6</v>
      </c>
      <c r="F77" s="3" t="s">
        <v>69</v>
      </c>
      <c r="G77" s="74"/>
      <c r="H77" s="73"/>
      <c r="I77" s="1"/>
    </row>
    <row r="78" spans="1:9" x14ac:dyDescent="0.3">
      <c r="A78" s="12">
        <v>10</v>
      </c>
      <c r="B78" s="21">
        <v>46011</v>
      </c>
      <c r="C78" s="4" t="s">
        <v>22</v>
      </c>
      <c r="D78" s="3"/>
      <c r="E78" s="3" t="s">
        <v>23</v>
      </c>
      <c r="F78" s="3" t="s">
        <v>18</v>
      </c>
      <c r="G78" s="11" t="s">
        <v>37</v>
      </c>
      <c r="H78" s="8">
        <v>100</v>
      </c>
      <c r="I78" s="1"/>
    </row>
    <row r="79" spans="1:9" x14ac:dyDescent="0.3">
      <c r="A79" s="75">
        <v>11</v>
      </c>
      <c r="B79" s="72">
        <v>46013</v>
      </c>
      <c r="C79" s="4" t="s">
        <v>50</v>
      </c>
      <c r="D79" s="3" t="s">
        <v>17</v>
      </c>
      <c r="E79" s="3">
        <v>2</v>
      </c>
      <c r="F79" s="3" t="s">
        <v>61</v>
      </c>
      <c r="G79" s="7">
        <v>80</v>
      </c>
      <c r="H79" s="8">
        <v>160</v>
      </c>
      <c r="I79" s="1"/>
    </row>
    <row r="80" spans="1:9" x14ac:dyDescent="0.3">
      <c r="A80" s="75"/>
      <c r="B80" s="72"/>
      <c r="C80" s="4" t="s">
        <v>50</v>
      </c>
      <c r="D80" s="3" t="s">
        <v>15</v>
      </c>
      <c r="E80" s="3">
        <v>1</v>
      </c>
      <c r="F80" s="3" t="s">
        <v>61</v>
      </c>
      <c r="G80" s="7">
        <v>80</v>
      </c>
      <c r="H80" s="8">
        <v>80</v>
      </c>
      <c r="I80" s="1"/>
    </row>
    <row r="81" spans="1:9" x14ac:dyDescent="0.3">
      <c r="A81" s="75"/>
      <c r="B81" s="72"/>
      <c r="C81" s="4" t="s">
        <v>50</v>
      </c>
      <c r="D81" s="3" t="s">
        <v>16</v>
      </c>
      <c r="E81" s="3">
        <v>2</v>
      </c>
      <c r="F81" s="3" t="s">
        <v>61</v>
      </c>
      <c r="G81" s="7">
        <v>80</v>
      </c>
      <c r="H81" s="8">
        <v>160</v>
      </c>
      <c r="I81" s="1"/>
    </row>
    <row r="82" spans="1:9" x14ac:dyDescent="0.3">
      <c r="A82" s="75"/>
      <c r="B82" s="72"/>
      <c r="C82" s="4" t="s">
        <v>56</v>
      </c>
      <c r="D82" s="3"/>
      <c r="E82" s="3">
        <v>2</v>
      </c>
      <c r="F82" s="3" t="s">
        <v>61</v>
      </c>
      <c r="G82" s="7">
        <v>100</v>
      </c>
      <c r="H82" s="8">
        <v>200</v>
      </c>
      <c r="I82" s="1"/>
    </row>
    <row r="83" spans="1:9" x14ac:dyDescent="0.3">
      <c r="A83" s="71">
        <v>12</v>
      </c>
      <c r="B83" s="72">
        <v>46016</v>
      </c>
      <c r="C83" s="4" t="s">
        <v>64</v>
      </c>
      <c r="D83" s="3"/>
      <c r="E83" s="3">
        <v>20</v>
      </c>
      <c r="F83" s="3" t="s">
        <v>69</v>
      </c>
      <c r="G83" s="11" t="s">
        <v>37</v>
      </c>
      <c r="H83" s="9" t="s">
        <v>37</v>
      </c>
      <c r="I83" s="1"/>
    </row>
    <row r="84" spans="1:9" x14ac:dyDescent="0.3">
      <c r="A84" s="71"/>
      <c r="B84" s="72"/>
      <c r="C84" s="4" t="s">
        <v>77</v>
      </c>
      <c r="D84" s="3"/>
      <c r="E84" s="3">
        <v>1</v>
      </c>
      <c r="F84" s="3" t="s">
        <v>69</v>
      </c>
      <c r="G84" s="11" t="s">
        <v>37</v>
      </c>
      <c r="H84" s="8">
        <v>3700</v>
      </c>
      <c r="I84" s="1"/>
    </row>
    <row r="85" spans="1:9" x14ac:dyDescent="0.3">
      <c r="A85" s="71"/>
      <c r="B85" s="72"/>
      <c r="C85" s="4" t="s">
        <v>78</v>
      </c>
      <c r="D85" s="3"/>
      <c r="E85" s="3">
        <v>1</v>
      </c>
      <c r="F85" s="3" t="s">
        <v>69</v>
      </c>
      <c r="G85" s="11" t="s">
        <v>37</v>
      </c>
      <c r="H85" s="8">
        <v>3400</v>
      </c>
      <c r="I85" s="1"/>
    </row>
    <row r="86" spans="1:9" x14ac:dyDescent="0.3">
      <c r="A86" s="71"/>
      <c r="B86" s="72"/>
      <c r="C86" s="4" t="s">
        <v>79</v>
      </c>
      <c r="D86" s="3"/>
      <c r="E86" s="3">
        <v>1</v>
      </c>
      <c r="F86" s="3" t="s">
        <v>62</v>
      </c>
      <c r="G86" s="11" t="s">
        <v>37</v>
      </c>
      <c r="H86" s="8">
        <v>400</v>
      </c>
      <c r="I86" s="1"/>
    </row>
    <row r="87" spans="1:9" x14ac:dyDescent="0.3">
      <c r="A87" s="71"/>
      <c r="B87" s="72"/>
      <c r="C87" s="4" t="s">
        <v>80</v>
      </c>
      <c r="D87" s="3"/>
      <c r="E87" s="3">
        <v>1</v>
      </c>
      <c r="F87" s="3" t="s">
        <v>62</v>
      </c>
      <c r="G87" s="11" t="s">
        <v>37</v>
      </c>
      <c r="H87" s="8">
        <v>500</v>
      </c>
      <c r="I87" s="1"/>
    </row>
    <row r="88" spans="1:9" x14ac:dyDescent="0.3">
      <c r="A88" s="71"/>
      <c r="B88" s="72"/>
      <c r="C88" s="4" t="s">
        <v>81</v>
      </c>
      <c r="D88" s="3"/>
      <c r="E88" s="3">
        <v>1</v>
      </c>
      <c r="F88" s="3" t="s">
        <v>62</v>
      </c>
      <c r="G88" s="11" t="s">
        <v>37</v>
      </c>
      <c r="H88" s="8">
        <v>200</v>
      </c>
      <c r="I88" s="1"/>
    </row>
    <row r="89" spans="1:9" x14ac:dyDescent="0.3">
      <c r="A89" s="71"/>
      <c r="B89" s="72"/>
      <c r="C89" s="4" t="s">
        <v>82</v>
      </c>
      <c r="D89" s="3"/>
      <c r="E89" s="3">
        <v>1</v>
      </c>
      <c r="F89" s="3" t="s">
        <v>62</v>
      </c>
      <c r="G89" s="11" t="s">
        <v>37</v>
      </c>
      <c r="H89" s="8">
        <v>150</v>
      </c>
      <c r="I89" s="1"/>
    </row>
    <row r="90" spans="1:9" x14ac:dyDescent="0.3">
      <c r="A90" s="71">
        <v>13</v>
      </c>
      <c r="B90" s="72">
        <v>46017</v>
      </c>
      <c r="C90" s="4" t="s">
        <v>25</v>
      </c>
      <c r="D90" s="3"/>
      <c r="E90" s="3">
        <v>2</v>
      </c>
      <c r="F90" s="3" t="s">
        <v>62</v>
      </c>
      <c r="G90" s="7">
        <v>850</v>
      </c>
      <c r="H90" s="8">
        <f>850+850</f>
        <v>1700</v>
      </c>
      <c r="I90" s="1"/>
    </row>
    <row r="91" spans="1:9" x14ac:dyDescent="0.3">
      <c r="A91" s="71"/>
      <c r="B91" s="72"/>
      <c r="C91" s="4" t="s">
        <v>26</v>
      </c>
      <c r="D91" s="3"/>
      <c r="E91" s="3" t="s">
        <v>23</v>
      </c>
      <c r="F91" s="3" t="s">
        <v>62</v>
      </c>
      <c r="G91" s="9" t="s">
        <v>37</v>
      </c>
      <c r="H91" s="8">
        <v>250</v>
      </c>
      <c r="I91" s="1"/>
    </row>
    <row r="92" spans="1:9" x14ac:dyDescent="0.3">
      <c r="A92" s="71"/>
      <c r="B92" s="72"/>
      <c r="C92" s="4" t="s">
        <v>28</v>
      </c>
      <c r="D92" s="3" t="s">
        <v>27</v>
      </c>
      <c r="E92" s="3">
        <v>1</v>
      </c>
      <c r="F92" s="3" t="s">
        <v>62</v>
      </c>
      <c r="G92" s="7">
        <v>1000</v>
      </c>
      <c r="H92" s="8">
        <v>1000</v>
      </c>
      <c r="I92" s="1"/>
    </row>
    <row r="93" spans="1:9" x14ac:dyDescent="0.3">
      <c r="A93" s="71"/>
      <c r="B93" s="72"/>
      <c r="C93" s="4" t="s">
        <v>29</v>
      </c>
      <c r="D93" s="3" t="s">
        <v>30</v>
      </c>
      <c r="E93" s="3">
        <v>1</v>
      </c>
      <c r="F93" s="3" t="s">
        <v>62</v>
      </c>
      <c r="G93" s="7">
        <v>300</v>
      </c>
      <c r="H93" s="8">
        <v>300</v>
      </c>
      <c r="I93" s="1"/>
    </row>
    <row r="94" spans="1:9" x14ac:dyDescent="0.3">
      <c r="A94" s="71"/>
      <c r="B94" s="72"/>
      <c r="C94" s="4" t="s">
        <v>31</v>
      </c>
      <c r="D94" s="3"/>
      <c r="E94" s="3" t="s">
        <v>23</v>
      </c>
      <c r="F94" s="3" t="s">
        <v>62</v>
      </c>
      <c r="G94" s="9" t="s">
        <v>37</v>
      </c>
      <c r="H94" s="8">
        <v>70</v>
      </c>
      <c r="I94" s="1"/>
    </row>
    <row r="95" spans="1:9" x14ac:dyDescent="0.3">
      <c r="A95" s="71"/>
      <c r="B95" s="72"/>
      <c r="C95" s="4" t="s">
        <v>32</v>
      </c>
      <c r="D95" s="3"/>
      <c r="E95" s="3">
        <v>2</v>
      </c>
      <c r="F95" s="3" t="s">
        <v>62</v>
      </c>
      <c r="G95" s="7">
        <v>50</v>
      </c>
      <c r="H95" s="8">
        <v>100</v>
      </c>
      <c r="I95" s="1"/>
    </row>
    <row r="96" spans="1:9" x14ac:dyDescent="0.3">
      <c r="A96" s="71"/>
      <c r="B96" s="72"/>
      <c r="C96" s="4" t="s">
        <v>33</v>
      </c>
      <c r="D96" s="3"/>
      <c r="E96" s="3">
        <v>5</v>
      </c>
      <c r="F96" s="3" t="s">
        <v>62</v>
      </c>
      <c r="G96" s="7">
        <v>5</v>
      </c>
      <c r="H96" s="8">
        <v>25</v>
      </c>
      <c r="I96" s="1"/>
    </row>
    <row r="97" spans="1:9" x14ac:dyDescent="0.3">
      <c r="A97" s="13">
        <v>14</v>
      </c>
      <c r="B97" s="21">
        <v>46018</v>
      </c>
      <c r="C97" s="4" t="s">
        <v>83</v>
      </c>
      <c r="D97" s="3"/>
      <c r="E97" s="3">
        <v>3</v>
      </c>
      <c r="F97" s="3" t="s">
        <v>18</v>
      </c>
      <c r="G97" s="11" t="s">
        <v>37</v>
      </c>
      <c r="H97" s="8">
        <v>100</v>
      </c>
      <c r="I97" s="1"/>
    </row>
    <row r="98" spans="1:9" x14ac:dyDescent="0.3">
      <c r="A98" s="71">
        <v>15</v>
      </c>
      <c r="B98" s="72">
        <v>46024</v>
      </c>
      <c r="C98" s="4" t="s">
        <v>35</v>
      </c>
      <c r="D98" s="3" t="s">
        <v>34</v>
      </c>
      <c r="E98" s="3">
        <v>1</v>
      </c>
      <c r="F98" s="3" t="s">
        <v>18</v>
      </c>
      <c r="G98" s="9" t="s">
        <v>37</v>
      </c>
      <c r="H98" s="8">
        <v>4800</v>
      </c>
      <c r="I98" s="1"/>
    </row>
    <row r="99" spans="1:9" x14ac:dyDescent="0.3">
      <c r="A99" s="71"/>
      <c r="B99" s="72"/>
      <c r="C99" s="4" t="s">
        <v>36</v>
      </c>
      <c r="D99" s="3"/>
      <c r="E99" s="3">
        <v>3</v>
      </c>
      <c r="F99" s="3" t="s">
        <v>18</v>
      </c>
      <c r="G99" s="7">
        <v>170</v>
      </c>
      <c r="H99" s="8">
        <f>170*3</f>
        <v>510</v>
      </c>
      <c r="I99" s="1"/>
    </row>
    <row r="100" spans="1:9" x14ac:dyDescent="0.3">
      <c r="A100" s="71"/>
      <c r="B100" s="72"/>
      <c r="C100" s="4" t="s">
        <v>20</v>
      </c>
      <c r="D100" s="3"/>
      <c r="E100" s="3" t="s">
        <v>37</v>
      </c>
      <c r="F100" s="3" t="s">
        <v>37</v>
      </c>
      <c r="G100" s="11" t="s">
        <v>37</v>
      </c>
      <c r="H100" s="9">
        <v>100</v>
      </c>
      <c r="I100" s="1"/>
    </row>
    <row r="101" spans="1:9" x14ac:dyDescent="0.3">
      <c r="A101" s="71">
        <v>16</v>
      </c>
      <c r="B101" s="72">
        <v>45660</v>
      </c>
      <c r="C101" s="4" t="s">
        <v>12</v>
      </c>
      <c r="D101" s="3"/>
      <c r="E101" s="3">
        <v>6</v>
      </c>
      <c r="F101" s="3" t="s">
        <v>5</v>
      </c>
      <c r="G101" s="74" t="s">
        <v>37</v>
      </c>
      <c r="H101" s="73">
        <v>16300</v>
      </c>
      <c r="I101" s="1"/>
    </row>
    <row r="102" spans="1:9" x14ac:dyDescent="0.3">
      <c r="A102" s="71"/>
      <c r="B102" s="72"/>
      <c r="C102" s="4" t="s">
        <v>38</v>
      </c>
      <c r="D102" s="3"/>
      <c r="E102" s="3">
        <v>50</v>
      </c>
      <c r="F102" s="3" t="s">
        <v>5</v>
      </c>
      <c r="G102" s="74"/>
      <c r="H102" s="73"/>
      <c r="I102" s="1"/>
    </row>
    <row r="103" spans="1:9" x14ac:dyDescent="0.3">
      <c r="A103" s="71"/>
      <c r="B103" s="72"/>
      <c r="C103" s="4" t="s">
        <v>136</v>
      </c>
      <c r="D103" s="3"/>
      <c r="E103" s="3">
        <v>20</v>
      </c>
      <c r="F103" s="3" t="s">
        <v>5</v>
      </c>
      <c r="G103" s="11" t="s">
        <v>37</v>
      </c>
      <c r="H103" s="9" t="s">
        <v>37</v>
      </c>
      <c r="I103" s="1"/>
    </row>
    <row r="104" spans="1:9" x14ac:dyDescent="0.3">
      <c r="A104" s="71">
        <v>17</v>
      </c>
      <c r="B104" s="72">
        <v>45661</v>
      </c>
      <c r="C104" s="4" t="s">
        <v>14</v>
      </c>
      <c r="D104" s="3" t="s">
        <v>39</v>
      </c>
      <c r="E104" s="3">
        <v>1</v>
      </c>
      <c r="F104" s="3" t="s">
        <v>10</v>
      </c>
      <c r="G104" s="7">
        <v>80</v>
      </c>
      <c r="H104" s="8">
        <v>80</v>
      </c>
      <c r="I104" s="1"/>
    </row>
    <row r="105" spans="1:9" x14ac:dyDescent="0.3">
      <c r="A105" s="71"/>
      <c r="B105" s="72"/>
      <c r="C105" s="4" t="s">
        <v>14</v>
      </c>
      <c r="D105" s="3" t="s">
        <v>16</v>
      </c>
      <c r="E105" s="3">
        <v>1.5</v>
      </c>
      <c r="F105" s="3" t="s">
        <v>10</v>
      </c>
      <c r="G105" s="7">
        <v>80</v>
      </c>
      <c r="H105" s="8">
        <v>120</v>
      </c>
      <c r="I105" s="1"/>
    </row>
    <row r="106" spans="1:9" x14ac:dyDescent="0.3">
      <c r="A106" s="13">
        <v>18</v>
      </c>
      <c r="B106" s="21">
        <v>46027</v>
      </c>
      <c r="C106" s="4" t="s">
        <v>14</v>
      </c>
      <c r="D106" s="3" t="s">
        <v>16</v>
      </c>
      <c r="E106" s="3">
        <v>1</v>
      </c>
      <c r="F106" s="3" t="s">
        <v>10</v>
      </c>
      <c r="G106" s="7">
        <v>80</v>
      </c>
      <c r="H106" s="8">
        <v>80</v>
      </c>
      <c r="I106" s="1"/>
    </row>
    <row r="107" spans="1:9" x14ac:dyDescent="0.3">
      <c r="A107" s="71">
        <v>19</v>
      </c>
      <c r="B107" s="72">
        <v>46028</v>
      </c>
      <c r="C107" s="4" t="s">
        <v>84</v>
      </c>
      <c r="D107" s="3" t="s">
        <v>0</v>
      </c>
      <c r="E107" s="3">
        <v>32</v>
      </c>
      <c r="F107" s="3" t="s">
        <v>2</v>
      </c>
      <c r="G107" s="7">
        <v>627.30999999999995</v>
      </c>
      <c r="H107" s="8">
        <f>G107*E107</f>
        <v>20073.919999999998</v>
      </c>
      <c r="I107" s="1"/>
    </row>
    <row r="108" spans="1:9" x14ac:dyDescent="0.3">
      <c r="A108" s="71"/>
      <c r="B108" s="72"/>
      <c r="C108" s="4" t="s">
        <v>84</v>
      </c>
      <c r="D108" s="3" t="s">
        <v>1</v>
      </c>
      <c r="E108" s="3">
        <v>10</v>
      </c>
      <c r="F108" s="3" t="s">
        <v>2</v>
      </c>
      <c r="G108" s="7">
        <v>810</v>
      </c>
      <c r="H108" s="8">
        <f>G108*E108</f>
        <v>8100</v>
      </c>
      <c r="I108" s="1"/>
    </row>
    <row r="109" spans="1:9" x14ac:dyDescent="0.3">
      <c r="A109" s="71"/>
      <c r="B109" s="72"/>
      <c r="C109" s="4" t="s">
        <v>40</v>
      </c>
      <c r="D109" s="3"/>
      <c r="E109" s="3">
        <v>2</v>
      </c>
      <c r="F109" s="3" t="s">
        <v>18</v>
      </c>
      <c r="G109" s="7">
        <v>140</v>
      </c>
      <c r="H109" s="8">
        <v>280</v>
      </c>
      <c r="I109" s="1"/>
    </row>
    <row r="110" spans="1:9" x14ac:dyDescent="0.3">
      <c r="A110" s="71"/>
      <c r="B110" s="72"/>
      <c r="C110" s="4" t="s">
        <v>14</v>
      </c>
      <c r="D110" s="3" t="s">
        <v>13</v>
      </c>
      <c r="E110" s="3">
        <v>2</v>
      </c>
      <c r="F110" s="3" t="s">
        <v>10</v>
      </c>
      <c r="G110" s="7">
        <v>80</v>
      </c>
      <c r="H110" s="6">
        <v>160</v>
      </c>
      <c r="I110" s="1"/>
    </row>
    <row r="111" spans="1:9" x14ac:dyDescent="0.3">
      <c r="A111" s="71"/>
      <c r="B111" s="72"/>
      <c r="C111" s="4" t="s">
        <v>14</v>
      </c>
      <c r="D111" s="3" t="s">
        <v>16</v>
      </c>
      <c r="E111" s="3">
        <v>1</v>
      </c>
      <c r="F111" s="3" t="s">
        <v>10</v>
      </c>
      <c r="G111" s="7">
        <v>80</v>
      </c>
      <c r="H111" s="6">
        <v>80</v>
      </c>
      <c r="I111" s="1"/>
    </row>
    <row r="112" spans="1:9" x14ac:dyDescent="0.3">
      <c r="A112" s="71">
        <v>20</v>
      </c>
      <c r="B112" s="72">
        <v>46029</v>
      </c>
      <c r="C112" s="4" t="s">
        <v>4</v>
      </c>
      <c r="D112" s="3" t="s">
        <v>3</v>
      </c>
      <c r="E112" s="3">
        <v>12</v>
      </c>
      <c r="F112" s="3" t="s">
        <v>5</v>
      </c>
      <c r="G112" s="7">
        <v>647.01</v>
      </c>
      <c r="H112" s="8">
        <f>G112*E112</f>
        <v>7764.12</v>
      </c>
      <c r="I112" s="1"/>
    </row>
    <row r="113" spans="1:13" x14ac:dyDescent="0.3">
      <c r="A113" s="71"/>
      <c r="B113" s="72"/>
      <c r="C113" s="4" t="s">
        <v>6</v>
      </c>
      <c r="D113" s="3"/>
      <c r="E113" s="3">
        <v>25</v>
      </c>
      <c r="F113" s="3" t="s">
        <v>10</v>
      </c>
      <c r="G113" s="7">
        <v>75.2</v>
      </c>
      <c r="H113" s="8">
        <f t="shared" ref="H113:H115" si="2">G113*E113</f>
        <v>1880</v>
      </c>
      <c r="I113" s="1"/>
    </row>
    <row r="114" spans="1:13" x14ac:dyDescent="0.3">
      <c r="A114" s="71"/>
      <c r="B114" s="72"/>
      <c r="C114" s="4" t="s">
        <v>7</v>
      </c>
      <c r="D114" s="3"/>
      <c r="E114" s="3">
        <v>2</v>
      </c>
      <c r="F114" s="3" t="s">
        <v>5</v>
      </c>
      <c r="G114" s="7">
        <v>450</v>
      </c>
      <c r="H114" s="8">
        <f t="shared" si="2"/>
        <v>900</v>
      </c>
      <c r="I114" s="1"/>
    </row>
    <row r="115" spans="1:13" x14ac:dyDescent="0.3">
      <c r="A115" s="71"/>
      <c r="B115" s="72"/>
      <c r="C115" s="4" t="s">
        <v>8</v>
      </c>
      <c r="D115" s="3"/>
      <c r="E115" s="3">
        <v>5</v>
      </c>
      <c r="F115" s="3" t="s">
        <v>9</v>
      </c>
      <c r="G115" s="7">
        <v>300</v>
      </c>
      <c r="H115" s="8">
        <f t="shared" si="2"/>
        <v>1500</v>
      </c>
      <c r="I115" s="1"/>
    </row>
    <row r="116" spans="1:13" x14ac:dyDescent="0.3">
      <c r="A116" s="71"/>
      <c r="B116" s="72"/>
      <c r="C116" s="4" t="s">
        <v>11</v>
      </c>
      <c r="D116" s="3"/>
      <c r="E116" s="3">
        <v>2</v>
      </c>
      <c r="F116" s="3" t="s">
        <v>5</v>
      </c>
      <c r="G116" s="7"/>
      <c r="H116" s="7"/>
      <c r="I116" s="1"/>
      <c r="M116" s="2"/>
    </row>
    <row r="117" spans="1:13" x14ac:dyDescent="0.3">
      <c r="A117" s="13">
        <v>21</v>
      </c>
      <c r="B117" s="21">
        <v>46030</v>
      </c>
      <c r="C117" s="4" t="s">
        <v>137</v>
      </c>
      <c r="D117" s="3"/>
      <c r="E117" s="3">
        <v>2</v>
      </c>
      <c r="F117" s="3" t="s">
        <v>69</v>
      </c>
      <c r="G117" s="24">
        <v>20</v>
      </c>
      <c r="H117" s="24">
        <v>40</v>
      </c>
    </row>
    <row r="118" spans="1:13" x14ac:dyDescent="0.3">
      <c r="A118" s="67">
        <v>22</v>
      </c>
      <c r="B118" s="65">
        <v>46034</v>
      </c>
      <c r="C118" s="4" t="s">
        <v>147</v>
      </c>
      <c r="D118" s="3" t="s">
        <v>148</v>
      </c>
      <c r="E118" s="3">
        <v>1</v>
      </c>
      <c r="F118" s="3" t="s">
        <v>69</v>
      </c>
      <c r="G118" s="24">
        <f>2365/90</f>
        <v>26.277777777777779</v>
      </c>
      <c r="H118" s="24">
        <v>2365</v>
      </c>
    </row>
    <row r="119" spans="1:13" x14ac:dyDescent="0.3">
      <c r="A119" s="70"/>
      <c r="B119" s="69"/>
      <c r="C119" s="4" t="s">
        <v>149</v>
      </c>
      <c r="D119" s="3"/>
      <c r="E119" s="3">
        <v>1</v>
      </c>
      <c r="F119" s="3" t="s">
        <v>69</v>
      </c>
      <c r="G119" s="24">
        <v>72</v>
      </c>
      <c r="H119" s="24">
        <v>72</v>
      </c>
    </row>
    <row r="120" spans="1:13" x14ac:dyDescent="0.3">
      <c r="A120" s="70"/>
      <c r="B120" s="69"/>
      <c r="C120" s="4" t="s">
        <v>150</v>
      </c>
      <c r="D120" s="3"/>
      <c r="E120" s="3">
        <v>1</v>
      </c>
      <c r="F120" s="3" t="s">
        <v>69</v>
      </c>
      <c r="G120" s="24">
        <v>72</v>
      </c>
      <c r="H120" s="24">
        <v>72</v>
      </c>
    </row>
    <row r="121" spans="1:13" x14ac:dyDescent="0.3">
      <c r="A121" s="70"/>
      <c r="B121" s="69"/>
      <c r="C121" s="4" t="s">
        <v>151</v>
      </c>
      <c r="D121" s="3"/>
      <c r="E121" s="3">
        <v>2</v>
      </c>
      <c r="F121" s="3" t="s">
        <v>69</v>
      </c>
      <c r="G121" s="24">
        <v>22</v>
      </c>
      <c r="H121" s="24">
        <v>44</v>
      </c>
    </row>
    <row r="122" spans="1:13" x14ac:dyDescent="0.3">
      <c r="A122" s="70"/>
      <c r="B122" s="69"/>
      <c r="C122" s="4" t="s">
        <v>152</v>
      </c>
      <c r="D122" s="3"/>
      <c r="E122" s="3">
        <v>1</v>
      </c>
      <c r="F122" s="3" t="s">
        <v>69</v>
      </c>
      <c r="G122" s="24">
        <v>63</v>
      </c>
      <c r="H122" s="24">
        <v>63</v>
      </c>
    </row>
    <row r="123" spans="1:13" x14ac:dyDescent="0.3">
      <c r="A123" s="70"/>
      <c r="B123" s="69"/>
      <c r="C123" s="4" t="s">
        <v>153</v>
      </c>
      <c r="D123" s="3"/>
      <c r="E123" s="3">
        <v>1</v>
      </c>
      <c r="F123" s="3" t="s">
        <v>69</v>
      </c>
      <c r="G123" s="24">
        <v>105</v>
      </c>
      <c r="H123" s="24">
        <v>105</v>
      </c>
    </row>
    <row r="124" spans="1:13" x14ac:dyDescent="0.3">
      <c r="A124" s="70"/>
      <c r="B124" s="69"/>
      <c r="C124" s="4" t="s">
        <v>154</v>
      </c>
      <c r="D124" s="3"/>
      <c r="E124" s="3">
        <v>4</v>
      </c>
      <c r="F124" s="3" t="s">
        <v>69</v>
      </c>
      <c r="G124" s="24">
        <f>H124/4</f>
        <v>105.75</v>
      </c>
      <c r="H124" s="24">
        <v>423</v>
      </c>
    </row>
    <row r="125" spans="1:13" x14ac:dyDescent="0.3">
      <c r="A125" s="70"/>
      <c r="B125" s="69"/>
      <c r="C125" s="4" t="s">
        <v>155</v>
      </c>
      <c r="D125" s="3"/>
      <c r="E125" s="3">
        <v>4</v>
      </c>
      <c r="F125" s="3" t="s">
        <v>69</v>
      </c>
      <c r="G125" s="24">
        <f>H125/E125</f>
        <v>46.5</v>
      </c>
      <c r="H125" s="24">
        <v>186</v>
      </c>
    </row>
    <row r="126" spans="1:13" x14ac:dyDescent="0.3">
      <c r="A126" s="70"/>
      <c r="B126" s="69"/>
      <c r="C126" s="4" t="s">
        <v>156</v>
      </c>
      <c r="D126" s="3" t="s">
        <v>166</v>
      </c>
      <c r="E126" s="3">
        <v>1</v>
      </c>
      <c r="F126" s="3" t="s">
        <v>69</v>
      </c>
      <c r="G126" s="24">
        <f>1300/33</f>
        <v>39.393939393939391</v>
      </c>
      <c r="H126" s="24">
        <v>1300</v>
      </c>
    </row>
    <row r="127" spans="1:13" x14ac:dyDescent="0.3">
      <c r="A127" s="70"/>
      <c r="B127" s="69"/>
      <c r="C127" s="4" t="s">
        <v>157</v>
      </c>
      <c r="D127" s="3"/>
      <c r="E127" s="3">
        <v>4</v>
      </c>
      <c r="F127" s="3" t="s">
        <v>69</v>
      </c>
      <c r="G127" s="24">
        <f>H127/E127</f>
        <v>305</v>
      </c>
      <c r="H127" s="24">
        <v>1220</v>
      </c>
    </row>
    <row r="128" spans="1:13" x14ac:dyDescent="0.3">
      <c r="A128" s="70"/>
      <c r="B128" s="69"/>
      <c r="C128" s="4" t="s">
        <v>158</v>
      </c>
      <c r="D128" s="3"/>
      <c r="E128" s="3">
        <v>2</v>
      </c>
      <c r="F128" s="3" t="s">
        <v>69</v>
      </c>
      <c r="G128" s="24">
        <v>424</v>
      </c>
      <c r="H128" s="24">
        <v>848</v>
      </c>
    </row>
    <row r="129" spans="1:8" x14ac:dyDescent="0.3">
      <c r="A129" s="70"/>
      <c r="B129" s="69"/>
      <c r="C129" s="4" t="s">
        <v>159</v>
      </c>
      <c r="D129" s="3"/>
      <c r="E129" s="3">
        <v>10</v>
      </c>
      <c r="F129" s="3" t="s">
        <v>69</v>
      </c>
      <c r="G129" s="24">
        <v>16.899999999999999</v>
      </c>
      <c r="H129" s="24">
        <v>169</v>
      </c>
    </row>
    <row r="130" spans="1:8" x14ac:dyDescent="0.3">
      <c r="A130" s="70"/>
      <c r="B130" s="69"/>
      <c r="C130" s="4" t="s">
        <v>160</v>
      </c>
      <c r="D130" s="3"/>
      <c r="E130" s="3">
        <v>5</v>
      </c>
      <c r="F130" s="3" t="s">
        <v>69</v>
      </c>
      <c r="G130" s="24">
        <f>H130/E130</f>
        <v>8.6</v>
      </c>
      <c r="H130" s="24">
        <v>43</v>
      </c>
    </row>
    <row r="131" spans="1:8" x14ac:dyDescent="0.3">
      <c r="A131" s="70"/>
      <c r="B131" s="69"/>
      <c r="C131" s="4" t="s">
        <v>161</v>
      </c>
      <c r="D131" s="3"/>
      <c r="E131" s="3">
        <v>1</v>
      </c>
      <c r="F131" s="3" t="s">
        <v>69</v>
      </c>
      <c r="G131" s="24">
        <v>449</v>
      </c>
      <c r="H131" s="24">
        <v>449</v>
      </c>
    </row>
    <row r="132" spans="1:8" x14ac:dyDescent="0.3">
      <c r="A132" s="70"/>
      <c r="B132" s="69"/>
      <c r="C132" s="4" t="s">
        <v>162</v>
      </c>
      <c r="D132" s="3"/>
      <c r="E132" s="3">
        <v>1</v>
      </c>
      <c r="F132" s="3" t="s">
        <v>69</v>
      </c>
      <c r="G132" s="24">
        <v>42</v>
      </c>
      <c r="H132" s="24">
        <v>42</v>
      </c>
    </row>
    <row r="133" spans="1:8" x14ac:dyDescent="0.3">
      <c r="A133" s="70"/>
      <c r="B133" s="69"/>
      <c r="C133" s="4" t="s">
        <v>163</v>
      </c>
      <c r="D133" s="3"/>
      <c r="E133" s="3">
        <v>1</v>
      </c>
      <c r="F133" s="3" t="s">
        <v>69</v>
      </c>
      <c r="G133" s="24">
        <v>42</v>
      </c>
      <c r="H133" s="24">
        <v>42</v>
      </c>
    </row>
    <row r="134" spans="1:8" x14ac:dyDescent="0.3">
      <c r="A134" s="70"/>
      <c r="B134" s="69"/>
      <c r="C134" s="4" t="s">
        <v>164</v>
      </c>
      <c r="D134" s="3"/>
      <c r="E134" s="3">
        <v>1</v>
      </c>
      <c r="F134" s="3" t="s">
        <v>69</v>
      </c>
      <c r="G134" s="24">
        <v>42</v>
      </c>
      <c r="H134" s="24">
        <v>42</v>
      </c>
    </row>
    <row r="135" spans="1:8" x14ac:dyDescent="0.3">
      <c r="A135" s="68"/>
      <c r="B135" s="66"/>
      <c r="C135" s="4" t="s">
        <v>165</v>
      </c>
      <c r="D135" s="3" t="s">
        <v>167</v>
      </c>
      <c r="E135" s="3">
        <v>1</v>
      </c>
      <c r="F135" s="3" t="s">
        <v>69</v>
      </c>
      <c r="G135" s="24">
        <f>H135/60</f>
        <v>15.151166666666667</v>
      </c>
      <c r="H135" s="24">
        <v>909.07</v>
      </c>
    </row>
    <row r="136" spans="1:8" x14ac:dyDescent="0.3">
      <c r="A136" s="67">
        <v>23</v>
      </c>
      <c r="B136" s="65">
        <v>46036</v>
      </c>
      <c r="C136" s="4" t="s">
        <v>168</v>
      </c>
      <c r="D136" s="3" t="s">
        <v>169</v>
      </c>
      <c r="E136" s="3">
        <v>25</v>
      </c>
      <c r="F136" s="3" t="s">
        <v>69</v>
      </c>
      <c r="G136" s="24"/>
      <c r="H136" s="24"/>
    </row>
    <row r="137" spans="1:8" x14ac:dyDescent="0.3">
      <c r="A137" s="70"/>
      <c r="B137" s="69"/>
      <c r="C137" s="4" t="s">
        <v>170</v>
      </c>
      <c r="D137" s="3" t="s">
        <v>171</v>
      </c>
      <c r="E137" s="3">
        <v>100</v>
      </c>
      <c r="F137" s="3" t="s">
        <v>69</v>
      </c>
      <c r="G137" s="24"/>
      <c r="H137" s="24"/>
    </row>
    <row r="138" spans="1:8" x14ac:dyDescent="0.3">
      <c r="A138" s="70"/>
      <c r="B138" s="69"/>
      <c r="C138" s="4" t="s">
        <v>172</v>
      </c>
      <c r="D138" s="3"/>
      <c r="E138" s="3">
        <v>1</v>
      </c>
      <c r="F138" s="3" t="s">
        <v>69</v>
      </c>
      <c r="G138" s="79"/>
      <c r="H138" s="78">
        <v>270</v>
      </c>
    </row>
    <row r="139" spans="1:8" x14ac:dyDescent="0.3">
      <c r="A139" s="68"/>
      <c r="B139" s="66"/>
      <c r="C139" s="4" t="s">
        <v>66</v>
      </c>
      <c r="D139" s="3"/>
      <c r="E139" s="3">
        <v>1</v>
      </c>
      <c r="F139" s="3" t="s">
        <v>69</v>
      </c>
      <c r="G139" s="80"/>
      <c r="H139" s="78"/>
    </row>
    <row r="140" spans="1:8" x14ac:dyDescent="0.3">
      <c r="A140" s="13">
        <v>24</v>
      </c>
      <c r="B140" s="21">
        <v>46038</v>
      </c>
      <c r="C140" s="4" t="s">
        <v>173</v>
      </c>
      <c r="D140" s="3"/>
      <c r="E140" s="3">
        <v>1</v>
      </c>
      <c r="F140" s="3" t="s">
        <v>69</v>
      </c>
      <c r="G140" s="24">
        <v>50</v>
      </c>
      <c r="H140" s="24">
        <v>50</v>
      </c>
    </row>
    <row r="141" spans="1:8" x14ac:dyDescent="0.3">
      <c r="A141" s="13">
        <v>25</v>
      </c>
      <c r="B141" s="21">
        <v>46040</v>
      </c>
      <c r="C141" s="4" t="s">
        <v>174</v>
      </c>
      <c r="D141" s="3" t="s">
        <v>39</v>
      </c>
      <c r="E141" s="3">
        <v>1</v>
      </c>
      <c r="F141" s="3" t="s">
        <v>61</v>
      </c>
      <c r="G141" s="24">
        <v>90</v>
      </c>
      <c r="H141" s="24">
        <v>90</v>
      </c>
    </row>
    <row r="142" spans="1:8" x14ac:dyDescent="0.3">
      <c r="A142" s="67">
        <v>26</v>
      </c>
      <c r="B142" s="65">
        <v>46042</v>
      </c>
      <c r="C142" s="4" t="s">
        <v>50</v>
      </c>
      <c r="D142" s="3" t="s">
        <v>13</v>
      </c>
      <c r="E142" s="3">
        <v>2</v>
      </c>
      <c r="F142" s="3" t="s">
        <v>61</v>
      </c>
      <c r="G142" s="24">
        <v>80</v>
      </c>
      <c r="H142" s="24">
        <v>160</v>
      </c>
    </row>
    <row r="143" spans="1:8" x14ac:dyDescent="0.3">
      <c r="A143" s="68"/>
      <c r="B143" s="66"/>
      <c r="C143" s="4" t="s">
        <v>175</v>
      </c>
      <c r="D143" s="3"/>
      <c r="E143" s="3">
        <v>25</v>
      </c>
      <c r="F143" s="3" t="s">
        <v>61</v>
      </c>
      <c r="G143" s="24">
        <f>350/25</f>
        <v>14</v>
      </c>
      <c r="H143" s="24">
        <v>350</v>
      </c>
    </row>
    <row r="144" spans="1:8" x14ac:dyDescent="0.3">
      <c r="A144" s="67">
        <v>27</v>
      </c>
      <c r="B144" s="65">
        <v>46043</v>
      </c>
      <c r="C144" s="4" t="s">
        <v>192</v>
      </c>
      <c r="D144" s="3"/>
      <c r="E144" s="3">
        <v>1</v>
      </c>
      <c r="F144" s="3" t="s">
        <v>69</v>
      </c>
      <c r="G144" s="24">
        <v>13850</v>
      </c>
      <c r="H144" s="24">
        <v>13850</v>
      </c>
    </row>
    <row r="145" spans="1:14" x14ac:dyDescent="0.3">
      <c r="A145" s="68"/>
      <c r="B145" s="66"/>
      <c r="C145" s="4" t="s">
        <v>193</v>
      </c>
      <c r="D145" s="3"/>
      <c r="E145" s="3">
        <v>6</v>
      </c>
      <c r="F145" s="3" t="s">
        <v>69</v>
      </c>
      <c r="G145" s="24">
        <v>160</v>
      </c>
      <c r="H145" s="24">
        <v>960</v>
      </c>
    </row>
    <row r="146" spans="1:14" x14ac:dyDescent="0.3">
      <c r="A146" s="67">
        <v>28</v>
      </c>
      <c r="B146" s="65">
        <v>46045</v>
      </c>
      <c r="C146" s="4" t="s">
        <v>194</v>
      </c>
      <c r="D146" s="3" t="s">
        <v>181</v>
      </c>
      <c r="E146" s="3">
        <v>1</v>
      </c>
      <c r="F146" s="3" t="s">
        <v>69</v>
      </c>
      <c r="G146" s="24">
        <v>150</v>
      </c>
      <c r="H146" s="24">
        <v>150</v>
      </c>
    </row>
    <row r="147" spans="1:14" x14ac:dyDescent="0.3">
      <c r="A147" s="70"/>
      <c r="B147" s="69"/>
      <c r="C147" s="4" t="s">
        <v>195</v>
      </c>
      <c r="D147" s="3" t="s">
        <v>196</v>
      </c>
      <c r="E147" s="3">
        <v>1</v>
      </c>
      <c r="F147" s="3" t="s">
        <v>69</v>
      </c>
      <c r="G147" s="24">
        <v>350</v>
      </c>
      <c r="H147" s="24">
        <v>350</v>
      </c>
    </row>
    <row r="148" spans="1:14" x14ac:dyDescent="0.3">
      <c r="A148" s="68"/>
      <c r="B148" s="66"/>
      <c r="C148" s="4" t="s">
        <v>197</v>
      </c>
      <c r="D148" s="3"/>
      <c r="E148" s="3">
        <v>1</v>
      </c>
      <c r="F148" s="3" t="s">
        <v>198</v>
      </c>
      <c r="G148" s="24">
        <v>50</v>
      </c>
      <c r="H148" s="24">
        <v>50</v>
      </c>
    </row>
    <row r="149" spans="1:14" x14ac:dyDescent="0.3">
      <c r="A149" s="67">
        <v>29</v>
      </c>
      <c r="B149" s="65">
        <v>46046</v>
      </c>
      <c r="C149" s="4" t="s">
        <v>199</v>
      </c>
      <c r="D149" s="3" t="s">
        <v>200</v>
      </c>
      <c r="E149" s="3">
        <v>1</v>
      </c>
      <c r="F149" s="3" t="s">
        <v>201</v>
      </c>
      <c r="G149" s="24">
        <v>850</v>
      </c>
      <c r="H149" s="24">
        <v>850</v>
      </c>
    </row>
    <row r="150" spans="1:14" x14ac:dyDescent="0.3">
      <c r="A150" s="70"/>
      <c r="B150" s="69"/>
      <c r="C150" s="4" t="s">
        <v>202</v>
      </c>
      <c r="D150" s="3" t="s">
        <v>203</v>
      </c>
      <c r="E150" s="3">
        <v>1</v>
      </c>
      <c r="F150" s="3" t="s">
        <v>69</v>
      </c>
      <c r="G150" s="24">
        <v>80</v>
      </c>
      <c r="H150" s="24">
        <v>80</v>
      </c>
    </row>
    <row r="151" spans="1:14" x14ac:dyDescent="0.3">
      <c r="A151" s="70"/>
      <c r="B151" s="69"/>
      <c r="C151" s="4" t="s">
        <v>205</v>
      </c>
      <c r="D151" s="3" t="s">
        <v>204</v>
      </c>
      <c r="E151" s="3">
        <v>1</v>
      </c>
      <c r="F151" s="3" t="s">
        <v>69</v>
      </c>
      <c r="G151" s="24">
        <v>30</v>
      </c>
      <c r="H151" s="24">
        <v>30</v>
      </c>
    </row>
    <row r="152" spans="1:14" x14ac:dyDescent="0.3">
      <c r="A152" s="68"/>
      <c r="B152" s="66"/>
      <c r="C152" s="4" t="s">
        <v>206</v>
      </c>
      <c r="D152" s="3"/>
      <c r="E152" s="3">
        <v>1</v>
      </c>
      <c r="F152" s="3" t="s">
        <v>69</v>
      </c>
      <c r="G152" s="24">
        <v>30</v>
      </c>
      <c r="H152" s="24">
        <v>30</v>
      </c>
      <c r="M152" t="s">
        <v>233</v>
      </c>
      <c r="N152">
        <f>84342+746+3945+2394+2566+700+510+1315+6669+915+700+804+1340+780+2408+630+442+1520+335+830+2725+740+2330+360+1216+330+4730+340+2117+11320+250+910+2090+16045+646+990+742</f>
        <v>161772</v>
      </c>
    </row>
    <row r="153" spans="1:14" x14ac:dyDescent="0.3">
      <c r="A153" s="67">
        <v>30</v>
      </c>
      <c r="B153" s="65">
        <v>46048</v>
      </c>
      <c r="C153" s="4" t="s">
        <v>226</v>
      </c>
      <c r="D153" s="3"/>
      <c r="E153" s="3">
        <v>1</v>
      </c>
      <c r="F153" s="3" t="s">
        <v>69</v>
      </c>
      <c r="G153" s="24">
        <v>40</v>
      </c>
      <c r="H153" s="24">
        <v>40</v>
      </c>
    </row>
    <row r="154" spans="1:14" x14ac:dyDescent="0.3">
      <c r="A154" s="70"/>
      <c r="B154" s="69"/>
      <c r="C154" s="4" t="s">
        <v>227</v>
      </c>
      <c r="D154" s="3"/>
      <c r="E154" s="3">
        <v>5</v>
      </c>
      <c r="F154" s="3" t="s">
        <v>69</v>
      </c>
      <c r="G154" s="24">
        <f>360/5</f>
        <v>72</v>
      </c>
      <c r="H154" s="24">
        <v>360</v>
      </c>
    </row>
    <row r="155" spans="1:14" x14ac:dyDescent="0.3">
      <c r="A155" s="70"/>
      <c r="B155" s="69"/>
      <c r="C155" s="4" t="s">
        <v>228</v>
      </c>
      <c r="D155" s="3"/>
      <c r="E155" s="3">
        <v>1</v>
      </c>
      <c r="F155" s="3" t="s">
        <v>69</v>
      </c>
      <c r="G155" s="24">
        <v>120</v>
      </c>
      <c r="H155" s="24">
        <v>120</v>
      </c>
    </row>
    <row r="156" spans="1:14" x14ac:dyDescent="0.3">
      <c r="A156" s="68"/>
      <c r="B156" s="66"/>
      <c r="C156" s="4" t="s">
        <v>229</v>
      </c>
      <c r="D156" s="3"/>
      <c r="E156" s="3">
        <v>1</v>
      </c>
      <c r="F156" s="3" t="s">
        <v>69</v>
      </c>
      <c r="G156" s="24">
        <v>1300</v>
      </c>
      <c r="H156" s="24">
        <v>1300</v>
      </c>
    </row>
    <row r="157" spans="1:14" x14ac:dyDescent="0.3">
      <c r="A157" s="13">
        <v>31</v>
      </c>
      <c r="B157" s="21">
        <v>46050</v>
      </c>
      <c r="C157" s="4" t="s">
        <v>51</v>
      </c>
      <c r="D157" s="3"/>
      <c r="E157" s="3">
        <v>4</v>
      </c>
      <c r="F157" s="3" t="s">
        <v>69</v>
      </c>
      <c r="G157" s="24">
        <v>90</v>
      </c>
      <c r="H157" s="24">
        <v>360</v>
      </c>
    </row>
    <row r="158" spans="1:14" x14ac:dyDescent="0.3">
      <c r="A158" s="67">
        <v>32</v>
      </c>
      <c r="B158" s="65">
        <v>46051</v>
      </c>
      <c r="C158" s="4" t="s">
        <v>231</v>
      </c>
      <c r="D158" s="3"/>
      <c r="E158" s="3">
        <v>1</v>
      </c>
      <c r="F158" s="3" t="s">
        <v>69</v>
      </c>
      <c r="G158" s="24"/>
      <c r="H158" s="24"/>
    </row>
    <row r="159" spans="1:14" x14ac:dyDescent="0.3">
      <c r="A159" s="70"/>
      <c r="B159" s="69"/>
      <c r="C159" s="4" t="s">
        <v>230</v>
      </c>
      <c r="D159" s="3"/>
      <c r="E159" s="3">
        <v>1</v>
      </c>
      <c r="F159" s="3" t="s">
        <v>69</v>
      </c>
      <c r="G159" s="24"/>
      <c r="H159" s="24"/>
    </row>
    <row r="160" spans="1:14" x14ac:dyDescent="0.3">
      <c r="A160" s="70"/>
      <c r="B160" s="69"/>
      <c r="C160" s="4" t="s">
        <v>195</v>
      </c>
      <c r="D160" s="3"/>
      <c r="E160" s="3">
        <v>1</v>
      </c>
      <c r="F160" s="3" t="s">
        <v>69</v>
      </c>
      <c r="G160" s="24"/>
      <c r="H160" s="24"/>
    </row>
    <row r="161" spans="1:12" x14ac:dyDescent="0.3">
      <c r="A161" s="70"/>
      <c r="B161" s="69"/>
      <c r="C161" s="4" t="s">
        <v>232</v>
      </c>
      <c r="D161" s="3"/>
      <c r="E161" s="3">
        <v>1</v>
      </c>
      <c r="F161" s="3" t="s">
        <v>69</v>
      </c>
      <c r="G161" s="24"/>
      <c r="H161" s="24"/>
    </row>
    <row r="162" spans="1:12" x14ac:dyDescent="0.3">
      <c r="A162" s="68"/>
      <c r="B162" s="66"/>
      <c r="C162" s="4" t="s">
        <v>29</v>
      </c>
      <c r="D162" s="3"/>
      <c r="E162" s="3">
        <v>10.65</v>
      </c>
      <c r="F162" s="3" t="s">
        <v>61</v>
      </c>
      <c r="G162" s="24">
        <v>160</v>
      </c>
      <c r="H162" s="24">
        <f>E162*G162</f>
        <v>1704</v>
      </c>
    </row>
    <row r="163" spans="1:12" x14ac:dyDescent="0.3">
      <c r="A163" s="13">
        <v>33</v>
      </c>
      <c r="B163" s="21">
        <v>46052</v>
      </c>
      <c r="C163" s="4" t="s">
        <v>50</v>
      </c>
      <c r="D163" s="3"/>
      <c r="E163" s="3">
        <v>3</v>
      </c>
      <c r="F163" s="3" t="s">
        <v>61</v>
      </c>
      <c r="G163" s="24"/>
      <c r="H163" s="24"/>
    </row>
    <row r="164" spans="1:12" x14ac:dyDescent="0.3">
      <c r="A164" s="67">
        <v>34</v>
      </c>
      <c r="B164" s="65">
        <v>46054</v>
      </c>
      <c r="C164" s="4" t="s">
        <v>240</v>
      </c>
      <c r="D164" s="3"/>
      <c r="E164" s="3">
        <v>1</v>
      </c>
      <c r="F164" s="3" t="s">
        <v>241</v>
      </c>
      <c r="G164" s="24">
        <v>3900</v>
      </c>
      <c r="H164" s="24"/>
    </row>
    <row r="165" spans="1:12" x14ac:dyDescent="0.3">
      <c r="A165" s="70"/>
      <c r="B165" s="69"/>
      <c r="C165" s="4" t="s">
        <v>50</v>
      </c>
      <c r="D165" s="3"/>
      <c r="E165" s="3">
        <v>8</v>
      </c>
      <c r="F165" s="3" t="s">
        <v>61</v>
      </c>
      <c r="G165" s="24"/>
      <c r="H165" s="24">
        <v>640</v>
      </c>
    </row>
    <row r="166" spans="1:12" x14ac:dyDescent="0.3">
      <c r="A166" s="70"/>
      <c r="B166" s="69"/>
      <c r="C166" s="4" t="s">
        <v>242</v>
      </c>
      <c r="D166" s="3"/>
      <c r="E166" s="3">
        <v>1</v>
      </c>
      <c r="F166" s="3" t="s">
        <v>69</v>
      </c>
      <c r="G166" s="24">
        <v>400</v>
      </c>
      <c r="H166" s="24">
        <v>400</v>
      </c>
    </row>
    <row r="167" spans="1:12" x14ac:dyDescent="0.3">
      <c r="A167" s="68"/>
      <c r="B167" s="66"/>
      <c r="C167" s="4" t="s">
        <v>243</v>
      </c>
      <c r="D167" s="3"/>
      <c r="E167" s="3">
        <v>1</v>
      </c>
      <c r="F167" s="3" t="s">
        <v>69</v>
      </c>
      <c r="G167" s="24">
        <v>170</v>
      </c>
      <c r="H167" s="24">
        <v>170</v>
      </c>
    </row>
    <row r="168" spans="1:12" x14ac:dyDescent="0.3">
      <c r="A168" s="13">
        <v>35</v>
      </c>
      <c r="B168" s="21">
        <v>46055</v>
      </c>
      <c r="C168" s="4" t="s">
        <v>244</v>
      </c>
      <c r="D168" s="3"/>
      <c r="E168" s="3">
        <v>1</v>
      </c>
      <c r="F168" s="3" t="s">
        <v>69</v>
      </c>
      <c r="G168" s="24">
        <v>100</v>
      </c>
      <c r="H168" s="24">
        <v>100</v>
      </c>
      <c r="L168">
        <f>698075+8185+490+1420+645+540+6276+1110+30990+740+300+11125+8485+3930+5630+13510+6060+720+6300+6845+3300+700+430+499+2300+5000+9370+3140+500+7600+4740+800+390+3160+1530+8070+9280+780+430+2740</f>
        <v>876135</v>
      </c>
    </row>
    <row r="169" spans="1:12" x14ac:dyDescent="0.3">
      <c r="A169" s="13">
        <v>36</v>
      </c>
      <c r="B169" s="21">
        <v>46056</v>
      </c>
      <c r="C169" s="4" t="s">
        <v>51</v>
      </c>
      <c r="D169" s="3"/>
      <c r="E169" s="3">
        <v>4</v>
      </c>
      <c r="F169" s="3" t="s">
        <v>69</v>
      </c>
      <c r="G169" s="24">
        <v>90</v>
      </c>
      <c r="H169" s="24">
        <v>90</v>
      </c>
    </row>
    <row r="170" spans="1:12" x14ac:dyDescent="0.3">
      <c r="A170" s="67">
        <v>37</v>
      </c>
      <c r="B170" s="65">
        <v>46056</v>
      </c>
      <c r="C170" s="4" t="s">
        <v>245</v>
      </c>
      <c r="D170" s="3"/>
      <c r="E170" s="3">
        <v>6</v>
      </c>
      <c r="F170" s="3" t="s">
        <v>69</v>
      </c>
      <c r="G170" s="24">
        <v>1050</v>
      </c>
      <c r="H170" s="24">
        <v>1050</v>
      </c>
    </row>
    <row r="171" spans="1:12" x14ac:dyDescent="0.3">
      <c r="A171" s="70"/>
      <c r="B171" s="69"/>
      <c r="C171" s="4" t="s">
        <v>246</v>
      </c>
      <c r="D171" s="3"/>
      <c r="E171" s="3">
        <v>6</v>
      </c>
      <c r="F171" s="3" t="s">
        <v>69</v>
      </c>
      <c r="G171" s="24">
        <v>870</v>
      </c>
      <c r="H171" s="24">
        <v>870</v>
      </c>
    </row>
    <row r="172" spans="1:12" x14ac:dyDescent="0.3">
      <c r="A172" s="70"/>
      <c r="B172" s="69"/>
      <c r="C172" s="4" t="s">
        <v>58</v>
      </c>
      <c r="D172" s="3"/>
      <c r="E172" s="3">
        <v>1</v>
      </c>
      <c r="F172" s="3" t="s">
        <v>69</v>
      </c>
      <c r="G172" s="24">
        <v>415</v>
      </c>
      <c r="H172" s="24">
        <v>415</v>
      </c>
    </row>
    <row r="173" spans="1:12" x14ac:dyDescent="0.3">
      <c r="A173" s="68"/>
      <c r="B173" s="66"/>
      <c r="C173" s="4" t="s">
        <v>247</v>
      </c>
      <c r="D173" s="3"/>
      <c r="E173" s="3">
        <v>1</v>
      </c>
      <c r="F173" s="3" t="s">
        <v>63</v>
      </c>
      <c r="G173" s="24">
        <v>1875</v>
      </c>
      <c r="H173" s="24">
        <v>1875</v>
      </c>
    </row>
    <row r="174" spans="1:12" x14ac:dyDescent="0.3">
      <c r="A174" s="67">
        <v>38</v>
      </c>
      <c r="B174" s="65">
        <v>46056</v>
      </c>
      <c r="C174" s="4" t="s">
        <v>248</v>
      </c>
      <c r="D174" s="3"/>
      <c r="E174" s="3">
        <v>2</v>
      </c>
      <c r="F174" s="3" t="s">
        <v>69</v>
      </c>
      <c r="G174" s="24">
        <v>140</v>
      </c>
      <c r="H174" s="24">
        <v>140</v>
      </c>
    </row>
    <row r="175" spans="1:12" x14ac:dyDescent="0.3">
      <c r="A175" s="68"/>
      <c r="B175" s="66"/>
      <c r="C175" s="4" t="s">
        <v>249</v>
      </c>
      <c r="D175" s="3"/>
      <c r="E175" s="3">
        <v>2</v>
      </c>
      <c r="F175" s="3" t="s">
        <v>69</v>
      </c>
      <c r="G175" s="24">
        <v>30</v>
      </c>
      <c r="H175" s="24">
        <v>30</v>
      </c>
    </row>
    <row r="176" spans="1:12" x14ac:dyDescent="0.3">
      <c r="A176" s="13">
        <v>39</v>
      </c>
      <c r="B176" s="21">
        <v>46058</v>
      </c>
      <c r="C176" s="4" t="s">
        <v>250</v>
      </c>
      <c r="D176" s="3"/>
      <c r="E176" s="3">
        <v>1</v>
      </c>
      <c r="F176" s="3" t="s">
        <v>69</v>
      </c>
      <c r="G176" s="24">
        <v>460</v>
      </c>
      <c r="H176" s="24">
        <v>460</v>
      </c>
    </row>
    <row r="177" spans="1:8" x14ac:dyDescent="0.3">
      <c r="A177" s="67">
        <v>40</v>
      </c>
      <c r="B177" s="65">
        <v>46060</v>
      </c>
      <c r="C177" s="4" t="s">
        <v>251</v>
      </c>
      <c r="D177" s="3"/>
      <c r="E177" s="3">
        <v>40</v>
      </c>
      <c r="F177" s="3" t="s">
        <v>62</v>
      </c>
      <c r="G177" s="24"/>
      <c r="H177" s="24"/>
    </row>
    <row r="178" spans="1:8" x14ac:dyDescent="0.3">
      <c r="A178" s="70"/>
      <c r="B178" s="69"/>
      <c r="C178" s="4" t="s">
        <v>252</v>
      </c>
      <c r="D178" s="3"/>
      <c r="E178" s="3">
        <v>2</v>
      </c>
      <c r="F178" s="3" t="s">
        <v>62</v>
      </c>
      <c r="G178" s="24"/>
      <c r="H178" s="24">
        <v>20</v>
      </c>
    </row>
    <row r="179" spans="1:8" x14ac:dyDescent="0.3">
      <c r="A179" s="68"/>
      <c r="B179" s="66"/>
      <c r="C179" s="4" t="s">
        <v>253</v>
      </c>
      <c r="D179" s="3"/>
      <c r="E179" s="3">
        <v>2</v>
      </c>
      <c r="F179" s="3" t="s">
        <v>62</v>
      </c>
      <c r="G179" s="24"/>
      <c r="H179" s="24">
        <v>50</v>
      </c>
    </row>
    <row r="180" spans="1:8" x14ac:dyDescent="0.3">
      <c r="A180" s="13">
        <v>41</v>
      </c>
      <c r="B180" s="21">
        <v>46064</v>
      </c>
      <c r="C180" s="4" t="s">
        <v>255</v>
      </c>
      <c r="D180" s="3"/>
      <c r="E180" s="3">
        <v>30</v>
      </c>
      <c r="F180" s="3" t="s">
        <v>256</v>
      </c>
      <c r="G180" s="24">
        <v>240</v>
      </c>
      <c r="H180" s="24">
        <v>240</v>
      </c>
    </row>
    <row r="181" spans="1:8" x14ac:dyDescent="0.3">
      <c r="A181" s="67">
        <v>42</v>
      </c>
      <c r="B181" s="65">
        <v>46066</v>
      </c>
      <c r="C181" s="4" t="s">
        <v>242</v>
      </c>
      <c r="D181" s="3"/>
      <c r="E181" s="3">
        <v>5</v>
      </c>
      <c r="F181" s="3" t="s">
        <v>62</v>
      </c>
      <c r="G181" s="24"/>
      <c r="H181" s="24"/>
    </row>
    <row r="182" spans="1:8" x14ac:dyDescent="0.3">
      <c r="A182" s="68"/>
      <c r="B182" s="66"/>
      <c r="C182" s="4" t="s">
        <v>257</v>
      </c>
      <c r="D182" s="3"/>
      <c r="E182" s="3">
        <v>11</v>
      </c>
      <c r="F182" s="3" t="s">
        <v>62</v>
      </c>
      <c r="G182" s="24">
        <v>30</v>
      </c>
      <c r="H182" s="24">
        <v>300</v>
      </c>
    </row>
    <row r="183" spans="1:8" x14ac:dyDescent="0.3">
      <c r="A183" s="83">
        <v>43</v>
      </c>
      <c r="B183" s="81">
        <v>46068</v>
      </c>
      <c r="C183" s="63" t="s">
        <v>258</v>
      </c>
      <c r="D183" s="64"/>
      <c r="E183" s="64">
        <v>6</v>
      </c>
      <c r="F183" s="64" t="s">
        <v>62</v>
      </c>
      <c r="G183" s="24">
        <v>60</v>
      </c>
      <c r="H183" s="24">
        <f>E183*G183</f>
        <v>360</v>
      </c>
    </row>
    <row r="184" spans="1:8" x14ac:dyDescent="0.3">
      <c r="A184" s="84"/>
      <c r="B184" s="82"/>
      <c r="C184" s="63" t="s">
        <v>259</v>
      </c>
      <c r="D184" s="64"/>
      <c r="E184" s="64">
        <v>6</v>
      </c>
      <c r="F184" s="64" t="s">
        <v>62</v>
      </c>
      <c r="G184" s="24">
        <v>300</v>
      </c>
      <c r="H184" s="24">
        <f t="shared" ref="H184:H195" si="3">E184*G184</f>
        <v>1800</v>
      </c>
    </row>
    <row r="185" spans="1:8" x14ac:dyDescent="0.3">
      <c r="A185" s="84"/>
      <c r="B185" s="82"/>
      <c r="C185" s="63" t="s">
        <v>260</v>
      </c>
      <c r="D185" s="64"/>
      <c r="E185" s="64">
        <v>6</v>
      </c>
      <c r="F185" s="64" t="s">
        <v>62</v>
      </c>
      <c r="G185" s="24">
        <v>55</v>
      </c>
      <c r="H185" s="24">
        <f t="shared" si="3"/>
        <v>330</v>
      </c>
    </row>
    <row r="186" spans="1:8" x14ac:dyDescent="0.3">
      <c r="A186" s="70"/>
      <c r="B186" s="69"/>
      <c r="C186" s="4" t="s">
        <v>261</v>
      </c>
      <c r="D186" s="3"/>
      <c r="E186" s="3">
        <v>2</v>
      </c>
      <c r="F186" s="3" t="s">
        <v>62</v>
      </c>
      <c r="G186" s="24">
        <v>850</v>
      </c>
      <c r="H186" s="24">
        <f t="shared" si="3"/>
        <v>1700</v>
      </c>
    </row>
    <row r="187" spans="1:8" x14ac:dyDescent="0.3">
      <c r="A187" s="68"/>
      <c r="B187" s="66"/>
      <c r="C187" s="4" t="s">
        <v>262</v>
      </c>
      <c r="D187" s="3"/>
      <c r="E187" s="3">
        <v>2</v>
      </c>
      <c r="F187" s="3" t="s">
        <v>62</v>
      </c>
      <c r="G187" s="24">
        <v>10</v>
      </c>
      <c r="H187" s="24">
        <f t="shared" si="3"/>
        <v>20</v>
      </c>
    </row>
    <row r="188" spans="1:8" x14ac:dyDescent="0.3">
      <c r="A188" s="83">
        <v>44</v>
      </c>
      <c r="B188" s="81">
        <v>46070</v>
      </c>
      <c r="C188" s="63" t="s">
        <v>258</v>
      </c>
      <c r="D188" s="64"/>
      <c r="E188" s="64">
        <v>2</v>
      </c>
      <c r="F188" s="64" t="s">
        <v>62</v>
      </c>
      <c r="G188" s="24">
        <v>60</v>
      </c>
      <c r="H188" s="24">
        <f t="shared" si="3"/>
        <v>120</v>
      </c>
    </row>
    <row r="189" spans="1:8" x14ac:dyDescent="0.3">
      <c r="A189" s="84"/>
      <c r="B189" s="82"/>
      <c r="C189" s="63" t="s">
        <v>263</v>
      </c>
      <c r="D189" s="64"/>
      <c r="E189" s="64">
        <v>2</v>
      </c>
      <c r="F189" s="64" t="s">
        <v>62</v>
      </c>
      <c r="G189" s="24">
        <v>55</v>
      </c>
      <c r="H189" s="24">
        <f t="shared" si="3"/>
        <v>110</v>
      </c>
    </row>
    <row r="190" spans="1:8" x14ac:dyDescent="0.3">
      <c r="A190" s="70"/>
      <c r="B190" s="69"/>
      <c r="C190" s="4" t="s">
        <v>262</v>
      </c>
      <c r="D190" s="3"/>
      <c r="E190" s="3">
        <v>1</v>
      </c>
      <c r="F190" s="3" t="s">
        <v>62</v>
      </c>
      <c r="G190" s="24">
        <v>10</v>
      </c>
      <c r="H190" s="24">
        <f t="shared" si="3"/>
        <v>10</v>
      </c>
    </row>
    <row r="191" spans="1:8" x14ac:dyDescent="0.3">
      <c r="A191" s="70"/>
      <c r="B191" s="69"/>
      <c r="C191" s="4" t="s">
        <v>174</v>
      </c>
      <c r="D191" s="3"/>
      <c r="E191" s="3">
        <v>7</v>
      </c>
      <c r="F191" s="3" t="s">
        <v>61</v>
      </c>
      <c r="G191" s="24">
        <f>560/7</f>
        <v>80</v>
      </c>
      <c r="H191" s="24">
        <f t="shared" si="3"/>
        <v>560</v>
      </c>
    </row>
    <row r="192" spans="1:8" x14ac:dyDescent="0.3">
      <c r="A192" s="68"/>
      <c r="B192" s="66"/>
      <c r="C192" s="4" t="s">
        <v>264</v>
      </c>
      <c r="D192" s="3"/>
      <c r="E192" s="3">
        <v>1</v>
      </c>
      <c r="F192" s="3" t="s">
        <v>62</v>
      </c>
      <c r="G192" s="24">
        <v>20</v>
      </c>
      <c r="H192" s="24">
        <f t="shared" si="3"/>
        <v>20</v>
      </c>
    </row>
    <row r="193" spans="1:13" x14ac:dyDescent="0.3">
      <c r="A193" s="13">
        <v>45</v>
      </c>
      <c r="B193" s="21">
        <v>46071</v>
      </c>
      <c r="C193" s="4" t="s">
        <v>137</v>
      </c>
      <c r="D193" s="3"/>
      <c r="E193" s="3">
        <v>4</v>
      </c>
      <c r="F193" s="3" t="s">
        <v>62</v>
      </c>
      <c r="G193" s="24">
        <f>70/4</f>
        <v>17.5</v>
      </c>
      <c r="H193" s="24">
        <f t="shared" si="3"/>
        <v>70</v>
      </c>
    </row>
    <row r="194" spans="1:13" x14ac:dyDescent="0.3">
      <c r="A194" s="83">
        <v>46</v>
      </c>
      <c r="B194" s="81">
        <v>46072</v>
      </c>
      <c r="C194" s="63" t="s">
        <v>258</v>
      </c>
      <c r="D194" s="64"/>
      <c r="E194" s="64">
        <v>1</v>
      </c>
      <c r="F194" s="64" t="s">
        <v>62</v>
      </c>
      <c r="G194" s="24">
        <v>60</v>
      </c>
      <c r="H194" s="24">
        <f t="shared" si="3"/>
        <v>60</v>
      </c>
    </row>
    <row r="195" spans="1:13" x14ac:dyDescent="0.3">
      <c r="A195" s="86"/>
      <c r="B195" s="85"/>
      <c r="C195" s="63" t="s">
        <v>260</v>
      </c>
      <c r="D195" s="64"/>
      <c r="E195" s="64">
        <v>1</v>
      </c>
      <c r="F195" s="64" t="s">
        <v>62</v>
      </c>
      <c r="G195" s="24">
        <v>55</v>
      </c>
      <c r="H195" s="24">
        <f t="shared" si="3"/>
        <v>55</v>
      </c>
    </row>
    <row r="196" spans="1:13" x14ac:dyDescent="0.3">
      <c r="A196" s="13">
        <v>47</v>
      </c>
      <c r="B196" s="21">
        <v>46074</v>
      </c>
      <c r="C196" s="4" t="s">
        <v>266</v>
      </c>
      <c r="D196" s="3"/>
      <c r="E196" s="3">
        <v>100</v>
      </c>
      <c r="F196" s="3" t="s">
        <v>62</v>
      </c>
      <c r="G196" s="24">
        <v>1.8</v>
      </c>
      <c r="H196" s="24">
        <f t="shared" ref="H196:H211" si="4">E196*G196</f>
        <v>180</v>
      </c>
      <c r="M196">
        <f>120*130</f>
        <v>15600</v>
      </c>
    </row>
    <row r="197" spans="1:13" x14ac:dyDescent="0.3">
      <c r="A197" s="13">
        <v>48</v>
      </c>
      <c r="B197" s="21">
        <v>46074</v>
      </c>
      <c r="C197" s="4" t="s">
        <v>267</v>
      </c>
      <c r="D197" s="3"/>
      <c r="E197" s="3">
        <v>2</v>
      </c>
      <c r="F197" s="3" t="s">
        <v>62</v>
      </c>
      <c r="G197" s="24">
        <v>300</v>
      </c>
      <c r="H197" s="24">
        <f t="shared" si="4"/>
        <v>600</v>
      </c>
    </row>
    <row r="198" spans="1:13" x14ac:dyDescent="0.3">
      <c r="A198" s="67">
        <v>49</v>
      </c>
      <c r="B198" s="65">
        <v>46073</v>
      </c>
      <c r="C198" s="4" t="s">
        <v>268</v>
      </c>
      <c r="D198" s="3"/>
      <c r="E198" s="3">
        <v>2</v>
      </c>
      <c r="F198" s="3" t="s">
        <v>2</v>
      </c>
      <c r="G198" s="24">
        <v>55</v>
      </c>
      <c r="H198" s="24">
        <f t="shared" si="4"/>
        <v>110</v>
      </c>
    </row>
    <row r="199" spans="1:13" x14ac:dyDescent="0.3">
      <c r="A199" s="70"/>
      <c r="B199" s="69"/>
      <c r="C199" s="4" t="s">
        <v>269</v>
      </c>
      <c r="D199" s="3"/>
      <c r="E199" s="3">
        <v>5</v>
      </c>
      <c r="F199" s="3" t="s">
        <v>2</v>
      </c>
      <c r="G199" s="24">
        <v>50</v>
      </c>
      <c r="H199" s="24">
        <f t="shared" si="4"/>
        <v>250</v>
      </c>
    </row>
    <row r="200" spans="1:13" x14ac:dyDescent="0.3">
      <c r="A200" s="70"/>
      <c r="B200" s="69"/>
      <c r="C200" s="4" t="s">
        <v>270</v>
      </c>
      <c r="D200" s="3"/>
      <c r="E200" s="3">
        <v>1</v>
      </c>
      <c r="F200" s="3" t="s">
        <v>2</v>
      </c>
      <c r="G200" s="24">
        <v>195</v>
      </c>
      <c r="H200" s="24">
        <f t="shared" si="4"/>
        <v>195</v>
      </c>
    </row>
    <row r="201" spans="1:13" x14ac:dyDescent="0.3">
      <c r="A201" s="70"/>
      <c r="B201" s="69"/>
      <c r="C201" s="4" t="s">
        <v>271</v>
      </c>
      <c r="D201" s="3"/>
      <c r="E201" s="3">
        <v>6</v>
      </c>
      <c r="F201" s="3" t="s">
        <v>256</v>
      </c>
      <c r="G201" s="24">
        <f>1680/6</f>
        <v>280</v>
      </c>
      <c r="H201" s="24">
        <f t="shared" si="4"/>
        <v>1680</v>
      </c>
    </row>
    <row r="202" spans="1:13" x14ac:dyDescent="0.3">
      <c r="A202" s="70"/>
      <c r="B202" s="69"/>
      <c r="C202" s="4" t="s">
        <v>58</v>
      </c>
      <c r="D202" s="3"/>
      <c r="E202" s="3">
        <v>2</v>
      </c>
      <c r="F202" s="3" t="s">
        <v>2</v>
      </c>
      <c r="G202" s="24">
        <f>370/2</f>
        <v>185</v>
      </c>
      <c r="H202" s="24">
        <f t="shared" si="4"/>
        <v>370</v>
      </c>
    </row>
    <row r="203" spans="1:13" x14ac:dyDescent="0.3">
      <c r="A203" s="70"/>
      <c r="B203" s="69"/>
      <c r="C203" s="4" t="s">
        <v>272</v>
      </c>
      <c r="D203" s="3"/>
      <c r="E203" s="3">
        <v>1</v>
      </c>
      <c r="F203" s="3" t="s">
        <v>2</v>
      </c>
      <c r="G203" s="24">
        <v>165</v>
      </c>
      <c r="H203" s="24">
        <f t="shared" si="4"/>
        <v>165</v>
      </c>
    </row>
    <row r="204" spans="1:13" x14ac:dyDescent="0.3">
      <c r="A204" s="70"/>
      <c r="B204" s="69"/>
      <c r="C204" s="4" t="s">
        <v>273</v>
      </c>
      <c r="D204" s="3"/>
      <c r="E204" s="3">
        <v>1</v>
      </c>
      <c r="F204" s="3" t="s">
        <v>2</v>
      </c>
      <c r="G204" s="24">
        <v>90</v>
      </c>
      <c r="H204" s="24">
        <f t="shared" si="4"/>
        <v>90</v>
      </c>
    </row>
    <row r="205" spans="1:13" x14ac:dyDescent="0.3">
      <c r="A205" s="70"/>
      <c r="B205" s="69"/>
      <c r="C205" s="4" t="s">
        <v>274</v>
      </c>
      <c r="D205" s="3"/>
      <c r="E205" s="3">
        <v>1</v>
      </c>
      <c r="F205" s="3" t="s">
        <v>2</v>
      </c>
      <c r="G205" s="24">
        <v>395</v>
      </c>
      <c r="H205" s="24">
        <f t="shared" si="4"/>
        <v>395</v>
      </c>
    </row>
    <row r="206" spans="1:13" x14ac:dyDescent="0.3">
      <c r="A206" s="70"/>
      <c r="B206" s="69"/>
      <c r="C206" s="4" t="s">
        <v>275</v>
      </c>
      <c r="D206" s="3"/>
      <c r="E206" s="3">
        <v>15</v>
      </c>
      <c r="F206" s="3" t="s">
        <v>2</v>
      </c>
      <c r="G206" s="24">
        <f>225/15</f>
        <v>15</v>
      </c>
      <c r="H206" s="24">
        <f t="shared" si="4"/>
        <v>225</v>
      </c>
    </row>
    <row r="207" spans="1:13" x14ac:dyDescent="0.3">
      <c r="A207" s="70"/>
      <c r="B207" s="69"/>
      <c r="C207" s="4" t="s">
        <v>276</v>
      </c>
      <c r="D207" s="3"/>
      <c r="E207" s="3">
        <v>10</v>
      </c>
      <c r="F207" s="3" t="s">
        <v>2</v>
      </c>
      <c r="G207" s="24">
        <v>50</v>
      </c>
      <c r="H207" s="24">
        <f t="shared" si="4"/>
        <v>500</v>
      </c>
    </row>
    <row r="208" spans="1:13" x14ac:dyDescent="0.3">
      <c r="A208" s="70"/>
      <c r="B208" s="69"/>
      <c r="C208" s="4" t="s">
        <v>277</v>
      </c>
      <c r="D208" s="3"/>
      <c r="E208" s="3">
        <v>3</v>
      </c>
      <c r="F208" s="3" t="s">
        <v>2</v>
      </c>
      <c r="G208" s="24">
        <f>435/3</f>
        <v>145</v>
      </c>
      <c r="H208" s="24">
        <f t="shared" si="4"/>
        <v>435</v>
      </c>
    </row>
    <row r="209" spans="1:8" x14ac:dyDescent="0.3">
      <c r="A209" s="70"/>
      <c r="B209" s="69"/>
      <c r="C209" s="4" t="s">
        <v>278</v>
      </c>
      <c r="D209" s="3"/>
      <c r="E209" s="3">
        <v>10</v>
      </c>
      <c r="F209" s="3" t="s">
        <v>279</v>
      </c>
      <c r="G209" s="24">
        <v>2</v>
      </c>
      <c r="H209" s="24">
        <f t="shared" si="4"/>
        <v>20</v>
      </c>
    </row>
    <row r="210" spans="1:8" x14ac:dyDescent="0.3">
      <c r="A210" s="70"/>
      <c r="B210" s="69"/>
      <c r="C210" s="4" t="s">
        <v>264</v>
      </c>
      <c r="D210" s="3"/>
      <c r="E210" s="3">
        <v>1</v>
      </c>
      <c r="F210" s="3" t="s">
        <v>62</v>
      </c>
      <c r="G210" s="24">
        <v>10</v>
      </c>
      <c r="H210" s="24">
        <f t="shared" si="4"/>
        <v>10</v>
      </c>
    </row>
    <row r="211" spans="1:8" x14ac:dyDescent="0.3">
      <c r="A211" s="68"/>
      <c r="B211" s="66"/>
      <c r="C211" s="4" t="s">
        <v>280</v>
      </c>
      <c r="D211" s="3"/>
      <c r="E211" s="3">
        <v>5</v>
      </c>
      <c r="F211" s="3" t="s">
        <v>279</v>
      </c>
      <c r="G211" s="24">
        <f>1375/5</f>
        <v>275</v>
      </c>
      <c r="H211" s="24">
        <f t="shared" si="4"/>
        <v>1375</v>
      </c>
    </row>
    <row r="212" spans="1:8" x14ac:dyDescent="0.3">
      <c r="A212" s="67">
        <v>50</v>
      </c>
      <c r="B212" s="65">
        <v>46076</v>
      </c>
      <c r="C212" s="4" t="s">
        <v>281</v>
      </c>
      <c r="D212" s="3"/>
      <c r="E212" s="3">
        <v>1</v>
      </c>
      <c r="F212" s="3" t="s">
        <v>62</v>
      </c>
      <c r="G212" s="24">
        <v>450</v>
      </c>
      <c r="H212" s="24">
        <f t="shared" ref="H212:H213" si="5">E212*G212</f>
        <v>450</v>
      </c>
    </row>
    <row r="213" spans="1:8" x14ac:dyDescent="0.3">
      <c r="A213" s="70"/>
      <c r="B213" s="69"/>
      <c r="C213" s="4" t="s">
        <v>58</v>
      </c>
      <c r="D213" s="3"/>
      <c r="E213" s="3">
        <v>2</v>
      </c>
      <c r="F213" s="3" t="s">
        <v>62</v>
      </c>
      <c r="G213" s="24">
        <v>280</v>
      </c>
      <c r="H213" s="24">
        <f t="shared" si="5"/>
        <v>560</v>
      </c>
    </row>
    <row r="214" spans="1:8" x14ac:dyDescent="0.3">
      <c r="A214" s="68"/>
      <c r="B214" s="66"/>
      <c r="C214" s="4" t="s">
        <v>282</v>
      </c>
      <c r="D214" s="3"/>
      <c r="E214" s="3">
        <v>80</v>
      </c>
      <c r="F214" s="3" t="s">
        <v>62</v>
      </c>
      <c r="G214" s="24"/>
      <c r="H214" s="24"/>
    </row>
    <row r="215" spans="1:8" x14ac:dyDescent="0.3">
      <c r="A215" s="67">
        <v>51</v>
      </c>
      <c r="B215" s="65">
        <v>46075</v>
      </c>
      <c r="C215" s="4" t="s">
        <v>283</v>
      </c>
      <c r="D215" s="3"/>
      <c r="E215" s="3">
        <v>1</v>
      </c>
      <c r="F215" s="3" t="s">
        <v>62</v>
      </c>
      <c r="G215" s="24">
        <v>190</v>
      </c>
      <c r="H215" s="24">
        <v>190</v>
      </c>
    </row>
    <row r="216" spans="1:8" x14ac:dyDescent="0.3">
      <c r="A216" s="68"/>
      <c r="B216" s="66"/>
      <c r="C216" s="4" t="s">
        <v>284</v>
      </c>
      <c r="D216" s="3"/>
      <c r="E216" s="3">
        <v>2</v>
      </c>
      <c r="F216" s="3" t="s">
        <v>62</v>
      </c>
      <c r="G216" s="24">
        <v>225</v>
      </c>
      <c r="H216" s="24">
        <f>E216*G216</f>
        <v>450</v>
      </c>
    </row>
    <row r="217" spans="1:8" x14ac:dyDescent="0.3">
      <c r="A217" s="83">
        <v>52</v>
      </c>
      <c r="B217" s="81">
        <v>46076</v>
      </c>
      <c r="C217" s="63" t="s">
        <v>285</v>
      </c>
      <c r="D217" s="64"/>
      <c r="E217" s="64">
        <v>1</v>
      </c>
      <c r="F217" s="64" t="s">
        <v>62</v>
      </c>
      <c r="G217" s="24">
        <v>1000</v>
      </c>
      <c r="H217" s="24">
        <f t="shared" ref="H217:H231" si="6">E217*G217</f>
        <v>1000</v>
      </c>
    </row>
    <row r="218" spans="1:8" x14ac:dyDescent="0.3">
      <c r="A218" s="84"/>
      <c r="B218" s="82"/>
      <c r="C218" s="63" t="s">
        <v>258</v>
      </c>
      <c r="D218" s="64"/>
      <c r="E218" s="64">
        <v>2</v>
      </c>
      <c r="F218" s="64" t="s">
        <v>62</v>
      </c>
      <c r="G218" s="24">
        <v>70</v>
      </c>
      <c r="H218" s="24">
        <f t="shared" si="6"/>
        <v>140</v>
      </c>
    </row>
    <row r="219" spans="1:8" x14ac:dyDescent="0.3">
      <c r="A219" s="84"/>
      <c r="B219" s="82"/>
      <c r="C219" s="63" t="s">
        <v>263</v>
      </c>
      <c r="D219" s="64"/>
      <c r="E219" s="64">
        <v>2</v>
      </c>
      <c r="F219" s="64" t="s">
        <v>62</v>
      </c>
      <c r="G219" s="24">
        <v>60</v>
      </c>
      <c r="H219" s="24">
        <f t="shared" si="6"/>
        <v>120</v>
      </c>
    </row>
    <row r="220" spans="1:8" x14ac:dyDescent="0.3">
      <c r="A220" s="86"/>
      <c r="B220" s="85"/>
      <c r="C220" s="63" t="s">
        <v>263</v>
      </c>
      <c r="D220" s="64"/>
      <c r="E220" s="64">
        <v>4</v>
      </c>
      <c r="F220" s="64" t="s">
        <v>62</v>
      </c>
      <c r="G220" s="24">
        <f>250/4</f>
        <v>62.5</v>
      </c>
      <c r="H220" s="24">
        <f t="shared" si="6"/>
        <v>250</v>
      </c>
    </row>
    <row r="221" spans="1:8" x14ac:dyDescent="0.3">
      <c r="A221" s="67">
        <v>53</v>
      </c>
      <c r="B221" s="65">
        <v>46076</v>
      </c>
      <c r="C221" s="4" t="s">
        <v>286</v>
      </c>
      <c r="D221" s="3"/>
      <c r="E221" s="3">
        <v>2</v>
      </c>
      <c r="F221" s="3" t="s">
        <v>62</v>
      </c>
      <c r="G221" s="11">
        <v>50</v>
      </c>
      <c r="H221" s="24">
        <f t="shared" si="6"/>
        <v>100</v>
      </c>
    </row>
    <row r="222" spans="1:8" x14ac:dyDescent="0.3">
      <c r="A222" s="70"/>
      <c r="B222" s="69"/>
      <c r="C222" s="4" t="s">
        <v>287</v>
      </c>
      <c r="D222" s="3"/>
      <c r="E222" s="3">
        <v>1</v>
      </c>
      <c r="F222" s="3" t="s">
        <v>62</v>
      </c>
      <c r="G222" s="11">
        <v>80</v>
      </c>
      <c r="H222" s="24">
        <f t="shared" si="6"/>
        <v>80</v>
      </c>
    </row>
    <row r="223" spans="1:8" x14ac:dyDescent="0.3">
      <c r="A223" s="70"/>
      <c r="B223" s="69"/>
      <c r="C223" s="4" t="s">
        <v>288</v>
      </c>
      <c r="D223" s="3"/>
      <c r="E223" s="3">
        <v>2</v>
      </c>
      <c r="F223" s="3" t="s">
        <v>62</v>
      </c>
      <c r="G223" s="11">
        <v>200</v>
      </c>
      <c r="H223" s="24">
        <f t="shared" si="6"/>
        <v>400</v>
      </c>
    </row>
    <row r="224" spans="1:8" x14ac:dyDescent="0.3">
      <c r="A224" s="68"/>
      <c r="B224" s="66"/>
      <c r="C224" s="4" t="s">
        <v>289</v>
      </c>
      <c r="D224" s="3"/>
      <c r="E224" s="3">
        <v>1</v>
      </c>
      <c r="F224" s="3" t="s">
        <v>62</v>
      </c>
      <c r="G224" s="11">
        <v>550</v>
      </c>
      <c r="H224" s="24">
        <f t="shared" si="6"/>
        <v>550</v>
      </c>
    </row>
    <row r="225" spans="1:8" x14ac:dyDescent="0.3">
      <c r="A225" s="13">
        <v>54</v>
      </c>
      <c r="B225" s="21">
        <v>46078</v>
      </c>
      <c r="C225" s="4" t="s">
        <v>290</v>
      </c>
      <c r="D225" s="3"/>
      <c r="E225" s="3">
        <v>1</v>
      </c>
      <c r="F225" s="3" t="s">
        <v>62</v>
      </c>
      <c r="G225" s="24">
        <v>250</v>
      </c>
      <c r="H225" s="24">
        <f t="shared" si="6"/>
        <v>250</v>
      </c>
    </row>
    <row r="226" spans="1:8" x14ac:dyDescent="0.3">
      <c r="A226" s="83">
        <v>55</v>
      </c>
      <c r="B226" s="81">
        <v>46080</v>
      </c>
      <c r="C226" s="63" t="s">
        <v>291</v>
      </c>
      <c r="D226" s="64"/>
      <c r="E226" s="64">
        <v>2</v>
      </c>
      <c r="F226" s="64" t="s">
        <v>62</v>
      </c>
      <c r="G226" s="24">
        <v>60</v>
      </c>
      <c r="H226" s="24">
        <f t="shared" si="6"/>
        <v>120</v>
      </c>
    </row>
    <row r="227" spans="1:8" x14ac:dyDescent="0.3">
      <c r="A227" s="70"/>
      <c r="B227" s="69"/>
      <c r="C227" s="4" t="s">
        <v>292</v>
      </c>
      <c r="D227" s="3"/>
      <c r="E227" s="3">
        <v>2</v>
      </c>
      <c r="F227" s="3" t="s">
        <v>62</v>
      </c>
      <c r="G227" s="24">
        <f>560/2</f>
        <v>280</v>
      </c>
      <c r="H227" s="24">
        <f t="shared" si="6"/>
        <v>560</v>
      </c>
    </row>
    <row r="228" spans="1:8" x14ac:dyDescent="0.3">
      <c r="A228" s="68"/>
      <c r="B228" s="66"/>
      <c r="C228" s="4" t="s">
        <v>59</v>
      </c>
      <c r="D228" s="3"/>
      <c r="E228" s="3">
        <v>2</v>
      </c>
      <c r="F228" s="3" t="s">
        <v>62</v>
      </c>
      <c r="G228" s="24">
        <v>90</v>
      </c>
      <c r="H228" s="24">
        <f t="shared" si="6"/>
        <v>180</v>
      </c>
    </row>
    <row r="229" spans="1:8" x14ac:dyDescent="0.3">
      <c r="A229" s="67">
        <v>56</v>
      </c>
      <c r="B229" s="65">
        <v>46083</v>
      </c>
      <c r="C229" s="4" t="s">
        <v>242</v>
      </c>
      <c r="D229" s="3"/>
      <c r="E229" s="3">
        <v>10</v>
      </c>
      <c r="F229" s="3" t="s">
        <v>62</v>
      </c>
      <c r="G229" s="24">
        <v>20</v>
      </c>
      <c r="H229" s="24">
        <f t="shared" si="6"/>
        <v>200</v>
      </c>
    </row>
    <row r="230" spans="1:8" x14ac:dyDescent="0.3">
      <c r="A230" s="68"/>
      <c r="B230" s="66"/>
      <c r="C230" s="4" t="s">
        <v>293</v>
      </c>
      <c r="D230" s="3"/>
      <c r="E230" s="3">
        <v>10.95</v>
      </c>
      <c r="F230" s="3" t="s">
        <v>61</v>
      </c>
      <c r="G230" s="24">
        <v>160</v>
      </c>
      <c r="H230" s="24">
        <f t="shared" si="6"/>
        <v>1752</v>
      </c>
    </row>
    <row r="231" spans="1:8" x14ac:dyDescent="0.3">
      <c r="A231" s="13">
        <v>57</v>
      </c>
      <c r="B231" s="21">
        <v>46086</v>
      </c>
      <c r="C231" s="4" t="s">
        <v>312</v>
      </c>
      <c r="D231" s="3"/>
      <c r="E231" s="3">
        <v>2</v>
      </c>
      <c r="F231" s="3" t="s">
        <v>62</v>
      </c>
      <c r="G231" s="24">
        <v>70</v>
      </c>
      <c r="H231" s="24">
        <f t="shared" si="6"/>
        <v>140</v>
      </c>
    </row>
    <row r="232" spans="1:8" x14ac:dyDescent="0.3">
      <c r="A232" s="13">
        <v>58</v>
      </c>
      <c r="B232" s="21">
        <v>46087</v>
      </c>
      <c r="C232" s="4" t="s">
        <v>313</v>
      </c>
      <c r="D232" s="3" t="s">
        <v>314</v>
      </c>
      <c r="E232" s="3">
        <v>2</v>
      </c>
      <c r="F232" s="3" t="s">
        <v>69</v>
      </c>
      <c r="G232" s="40" t="s">
        <v>37</v>
      </c>
      <c r="H232" s="40" t="s">
        <v>37</v>
      </c>
    </row>
    <row r="233" spans="1:8" x14ac:dyDescent="0.3">
      <c r="A233" s="13">
        <v>59</v>
      </c>
      <c r="B233" s="21">
        <v>46087</v>
      </c>
      <c r="C233" s="4" t="s">
        <v>312</v>
      </c>
      <c r="D233" s="3"/>
      <c r="E233" s="3">
        <v>2</v>
      </c>
      <c r="F233" s="3" t="s">
        <v>62</v>
      </c>
      <c r="G233" s="24">
        <v>75</v>
      </c>
      <c r="H233" s="24">
        <f t="shared" ref="H233" si="7">E233*G233</f>
        <v>150</v>
      </c>
    </row>
    <row r="234" spans="1:8" x14ac:dyDescent="0.3">
      <c r="A234" s="13">
        <v>60</v>
      </c>
      <c r="B234" s="21">
        <v>46088</v>
      </c>
      <c r="C234" s="4" t="s">
        <v>312</v>
      </c>
      <c r="D234" s="3"/>
      <c r="E234" s="3">
        <v>6</v>
      </c>
      <c r="F234" s="3" t="s">
        <v>62</v>
      </c>
      <c r="G234" s="24">
        <v>80</v>
      </c>
      <c r="H234" s="24">
        <f t="shared" ref="H234:H235" si="8">E234*G234</f>
        <v>480</v>
      </c>
    </row>
    <row r="235" spans="1:8" x14ac:dyDescent="0.3">
      <c r="A235" s="67">
        <v>61</v>
      </c>
      <c r="B235" s="65">
        <v>46089</v>
      </c>
      <c r="C235" s="4" t="s">
        <v>29</v>
      </c>
      <c r="D235" s="3"/>
      <c r="E235" s="3">
        <v>9.6</v>
      </c>
      <c r="F235" s="3" t="s">
        <v>61</v>
      </c>
      <c r="G235" s="24">
        <v>160</v>
      </c>
      <c r="H235" s="24">
        <f t="shared" si="8"/>
        <v>1536</v>
      </c>
    </row>
    <row r="236" spans="1:8" x14ac:dyDescent="0.3">
      <c r="A236" s="68"/>
      <c r="B236" s="66"/>
      <c r="C236" s="4" t="s">
        <v>312</v>
      </c>
      <c r="D236" s="3"/>
      <c r="E236" s="3">
        <v>4</v>
      </c>
      <c r="F236" s="3" t="s">
        <v>62</v>
      </c>
      <c r="G236" s="24">
        <v>80</v>
      </c>
      <c r="H236" s="24">
        <f t="shared" ref="H236:H240" si="9">E236*G236</f>
        <v>320</v>
      </c>
    </row>
    <row r="237" spans="1:8" x14ac:dyDescent="0.3">
      <c r="A237" s="13">
        <v>62</v>
      </c>
      <c r="B237" s="21">
        <v>46090</v>
      </c>
      <c r="C237" s="4" t="s">
        <v>315</v>
      </c>
      <c r="D237" s="3"/>
      <c r="E237" s="3">
        <v>1</v>
      </c>
      <c r="F237" s="3" t="s">
        <v>62</v>
      </c>
      <c r="G237" s="24">
        <v>850</v>
      </c>
      <c r="H237" s="24">
        <f t="shared" si="9"/>
        <v>850</v>
      </c>
    </row>
    <row r="238" spans="1:8" x14ac:dyDescent="0.3">
      <c r="A238" s="67">
        <v>63</v>
      </c>
      <c r="B238" s="65">
        <v>46092</v>
      </c>
      <c r="C238" s="4" t="s">
        <v>242</v>
      </c>
      <c r="D238" s="3"/>
      <c r="E238" s="3">
        <v>10</v>
      </c>
      <c r="F238" s="3" t="s">
        <v>62</v>
      </c>
      <c r="G238" s="24">
        <v>18</v>
      </c>
      <c r="H238" s="24">
        <f t="shared" si="9"/>
        <v>180</v>
      </c>
    </row>
    <row r="239" spans="1:8" x14ac:dyDescent="0.3">
      <c r="A239" s="70"/>
      <c r="B239" s="69"/>
      <c r="C239" s="4" t="s">
        <v>316</v>
      </c>
      <c r="D239" s="3"/>
      <c r="E239" s="3">
        <v>2</v>
      </c>
      <c r="F239" s="3" t="s">
        <v>62</v>
      </c>
      <c r="G239" s="24">
        <v>10</v>
      </c>
      <c r="H239" s="24">
        <f t="shared" si="9"/>
        <v>20</v>
      </c>
    </row>
    <row r="240" spans="1:8" x14ac:dyDescent="0.3">
      <c r="A240" s="68"/>
      <c r="B240" s="66"/>
      <c r="C240" s="4" t="s">
        <v>317</v>
      </c>
      <c r="D240" s="3"/>
      <c r="E240" s="3">
        <v>2</v>
      </c>
      <c r="F240" s="3" t="s">
        <v>62</v>
      </c>
      <c r="G240" s="24">
        <v>75</v>
      </c>
      <c r="H240" s="24">
        <f t="shared" si="9"/>
        <v>150</v>
      </c>
    </row>
    <row r="241" spans="1:8" x14ac:dyDescent="0.3">
      <c r="A241" s="13"/>
      <c r="B241" s="3"/>
      <c r="C241" s="4"/>
      <c r="D241" s="3"/>
      <c r="E241" s="3"/>
      <c r="F241" s="3"/>
      <c r="G241" s="24"/>
      <c r="H241" s="24"/>
    </row>
    <row r="242" spans="1:8" x14ac:dyDescent="0.3">
      <c r="A242" s="13"/>
      <c r="B242" s="3"/>
      <c r="C242" s="4"/>
      <c r="D242" s="3"/>
      <c r="E242" s="3"/>
      <c r="F242" s="3"/>
      <c r="G242" s="24"/>
      <c r="H242" s="24"/>
    </row>
    <row r="243" spans="1:8" x14ac:dyDescent="0.3">
      <c r="A243" s="13"/>
      <c r="B243" s="3"/>
      <c r="C243" s="4"/>
      <c r="D243" s="3"/>
      <c r="E243" s="3"/>
      <c r="F243" s="3"/>
      <c r="G243" s="24"/>
      <c r="H243" s="24"/>
    </row>
    <row r="244" spans="1:8" x14ac:dyDescent="0.3">
      <c r="A244" s="13"/>
      <c r="B244" s="3"/>
      <c r="C244" s="4"/>
      <c r="D244" s="3"/>
      <c r="E244" s="3"/>
      <c r="F244" s="3"/>
      <c r="G244" s="24"/>
      <c r="H244" s="24"/>
    </row>
    <row r="245" spans="1:8" x14ac:dyDescent="0.3">
      <c r="A245" s="13"/>
      <c r="B245" s="3"/>
      <c r="C245" s="4"/>
      <c r="D245" s="3"/>
      <c r="E245" s="3"/>
      <c r="F245" s="3"/>
      <c r="G245" s="24"/>
      <c r="H245" s="24"/>
    </row>
    <row r="246" spans="1:8" x14ac:dyDescent="0.3">
      <c r="A246" s="22"/>
      <c r="B246" s="33"/>
      <c r="C246"/>
      <c r="D246" s="33"/>
      <c r="E246" s="33"/>
      <c r="F246" s="33"/>
      <c r="G246" s="23"/>
      <c r="H246" s="23"/>
    </row>
    <row r="247" spans="1:8" x14ac:dyDescent="0.3">
      <c r="A247" s="22"/>
      <c r="B247" s="33"/>
      <c r="C247"/>
      <c r="D247" s="33"/>
      <c r="E247" s="33"/>
      <c r="F247" s="33"/>
      <c r="G247" s="23"/>
      <c r="H247" s="23"/>
    </row>
    <row r="248" spans="1:8" x14ac:dyDescent="0.3">
      <c r="A248" s="22"/>
      <c r="B248" s="33"/>
      <c r="C248"/>
      <c r="D248" s="33"/>
      <c r="E248" s="33"/>
      <c r="F248" s="33"/>
      <c r="G248" s="23"/>
      <c r="H248" s="23"/>
    </row>
    <row r="249" spans="1:8" x14ac:dyDescent="0.3">
      <c r="A249" s="22"/>
      <c r="B249" s="33"/>
      <c r="C249"/>
      <c r="D249" s="33"/>
      <c r="E249" s="33"/>
      <c r="F249" s="33"/>
      <c r="G249" s="23"/>
      <c r="H249" s="23"/>
    </row>
    <row r="250" spans="1:8" x14ac:dyDescent="0.3">
      <c r="A250" s="22"/>
      <c r="B250" s="33"/>
      <c r="C250"/>
      <c r="D250" s="33"/>
      <c r="E250" s="33"/>
      <c r="F250" s="33"/>
      <c r="G250" s="23"/>
      <c r="H250" s="23"/>
    </row>
    <row r="251" spans="1:8" x14ac:dyDescent="0.3">
      <c r="A251" s="22"/>
      <c r="B251" s="33"/>
      <c r="C251"/>
      <c r="D251" s="33"/>
      <c r="E251" s="33"/>
      <c r="F251" s="33"/>
      <c r="G251" s="23"/>
      <c r="H251" s="23"/>
    </row>
    <row r="252" spans="1:8" x14ac:dyDescent="0.3">
      <c r="A252" s="22"/>
      <c r="B252" s="33"/>
      <c r="C252"/>
      <c r="D252" s="33"/>
      <c r="E252" s="33"/>
      <c r="F252" s="33"/>
      <c r="G252" s="23"/>
      <c r="H252" s="23"/>
    </row>
    <row r="253" spans="1:8" x14ac:dyDescent="0.3">
      <c r="A253" s="22"/>
      <c r="B253" s="33"/>
      <c r="C253"/>
      <c r="D253" s="33"/>
      <c r="E253" s="33"/>
      <c r="F253" s="33"/>
      <c r="G253" s="23"/>
      <c r="H253" s="23"/>
    </row>
    <row r="254" spans="1:8" x14ac:dyDescent="0.3">
      <c r="A254" s="22"/>
      <c r="B254" s="33"/>
      <c r="C254"/>
      <c r="D254" s="33"/>
      <c r="E254" s="33"/>
      <c r="F254" s="33"/>
      <c r="G254" s="23"/>
      <c r="H254" s="23"/>
    </row>
    <row r="255" spans="1:8" x14ac:dyDescent="0.3">
      <c r="A255" s="22"/>
      <c r="B255" s="33"/>
      <c r="C255"/>
      <c r="D255" s="33"/>
      <c r="E255" s="33"/>
      <c r="F255" s="33"/>
      <c r="G255" s="23"/>
      <c r="H255" s="23"/>
    </row>
    <row r="256" spans="1:8" x14ac:dyDescent="0.3">
      <c r="A256" s="22"/>
      <c r="B256" s="33"/>
      <c r="C256"/>
      <c r="D256" s="33"/>
      <c r="E256" s="33"/>
      <c r="F256" s="33"/>
      <c r="G256" s="23"/>
      <c r="H256" s="23"/>
    </row>
    <row r="257" spans="1:8" x14ac:dyDescent="0.3">
      <c r="A257" s="22"/>
      <c r="B257" s="33"/>
      <c r="C257"/>
      <c r="D257" s="33"/>
      <c r="E257" s="33"/>
      <c r="F257" s="33"/>
      <c r="G257" s="23"/>
      <c r="H257" s="23"/>
    </row>
    <row r="258" spans="1:8" x14ac:dyDescent="0.3">
      <c r="A258" s="22"/>
      <c r="B258" s="33"/>
      <c r="C258"/>
      <c r="D258" s="33"/>
      <c r="E258" s="33"/>
      <c r="F258" s="33"/>
      <c r="G258" s="23"/>
      <c r="H258" s="23"/>
    </row>
    <row r="259" spans="1:8" x14ac:dyDescent="0.3">
      <c r="A259" s="22"/>
      <c r="B259" s="33"/>
      <c r="C259"/>
      <c r="D259" s="33"/>
      <c r="E259" s="33"/>
      <c r="F259" s="33"/>
      <c r="G259" s="23"/>
      <c r="H259" s="23"/>
    </row>
    <row r="260" spans="1:8" x14ac:dyDescent="0.3">
      <c r="A260" s="22"/>
      <c r="B260" s="33"/>
      <c r="C260"/>
      <c r="D260" s="33"/>
      <c r="E260" s="33"/>
      <c r="F260" s="33"/>
      <c r="G260" s="23"/>
      <c r="H260" s="23"/>
    </row>
    <row r="261" spans="1:8" x14ac:dyDescent="0.3">
      <c r="A261" s="22"/>
      <c r="B261" s="33"/>
      <c r="C261"/>
      <c r="D261" s="33"/>
      <c r="E261" s="33"/>
      <c r="F261" s="33"/>
      <c r="G261" s="23"/>
      <c r="H261" s="23"/>
    </row>
    <row r="262" spans="1:8" x14ac:dyDescent="0.3">
      <c r="A262" s="22"/>
      <c r="B262" s="33"/>
      <c r="C262"/>
      <c r="D262" s="33"/>
      <c r="E262" s="33"/>
      <c r="F262" s="33"/>
      <c r="G262" s="23"/>
      <c r="H262" s="23"/>
    </row>
    <row r="263" spans="1:8" x14ac:dyDescent="0.3">
      <c r="A263" s="22"/>
      <c r="B263" s="33"/>
      <c r="C263"/>
      <c r="D263" s="33"/>
      <c r="E263" s="33"/>
      <c r="F263" s="33"/>
      <c r="G263" s="23"/>
      <c r="H263" s="23"/>
    </row>
    <row r="264" spans="1:8" x14ac:dyDescent="0.3">
      <c r="A264" s="22"/>
      <c r="B264" s="33"/>
      <c r="C264"/>
      <c r="D264" s="33"/>
      <c r="E264" s="33"/>
      <c r="F264" s="33"/>
      <c r="G264" s="23"/>
      <c r="H264" s="23"/>
    </row>
    <row r="265" spans="1:8" x14ac:dyDescent="0.3">
      <c r="A265" s="22"/>
      <c r="B265" s="33"/>
      <c r="C265"/>
      <c r="D265" s="33"/>
      <c r="E265" s="33"/>
      <c r="F265" s="33"/>
      <c r="G265" s="23"/>
      <c r="H265" s="23"/>
    </row>
    <row r="266" spans="1:8" x14ac:dyDescent="0.3">
      <c r="A266" s="22"/>
      <c r="B266" s="33"/>
      <c r="C266"/>
      <c r="D266" s="33"/>
      <c r="E266" s="33"/>
      <c r="F266" s="33"/>
      <c r="G266" s="23"/>
      <c r="H266" s="23"/>
    </row>
    <row r="267" spans="1:8" x14ac:dyDescent="0.3">
      <c r="A267" s="22"/>
      <c r="B267" s="33"/>
      <c r="C267"/>
      <c r="D267" s="33"/>
      <c r="E267" s="33"/>
      <c r="F267" s="33"/>
      <c r="G267" s="23"/>
      <c r="H267" s="23"/>
    </row>
    <row r="268" spans="1:8" x14ac:dyDescent="0.3">
      <c r="A268" s="22"/>
      <c r="B268" s="33"/>
      <c r="C268"/>
      <c r="D268" s="33"/>
      <c r="E268" s="33"/>
      <c r="F268" s="33"/>
      <c r="G268" s="23"/>
      <c r="H268" s="23"/>
    </row>
    <row r="269" spans="1:8" x14ac:dyDescent="0.3">
      <c r="A269" s="22"/>
      <c r="B269" s="33"/>
      <c r="C269"/>
      <c r="D269" s="33"/>
      <c r="E269" s="33"/>
      <c r="F269" s="33"/>
      <c r="G269" s="23"/>
      <c r="H269" s="23"/>
    </row>
    <row r="270" spans="1:8" x14ac:dyDescent="0.3">
      <c r="A270" s="22"/>
      <c r="B270" s="33"/>
      <c r="C270"/>
      <c r="D270" s="33"/>
      <c r="E270" s="33"/>
      <c r="F270" s="33"/>
      <c r="G270" s="23"/>
      <c r="H270" s="23"/>
    </row>
    <row r="271" spans="1:8" x14ac:dyDescent="0.3">
      <c r="A271" s="22"/>
      <c r="B271" s="33"/>
      <c r="C271"/>
      <c r="D271" s="33"/>
      <c r="E271" s="33"/>
      <c r="F271" s="33"/>
      <c r="G271" s="23"/>
      <c r="H271" s="23"/>
    </row>
    <row r="272" spans="1:8" x14ac:dyDescent="0.3">
      <c r="A272" s="22"/>
      <c r="B272" s="33"/>
      <c r="C272"/>
      <c r="D272" s="33"/>
      <c r="E272" s="33"/>
      <c r="F272" s="33"/>
      <c r="G272" s="23"/>
      <c r="H272" s="23"/>
    </row>
    <row r="273" spans="1:8" x14ac:dyDescent="0.3">
      <c r="A273" s="22"/>
      <c r="B273" s="33"/>
      <c r="C273"/>
      <c r="D273" s="33"/>
      <c r="E273" s="33"/>
      <c r="F273" s="33"/>
      <c r="G273" s="23"/>
      <c r="H273" s="23"/>
    </row>
    <row r="274" spans="1:8" x14ac:dyDescent="0.3">
      <c r="A274" s="22"/>
      <c r="B274" s="33"/>
      <c r="C274"/>
      <c r="D274" s="33"/>
      <c r="E274" s="33"/>
      <c r="F274" s="33"/>
      <c r="G274" s="23"/>
      <c r="H274" s="23"/>
    </row>
    <row r="275" spans="1:8" x14ac:dyDescent="0.3">
      <c r="A275" s="22"/>
      <c r="B275" s="33"/>
      <c r="C275"/>
      <c r="D275" s="33"/>
      <c r="E275" s="33"/>
      <c r="F275" s="33"/>
      <c r="G275" s="23"/>
      <c r="H275" s="23"/>
    </row>
    <row r="276" spans="1:8" x14ac:dyDescent="0.3">
      <c r="A276" s="22"/>
      <c r="B276" s="33"/>
      <c r="C276"/>
      <c r="D276" s="33"/>
      <c r="E276" s="33"/>
      <c r="F276" s="33"/>
      <c r="G276" s="23"/>
      <c r="H276" s="23"/>
    </row>
    <row r="277" spans="1:8" x14ac:dyDescent="0.3">
      <c r="A277" s="22"/>
      <c r="B277" s="33"/>
      <c r="C277"/>
      <c r="D277" s="33"/>
      <c r="E277" s="33"/>
      <c r="F277" s="33"/>
      <c r="G277" s="23"/>
      <c r="H277" s="23"/>
    </row>
    <row r="278" spans="1:8" x14ac:dyDescent="0.3">
      <c r="A278" s="22"/>
      <c r="B278" s="33"/>
      <c r="C278"/>
      <c r="D278" s="33"/>
      <c r="E278" s="33"/>
      <c r="F278" s="33"/>
      <c r="G278" s="23"/>
      <c r="H278" s="23"/>
    </row>
    <row r="279" spans="1:8" x14ac:dyDescent="0.3">
      <c r="A279" s="22"/>
      <c r="B279" s="33"/>
      <c r="C279"/>
      <c r="D279" s="33"/>
      <c r="E279" s="33"/>
      <c r="F279" s="33"/>
      <c r="G279" s="23"/>
      <c r="H279" s="23"/>
    </row>
    <row r="280" spans="1:8" x14ac:dyDescent="0.3">
      <c r="A280" s="22"/>
      <c r="B280" s="33"/>
      <c r="C280"/>
      <c r="D280" s="33"/>
      <c r="E280" s="33"/>
      <c r="F280" s="33"/>
      <c r="G280" s="23"/>
      <c r="H280" s="23"/>
    </row>
    <row r="281" spans="1:8" x14ac:dyDescent="0.3">
      <c r="A281" s="22"/>
      <c r="B281" s="33"/>
      <c r="C281"/>
      <c r="D281" s="33"/>
      <c r="E281" s="33"/>
      <c r="F281" s="33"/>
      <c r="G281" s="23"/>
      <c r="H281" s="23"/>
    </row>
    <row r="282" spans="1:8" x14ac:dyDescent="0.3">
      <c r="A282" s="22"/>
      <c r="B282" s="33"/>
      <c r="C282"/>
      <c r="D282" s="33"/>
      <c r="E282" s="33"/>
      <c r="F282" s="33"/>
      <c r="G282" s="23"/>
      <c r="H282" s="23"/>
    </row>
    <row r="283" spans="1:8" x14ac:dyDescent="0.3">
      <c r="A283" s="22"/>
      <c r="B283" s="33"/>
      <c r="C283"/>
      <c r="D283" s="33"/>
      <c r="E283" s="33"/>
      <c r="F283" s="33"/>
      <c r="G283" s="23"/>
      <c r="H283" s="23"/>
    </row>
    <row r="284" spans="1:8" x14ac:dyDescent="0.3">
      <c r="A284" s="22"/>
      <c r="B284" s="33"/>
      <c r="C284"/>
      <c r="D284" s="33"/>
      <c r="E284" s="33"/>
      <c r="F284" s="33"/>
      <c r="G284" s="23"/>
      <c r="H284" s="23"/>
    </row>
    <row r="285" spans="1:8" x14ac:dyDescent="0.3">
      <c r="A285" s="22"/>
      <c r="B285" s="33"/>
      <c r="C285"/>
      <c r="D285" s="33"/>
      <c r="E285" s="33"/>
      <c r="F285" s="33"/>
      <c r="G285" s="23"/>
      <c r="H285" s="23"/>
    </row>
    <row r="286" spans="1:8" x14ac:dyDescent="0.3">
      <c r="A286" s="22"/>
      <c r="B286" s="33"/>
      <c r="C286"/>
      <c r="D286" s="33"/>
      <c r="E286" s="33"/>
      <c r="F286" s="33"/>
      <c r="G286" s="23"/>
      <c r="H286" s="23"/>
    </row>
    <row r="287" spans="1:8" x14ac:dyDescent="0.3">
      <c r="A287" s="22"/>
      <c r="B287" s="33"/>
      <c r="C287"/>
      <c r="D287" s="33"/>
      <c r="E287" s="33"/>
      <c r="F287" s="33"/>
      <c r="G287" s="23"/>
      <c r="H287" s="23"/>
    </row>
    <row r="288" spans="1:8" x14ac:dyDescent="0.3">
      <c r="A288" s="22"/>
      <c r="B288" s="33"/>
      <c r="C288"/>
      <c r="D288" s="33"/>
      <c r="E288" s="33"/>
      <c r="F288" s="33"/>
      <c r="G288" s="23"/>
      <c r="H288" s="23"/>
    </row>
    <row r="289" spans="1:8" x14ac:dyDescent="0.3">
      <c r="A289" s="22"/>
      <c r="B289" s="33"/>
      <c r="C289"/>
      <c r="D289" s="33"/>
      <c r="E289" s="33"/>
      <c r="F289" s="33"/>
      <c r="G289" s="23"/>
      <c r="H289" s="23"/>
    </row>
    <row r="290" spans="1:8" x14ac:dyDescent="0.3">
      <c r="A290" s="22"/>
      <c r="B290" s="33"/>
      <c r="C290"/>
      <c r="D290" s="33"/>
      <c r="E290" s="33"/>
      <c r="F290" s="33"/>
      <c r="G290" s="23"/>
      <c r="H290" s="23"/>
    </row>
    <row r="291" spans="1:8" x14ac:dyDescent="0.3">
      <c r="A291" s="22"/>
      <c r="B291" s="33"/>
      <c r="C291"/>
      <c r="D291" s="33"/>
      <c r="E291" s="33"/>
      <c r="F291" s="33"/>
      <c r="G291" s="23"/>
      <c r="H291" s="23"/>
    </row>
    <row r="292" spans="1:8" x14ac:dyDescent="0.3">
      <c r="A292" s="22"/>
      <c r="B292" s="33"/>
      <c r="C292"/>
      <c r="D292" s="33"/>
      <c r="E292" s="33"/>
      <c r="F292" s="33"/>
      <c r="G292" s="23"/>
      <c r="H292" s="23"/>
    </row>
    <row r="293" spans="1:8" x14ac:dyDescent="0.3">
      <c r="A293" s="22"/>
      <c r="B293" s="33"/>
      <c r="C293"/>
      <c r="D293" s="33"/>
      <c r="E293" s="33"/>
      <c r="F293" s="33"/>
      <c r="G293" s="23"/>
      <c r="H293" s="23"/>
    </row>
    <row r="294" spans="1:8" x14ac:dyDescent="0.3">
      <c r="A294" s="22"/>
      <c r="B294" s="33"/>
      <c r="C294"/>
      <c r="D294" s="33"/>
      <c r="E294" s="33"/>
      <c r="F294" s="33"/>
      <c r="G294" s="23"/>
      <c r="H294" s="23"/>
    </row>
    <row r="295" spans="1:8" x14ac:dyDescent="0.3">
      <c r="A295" s="22"/>
      <c r="B295" s="33"/>
      <c r="C295"/>
      <c r="D295" s="33"/>
      <c r="E295" s="33"/>
      <c r="F295" s="33"/>
      <c r="G295" s="23"/>
      <c r="H295" s="23"/>
    </row>
    <row r="296" spans="1:8" x14ac:dyDescent="0.3">
      <c r="A296" s="22"/>
      <c r="B296" s="33"/>
      <c r="C296"/>
      <c r="D296" s="33"/>
      <c r="E296" s="33"/>
      <c r="F296" s="33"/>
      <c r="G296" s="23"/>
      <c r="H296" s="23"/>
    </row>
    <row r="297" spans="1:8" x14ac:dyDescent="0.3">
      <c r="A297" s="22"/>
      <c r="B297" s="33"/>
      <c r="C297"/>
      <c r="D297" s="33"/>
      <c r="E297" s="33"/>
      <c r="F297" s="33"/>
      <c r="G297" s="23"/>
      <c r="H297" s="23"/>
    </row>
    <row r="298" spans="1:8" x14ac:dyDescent="0.3">
      <c r="A298" s="22"/>
      <c r="B298" s="33"/>
      <c r="C298"/>
      <c r="D298" s="33"/>
      <c r="E298" s="33"/>
      <c r="F298" s="33"/>
      <c r="G298" s="23"/>
      <c r="H298" s="23"/>
    </row>
    <row r="299" spans="1:8" x14ac:dyDescent="0.3">
      <c r="A299" s="22"/>
      <c r="B299" s="33"/>
      <c r="C299"/>
      <c r="D299" s="33"/>
      <c r="E299" s="33"/>
      <c r="F299" s="33"/>
      <c r="G299" s="23"/>
      <c r="H299" s="23"/>
    </row>
    <row r="300" spans="1:8" x14ac:dyDescent="0.3">
      <c r="A300" s="22"/>
      <c r="B300" s="33"/>
      <c r="C300"/>
      <c r="D300" s="33"/>
      <c r="E300" s="33"/>
      <c r="F300" s="33"/>
      <c r="G300" s="23"/>
      <c r="H300" s="23"/>
    </row>
    <row r="301" spans="1:8" x14ac:dyDescent="0.3">
      <c r="A301" s="22"/>
      <c r="B301" s="33"/>
      <c r="C301"/>
      <c r="D301" s="33"/>
      <c r="E301" s="33"/>
      <c r="F301" s="33"/>
      <c r="G301" s="23"/>
      <c r="H301" s="23"/>
    </row>
    <row r="302" spans="1:8" x14ac:dyDescent="0.3">
      <c r="A302" s="22"/>
      <c r="B302" s="33"/>
      <c r="C302"/>
      <c r="D302" s="33"/>
      <c r="E302" s="33"/>
      <c r="F302" s="33"/>
      <c r="G302" s="23"/>
      <c r="H302" s="23"/>
    </row>
    <row r="303" spans="1:8" x14ac:dyDescent="0.3">
      <c r="A303" s="22"/>
      <c r="B303" s="33"/>
      <c r="C303"/>
      <c r="D303" s="33"/>
      <c r="E303" s="33"/>
      <c r="F303" s="33"/>
      <c r="G303" s="23"/>
      <c r="H303" s="23"/>
    </row>
    <row r="304" spans="1:8" x14ac:dyDescent="0.3">
      <c r="A304" s="22"/>
      <c r="B304" s="33"/>
      <c r="C304"/>
      <c r="D304" s="33"/>
      <c r="E304" s="33"/>
      <c r="F304" s="33"/>
      <c r="G304" s="23"/>
      <c r="H304" s="23"/>
    </row>
    <row r="305" spans="1:8" x14ac:dyDescent="0.3">
      <c r="A305" s="22"/>
      <c r="B305" s="33"/>
      <c r="C305"/>
      <c r="D305" s="33"/>
      <c r="E305" s="33"/>
      <c r="F305" s="33"/>
      <c r="G305" s="23"/>
      <c r="H305" s="23"/>
    </row>
    <row r="306" spans="1:8" x14ac:dyDescent="0.3">
      <c r="A306" s="22"/>
      <c r="B306" s="33"/>
      <c r="C306"/>
      <c r="D306" s="33"/>
      <c r="E306" s="33"/>
      <c r="F306" s="33"/>
      <c r="G306" s="23"/>
      <c r="H306" s="23"/>
    </row>
    <row r="307" spans="1:8" x14ac:dyDescent="0.3">
      <c r="A307" s="22"/>
      <c r="B307" s="33"/>
      <c r="C307"/>
      <c r="D307" s="33"/>
      <c r="E307" s="33"/>
      <c r="F307" s="33"/>
      <c r="G307" s="23"/>
      <c r="H307" s="23"/>
    </row>
    <row r="308" spans="1:8" x14ac:dyDescent="0.3">
      <c r="A308" s="22"/>
      <c r="B308" s="33"/>
      <c r="C308"/>
      <c r="D308" s="33"/>
      <c r="E308" s="33"/>
      <c r="F308" s="33"/>
      <c r="G308" s="23"/>
      <c r="H308" s="23"/>
    </row>
    <row r="309" spans="1:8" x14ac:dyDescent="0.3">
      <c r="A309" s="22"/>
      <c r="B309" s="33"/>
      <c r="C309"/>
      <c r="D309" s="33"/>
      <c r="E309" s="33"/>
      <c r="F309" s="33"/>
      <c r="G309" s="23"/>
      <c r="H309" s="23"/>
    </row>
    <row r="310" spans="1:8" x14ac:dyDescent="0.3">
      <c r="A310" s="22"/>
      <c r="B310" s="33"/>
      <c r="C310"/>
      <c r="D310" s="33"/>
      <c r="E310" s="33"/>
      <c r="F310" s="33"/>
      <c r="G310" s="23"/>
      <c r="H310" s="23"/>
    </row>
    <row r="311" spans="1:8" x14ac:dyDescent="0.3">
      <c r="A311" s="22"/>
      <c r="B311" s="33"/>
      <c r="C311"/>
      <c r="D311" s="33"/>
      <c r="E311" s="33"/>
      <c r="F311" s="33"/>
      <c r="G311" s="23"/>
      <c r="H311" s="23"/>
    </row>
    <row r="312" spans="1:8" x14ac:dyDescent="0.3">
      <c r="A312" s="22"/>
      <c r="B312" s="33"/>
      <c r="C312"/>
      <c r="D312" s="33"/>
      <c r="E312" s="33"/>
      <c r="F312" s="33"/>
      <c r="G312" s="23"/>
      <c r="H312" s="23"/>
    </row>
    <row r="313" spans="1:8" x14ac:dyDescent="0.3">
      <c r="A313" s="22"/>
      <c r="B313" s="33"/>
      <c r="C313"/>
      <c r="D313" s="33"/>
      <c r="E313" s="33"/>
      <c r="F313" s="33"/>
      <c r="G313" s="23"/>
      <c r="H313" s="23"/>
    </row>
    <row r="314" spans="1:8" x14ac:dyDescent="0.3">
      <c r="A314" s="22"/>
      <c r="B314" s="33"/>
      <c r="C314"/>
      <c r="D314" s="33"/>
      <c r="E314" s="33"/>
      <c r="F314" s="33"/>
      <c r="G314" s="23"/>
      <c r="H314" s="23"/>
    </row>
    <row r="315" spans="1:8" x14ac:dyDescent="0.3">
      <c r="A315" s="22"/>
      <c r="B315" s="33"/>
      <c r="C315"/>
      <c r="D315" s="33"/>
      <c r="E315" s="33"/>
      <c r="F315" s="33"/>
      <c r="G315" s="23"/>
      <c r="H315" s="23"/>
    </row>
  </sheetData>
  <autoFilter ref="A2:H240" xr:uid="{00000000-0001-0000-0000-000000000000}"/>
  <mergeCells count="91">
    <mergeCell ref="B226:B228"/>
    <mergeCell ref="A226:A228"/>
    <mergeCell ref="B229:B230"/>
    <mergeCell ref="A229:A230"/>
    <mergeCell ref="B215:B216"/>
    <mergeCell ref="A215:A216"/>
    <mergeCell ref="B217:B220"/>
    <mergeCell ref="A217:A220"/>
    <mergeCell ref="B221:B224"/>
    <mergeCell ref="A221:A224"/>
    <mergeCell ref="B183:B187"/>
    <mergeCell ref="A183:A187"/>
    <mergeCell ref="B198:B211"/>
    <mergeCell ref="A198:A211"/>
    <mergeCell ref="B212:B214"/>
    <mergeCell ref="A212:A214"/>
    <mergeCell ref="B188:B192"/>
    <mergeCell ref="A188:A192"/>
    <mergeCell ref="B194:B195"/>
    <mergeCell ref="A194:A195"/>
    <mergeCell ref="B174:B175"/>
    <mergeCell ref="A174:A175"/>
    <mergeCell ref="B177:B179"/>
    <mergeCell ref="A177:A179"/>
    <mergeCell ref="B181:B182"/>
    <mergeCell ref="A181:A182"/>
    <mergeCell ref="B158:B162"/>
    <mergeCell ref="A158:A162"/>
    <mergeCell ref="B164:B167"/>
    <mergeCell ref="A164:A167"/>
    <mergeCell ref="B170:B173"/>
    <mergeCell ref="A170:A173"/>
    <mergeCell ref="A146:A148"/>
    <mergeCell ref="A153:A156"/>
    <mergeCell ref="B153:B156"/>
    <mergeCell ref="B149:B152"/>
    <mergeCell ref="A149:A152"/>
    <mergeCell ref="H138:H139"/>
    <mergeCell ref="B136:B139"/>
    <mergeCell ref="A136:A139"/>
    <mergeCell ref="G138:G139"/>
    <mergeCell ref="B142:B143"/>
    <mergeCell ref="A142:A143"/>
    <mergeCell ref="A1:H1"/>
    <mergeCell ref="A66:A73"/>
    <mergeCell ref="B66:B73"/>
    <mergeCell ref="A51:A65"/>
    <mergeCell ref="B51:B65"/>
    <mergeCell ref="A49:A50"/>
    <mergeCell ref="B49:B50"/>
    <mergeCell ref="B47:B48"/>
    <mergeCell ref="A47:A48"/>
    <mergeCell ref="A17:A46"/>
    <mergeCell ref="B17:B46"/>
    <mergeCell ref="B14:B16"/>
    <mergeCell ref="A14:A16"/>
    <mergeCell ref="B7:B13"/>
    <mergeCell ref="A7:A13"/>
    <mergeCell ref="B3:B6"/>
    <mergeCell ref="H74:H77"/>
    <mergeCell ref="G101:G102"/>
    <mergeCell ref="H101:H102"/>
    <mergeCell ref="A107:A111"/>
    <mergeCell ref="B107:B111"/>
    <mergeCell ref="B98:B100"/>
    <mergeCell ref="G74:G77"/>
    <mergeCell ref="A90:A96"/>
    <mergeCell ref="B90:B96"/>
    <mergeCell ref="A98:A100"/>
    <mergeCell ref="A101:A103"/>
    <mergeCell ref="A104:A105"/>
    <mergeCell ref="A74:A77"/>
    <mergeCell ref="A79:A82"/>
    <mergeCell ref="B79:B82"/>
    <mergeCell ref="A83:A89"/>
    <mergeCell ref="B235:B236"/>
    <mergeCell ref="A235:A236"/>
    <mergeCell ref="B238:B240"/>
    <mergeCell ref="A238:A240"/>
    <mergeCell ref="A3:A6"/>
    <mergeCell ref="A112:A116"/>
    <mergeCell ref="B83:B89"/>
    <mergeCell ref="B74:B77"/>
    <mergeCell ref="B112:B116"/>
    <mergeCell ref="B104:B105"/>
    <mergeCell ref="B101:B103"/>
    <mergeCell ref="B118:B135"/>
    <mergeCell ref="A118:A135"/>
    <mergeCell ref="B144:B145"/>
    <mergeCell ref="A144:A145"/>
    <mergeCell ref="B146:B148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FAB1-E922-44D9-96DF-54FC56299CA9}">
  <dimension ref="A1:M21"/>
  <sheetViews>
    <sheetView workbookViewId="0">
      <selection activeCell="K12" sqref="K12"/>
    </sheetView>
  </sheetViews>
  <sheetFormatPr defaultRowHeight="14.4" x14ac:dyDescent="0.3"/>
  <cols>
    <col min="2" max="2" width="10.33203125" bestFit="1" customWidth="1"/>
    <col min="3" max="3" width="46.33203125" bestFit="1" customWidth="1"/>
    <col min="4" max="4" width="10" bestFit="1" customWidth="1"/>
    <col min="6" max="6" width="10.109375" bestFit="1" customWidth="1"/>
    <col min="9" max="9" width="10.44140625" bestFit="1" customWidth="1"/>
    <col min="12" max="12" width="10" bestFit="1" customWidth="1"/>
    <col min="13" max="13" width="26" bestFit="1" customWidth="1"/>
  </cols>
  <sheetData>
    <row r="1" spans="1:13" ht="18" x14ac:dyDescent="0.35">
      <c r="A1" s="98" t="s">
        <v>212</v>
      </c>
      <c r="B1" s="98"/>
      <c r="C1" s="98"/>
      <c r="D1" s="98"/>
      <c r="E1" s="98"/>
      <c r="F1" s="98"/>
    </row>
    <row r="2" spans="1:13" x14ac:dyDescent="0.3">
      <c r="A2" s="35" t="s">
        <v>207</v>
      </c>
      <c r="B2" s="35" t="s">
        <v>47</v>
      </c>
      <c r="C2" s="35" t="s">
        <v>45</v>
      </c>
      <c r="D2" s="35" t="s">
        <v>208</v>
      </c>
      <c r="E2" s="35" t="s">
        <v>209</v>
      </c>
      <c r="F2" s="35" t="s">
        <v>210</v>
      </c>
      <c r="H2" s="100" t="s">
        <v>309</v>
      </c>
      <c r="I2" s="100"/>
      <c r="J2" s="100"/>
      <c r="K2" s="100"/>
      <c r="L2" s="100"/>
      <c r="M2" s="100"/>
    </row>
    <row r="3" spans="1:13" x14ac:dyDescent="0.3">
      <c r="A3" s="3">
        <v>1</v>
      </c>
      <c r="B3" s="21">
        <v>46047</v>
      </c>
      <c r="C3" s="3" t="s">
        <v>211</v>
      </c>
      <c r="D3" s="4">
        <v>22774.3</v>
      </c>
      <c r="E3" s="4">
        <v>22778.3</v>
      </c>
      <c r="F3" s="3">
        <f>E3-D3</f>
        <v>4</v>
      </c>
      <c r="H3" s="100"/>
      <c r="I3" s="100"/>
      <c r="J3" s="100"/>
      <c r="K3" s="100"/>
      <c r="L3" s="100"/>
      <c r="M3" s="100"/>
    </row>
    <row r="4" spans="1:13" x14ac:dyDescent="0.3">
      <c r="A4" s="3">
        <v>2</v>
      </c>
      <c r="B4" s="5">
        <v>46047</v>
      </c>
      <c r="C4" s="3" t="s">
        <v>211</v>
      </c>
      <c r="D4" s="4">
        <v>22780.3</v>
      </c>
      <c r="E4" s="4">
        <v>22783.9</v>
      </c>
      <c r="F4" s="3">
        <v>3.6</v>
      </c>
      <c r="H4" s="36" t="s">
        <v>48</v>
      </c>
      <c r="I4" s="36" t="s">
        <v>45</v>
      </c>
      <c r="J4" s="36" t="s">
        <v>307</v>
      </c>
      <c r="K4" s="36" t="s">
        <v>41</v>
      </c>
      <c r="L4" s="36" t="s">
        <v>42</v>
      </c>
      <c r="M4" s="36" t="s">
        <v>310</v>
      </c>
    </row>
    <row r="5" spans="1:13" x14ac:dyDescent="0.3">
      <c r="A5" s="3">
        <v>3</v>
      </c>
      <c r="B5" s="5">
        <v>46060</v>
      </c>
      <c r="C5" s="3" t="s">
        <v>254</v>
      </c>
      <c r="D5" s="4">
        <v>7971.6</v>
      </c>
      <c r="E5" s="4">
        <v>7977.3</v>
      </c>
      <c r="F5" s="3">
        <v>5.7</v>
      </c>
      <c r="H5" s="3">
        <v>1</v>
      </c>
      <c r="I5" s="4" t="s">
        <v>304</v>
      </c>
      <c r="J5" s="3">
        <v>8</v>
      </c>
      <c r="K5" s="7">
        <v>2500</v>
      </c>
      <c r="L5" s="7">
        <v>20000</v>
      </c>
      <c r="M5" s="4" t="s">
        <v>311</v>
      </c>
    </row>
    <row r="6" spans="1:13" x14ac:dyDescent="0.3">
      <c r="A6" s="3">
        <v>4</v>
      </c>
      <c r="B6" s="5">
        <v>46071</v>
      </c>
      <c r="C6" s="3" t="s">
        <v>254</v>
      </c>
      <c r="D6" s="4">
        <v>8005.5</v>
      </c>
      <c r="E6" s="4">
        <v>8011</v>
      </c>
      <c r="F6" s="3">
        <f>E6-D6</f>
        <v>5.5</v>
      </c>
      <c r="H6" s="3">
        <v>2</v>
      </c>
      <c r="I6" s="4" t="s">
        <v>305</v>
      </c>
      <c r="J6" s="3">
        <v>1.7</v>
      </c>
      <c r="K6" s="7">
        <v>3500</v>
      </c>
      <c r="L6" s="7">
        <v>5950</v>
      </c>
      <c r="M6" s="4" t="s">
        <v>311</v>
      </c>
    </row>
    <row r="7" spans="1:13" x14ac:dyDescent="0.3">
      <c r="A7" s="3">
        <v>5</v>
      </c>
      <c r="B7" s="5">
        <v>46072</v>
      </c>
      <c r="C7" s="3" t="s">
        <v>265</v>
      </c>
      <c r="D7" s="4">
        <v>5665.3</v>
      </c>
      <c r="E7" s="4">
        <v>5667</v>
      </c>
      <c r="F7" s="3">
        <v>1.7</v>
      </c>
      <c r="H7" s="3">
        <v>3</v>
      </c>
      <c r="I7" s="4" t="s">
        <v>306</v>
      </c>
      <c r="J7" s="3">
        <v>16.3</v>
      </c>
      <c r="K7" s="7">
        <v>1200</v>
      </c>
      <c r="L7" s="7">
        <v>19560</v>
      </c>
      <c r="M7" s="4" t="s">
        <v>311</v>
      </c>
    </row>
    <row r="8" spans="1:13" x14ac:dyDescent="0.3">
      <c r="A8" s="3">
        <v>6</v>
      </c>
      <c r="B8" s="5">
        <v>46073</v>
      </c>
      <c r="C8" s="3" t="s">
        <v>360</v>
      </c>
      <c r="D8" s="4">
        <v>8017.9</v>
      </c>
      <c r="E8" s="4">
        <v>8023</v>
      </c>
      <c r="F8" s="3">
        <f>E8-D8</f>
        <v>5.1000000000003638</v>
      </c>
      <c r="H8" s="99" t="s">
        <v>308</v>
      </c>
      <c r="I8" s="99"/>
      <c r="J8" s="99"/>
      <c r="K8" s="99"/>
      <c r="L8" s="38">
        <f>SUM(L5:L7)</f>
        <v>45510</v>
      </c>
      <c r="M8" s="39"/>
    </row>
    <row r="9" spans="1:13" x14ac:dyDescent="0.3">
      <c r="A9" s="4"/>
      <c r="B9" s="5">
        <v>46101</v>
      </c>
      <c r="C9" s="4" t="s">
        <v>361</v>
      </c>
      <c r="D9" s="4">
        <v>16464.900000000001</v>
      </c>
      <c r="E9" s="4">
        <v>16470.7</v>
      </c>
      <c r="F9" s="3">
        <v>5.8</v>
      </c>
    </row>
    <row r="10" spans="1:13" x14ac:dyDescent="0.3">
      <c r="A10" s="4"/>
      <c r="B10" s="5">
        <v>46122</v>
      </c>
      <c r="C10" s="4" t="s">
        <v>254</v>
      </c>
      <c r="D10" s="4">
        <v>8196.9</v>
      </c>
      <c r="E10" s="4">
        <v>8203.6</v>
      </c>
      <c r="F10" s="4">
        <f>E10-D10</f>
        <v>6.7000000000007276</v>
      </c>
    </row>
    <row r="11" spans="1:13" x14ac:dyDescent="0.3">
      <c r="A11" s="4"/>
      <c r="B11" s="4"/>
      <c r="C11" s="4"/>
      <c r="D11" s="4"/>
      <c r="E11" s="4"/>
      <c r="F11" s="4"/>
    </row>
    <row r="12" spans="1:13" x14ac:dyDescent="0.3">
      <c r="A12" s="4"/>
      <c r="B12" s="4"/>
      <c r="C12" s="4"/>
      <c r="D12" s="4"/>
      <c r="E12" s="4"/>
      <c r="F12" s="4"/>
    </row>
    <row r="13" spans="1:13" x14ac:dyDescent="0.3">
      <c r="A13" s="4"/>
      <c r="B13" s="4"/>
      <c r="C13" s="4"/>
      <c r="D13" s="4"/>
      <c r="E13" s="4"/>
      <c r="F13" s="4"/>
    </row>
    <row r="14" spans="1:13" x14ac:dyDescent="0.3">
      <c r="A14" s="4"/>
      <c r="B14" s="4"/>
      <c r="C14" s="4"/>
      <c r="D14" s="4"/>
      <c r="E14" s="4"/>
      <c r="F14" s="4"/>
      <c r="H14">
        <f>F9*1200</f>
        <v>6960</v>
      </c>
    </row>
    <row r="15" spans="1:13" x14ac:dyDescent="0.3">
      <c r="A15" s="4"/>
      <c r="B15" s="4"/>
      <c r="C15" s="4"/>
      <c r="D15" s="4"/>
      <c r="E15" s="4"/>
      <c r="F15" s="4"/>
    </row>
    <row r="16" spans="1:13" x14ac:dyDescent="0.3">
      <c r="A16" s="4"/>
      <c r="B16" s="4"/>
      <c r="C16" s="4"/>
      <c r="D16" s="4"/>
      <c r="E16" s="4"/>
      <c r="F16" s="4"/>
    </row>
    <row r="17" spans="1:6" x14ac:dyDescent="0.3">
      <c r="A17" s="4"/>
      <c r="B17" s="4"/>
      <c r="C17" s="4"/>
      <c r="D17" s="4"/>
      <c r="E17" s="4"/>
      <c r="F17" s="4"/>
    </row>
    <row r="18" spans="1:6" x14ac:dyDescent="0.3">
      <c r="A18" s="4"/>
      <c r="B18" s="4"/>
      <c r="C18" s="4"/>
      <c r="D18" s="4"/>
      <c r="E18" s="4"/>
      <c r="F18" s="4"/>
    </row>
    <row r="19" spans="1:6" x14ac:dyDescent="0.3">
      <c r="A19" s="4"/>
      <c r="B19" s="4"/>
      <c r="C19" s="4"/>
      <c r="D19" s="4"/>
      <c r="E19" s="4"/>
      <c r="F19" s="4"/>
    </row>
    <row r="20" spans="1:6" x14ac:dyDescent="0.3">
      <c r="A20" s="4"/>
      <c r="B20" s="4"/>
      <c r="C20" s="4"/>
      <c r="D20" s="4"/>
      <c r="E20" s="4"/>
      <c r="F20" s="4"/>
    </row>
    <row r="21" spans="1:6" x14ac:dyDescent="0.3">
      <c r="A21" s="4"/>
      <c r="B21" s="4"/>
      <c r="C21" s="4"/>
      <c r="D21" s="4"/>
      <c r="E21" s="4"/>
      <c r="F21" s="4"/>
    </row>
  </sheetData>
  <mergeCells count="3">
    <mergeCell ref="A1:F1"/>
    <mergeCell ref="H8:K8"/>
    <mergeCell ref="H2:M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D18" sqref="D18"/>
    </sheetView>
  </sheetViews>
  <sheetFormatPr defaultRowHeight="14.4" x14ac:dyDescent="0.3"/>
  <cols>
    <col min="2" max="2" width="10.33203125" bestFit="1" customWidth="1"/>
    <col min="3" max="3" width="27.33203125" bestFit="1" customWidth="1"/>
    <col min="4" max="4" width="9.33203125" bestFit="1" customWidth="1"/>
    <col min="5" max="5" width="17.33203125" bestFit="1" customWidth="1"/>
    <col min="6" max="8" width="17.33203125" customWidth="1"/>
    <col min="9" max="9" width="27.44140625" bestFit="1" customWidth="1"/>
    <col min="10" max="10" width="11.5546875" bestFit="1" customWidth="1"/>
  </cols>
  <sheetData>
    <row r="1" spans="1:10" ht="25.8" thickBot="1" x14ac:dyDescent="0.65">
      <c r="A1" s="101" t="s">
        <v>142</v>
      </c>
      <c r="B1" s="102"/>
      <c r="C1" s="102"/>
      <c r="D1" s="102"/>
      <c r="E1" s="102"/>
      <c r="F1" s="102"/>
      <c r="G1" s="102"/>
      <c r="H1" s="102"/>
      <c r="I1" s="102"/>
      <c r="J1" s="103"/>
    </row>
    <row r="2" spans="1:10" ht="15" thickBot="1" x14ac:dyDescent="0.35">
      <c r="A2" s="26" t="s">
        <v>138</v>
      </c>
      <c r="B2" s="27" t="s">
        <v>139</v>
      </c>
      <c r="C2" s="28" t="s">
        <v>143</v>
      </c>
      <c r="D2" s="27" t="s">
        <v>140</v>
      </c>
      <c r="E2" s="27" t="s">
        <v>44</v>
      </c>
      <c r="F2" s="27" t="s">
        <v>43</v>
      </c>
      <c r="G2" s="27" t="s">
        <v>41</v>
      </c>
      <c r="H2" s="27" t="s">
        <v>42</v>
      </c>
      <c r="I2" s="27" t="s">
        <v>177</v>
      </c>
      <c r="J2" s="29" t="s">
        <v>141</v>
      </c>
    </row>
    <row r="3" spans="1:10" x14ac:dyDescent="0.3">
      <c r="A3" s="19">
        <v>1</v>
      </c>
      <c r="B3" s="20">
        <v>46031</v>
      </c>
      <c r="C3" s="25" t="s">
        <v>225</v>
      </c>
      <c r="D3" s="25" t="s">
        <v>144</v>
      </c>
      <c r="E3" s="25">
        <v>1200</v>
      </c>
      <c r="F3" s="25" t="s">
        <v>62</v>
      </c>
      <c r="G3" s="25">
        <v>6.5</v>
      </c>
      <c r="H3" s="25">
        <v>7800</v>
      </c>
      <c r="I3" s="25" t="s">
        <v>178</v>
      </c>
      <c r="J3" s="25" t="s">
        <v>145</v>
      </c>
    </row>
    <row r="4" spans="1:10" x14ac:dyDescent="0.3">
      <c r="A4" s="13"/>
      <c r="B4" s="18"/>
      <c r="C4" s="3"/>
      <c r="D4" s="3"/>
      <c r="E4" s="3"/>
      <c r="F4" s="3"/>
      <c r="G4" s="3"/>
      <c r="H4" s="3"/>
      <c r="I4" s="3"/>
      <c r="J4" s="3"/>
    </row>
    <row r="5" spans="1:10" x14ac:dyDescent="0.3">
      <c r="A5" s="13"/>
      <c r="B5" s="18"/>
      <c r="C5" s="13"/>
      <c r="D5" s="13"/>
      <c r="E5" s="13"/>
      <c r="F5" s="13"/>
      <c r="G5" s="13"/>
      <c r="H5" s="13"/>
      <c r="I5" s="13"/>
      <c r="J5" s="13"/>
    </row>
    <row r="6" spans="1:10" x14ac:dyDescent="0.3">
      <c r="A6" s="13"/>
      <c r="B6" s="18"/>
      <c r="C6" s="13"/>
      <c r="D6" s="13"/>
      <c r="E6" s="13"/>
      <c r="F6" s="13"/>
      <c r="G6" s="13"/>
      <c r="H6" s="13"/>
      <c r="I6" s="13"/>
      <c r="J6" s="13"/>
    </row>
    <row r="7" spans="1:10" x14ac:dyDescent="0.3">
      <c r="A7" s="13"/>
      <c r="B7" s="5"/>
      <c r="C7" s="3"/>
      <c r="D7" s="3"/>
      <c r="E7" s="3"/>
      <c r="F7" s="3"/>
      <c r="G7" s="3"/>
      <c r="H7" s="3"/>
      <c r="I7" s="3"/>
      <c r="J7" s="4"/>
    </row>
    <row r="8" spans="1:10" x14ac:dyDescent="0.3">
      <c r="A8" s="13"/>
      <c r="B8" s="5"/>
      <c r="C8" s="3"/>
      <c r="D8" s="3"/>
      <c r="E8" s="3"/>
      <c r="F8" s="3"/>
      <c r="G8" s="3"/>
      <c r="H8" s="3"/>
      <c r="I8" s="3"/>
      <c r="J8" s="4"/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topLeftCell="B1" workbookViewId="0">
      <selection activeCell="H14" sqref="H14:H15"/>
    </sheetView>
  </sheetViews>
  <sheetFormatPr defaultRowHeight="14.4" x14ac:dyDescent="0.3"/>
  <cols>
    <col min="2" max="2" width="10.33203125" bestFit="1" customWidth="1"/>
    <col min="3" max="3" width="13.109375" bestFit="1" customWidth="1"/>
    <col min="4" max="4" width="27.33203125" bestFit="1" customWidth="1"/>
    <col min="5" max="5" width="21.6640625" bestFit="1" customWidth="1"/>
    <col min="6" max="6" width="17.33203125" bestFit="1" customWidth="1"/>
    <col min="7" max="11" width="17.33203125" customWidth="1"/>
    <col min="12" max="12" width="10" bestFit="1" customWidth="1"/>
    <col min="13" max="13" width="11.5546875" bestFit="1" customWidth="1"/>
  </cols>
  <sheetData>
    <row r="1" spans="1:13" ht="25.8" thickBot="1" x14ac:dyDescent="0.65">
      <c r="A1" s="101" t="s">
        <v>179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3"/>
    </row>
    <row r="2" spans="1:13" ht="15" thickBot="1" x14ac:dyDescent="0.35">
      <c r="A2" s="26" t="s">
        <v>138</v>
      </c>
      <c r="B2" s="27" t="s">
        <v>139</v>
      </c>
      <c r="C2" s="27" t="s">
        <v>189</v>
      </c>
      <c r="D2" s="28" t="s">
        <v>143</v>
      </c>
      <c r="E2" s="27" t="s">
        <v>176</v>
      </c>
      <c r="F2" s="27" t="s">
        <v>44</v>
      </c>
      <c r="G2" s="27" t="s">
        <v>43</v>
      </c>
      <c r="H2" s="27" t="s">
        <v>183</v>
      </c>
      <c r="I2" s="27" t="s">
        <v>42</v>
      </c>
      <c r="J2" s="27" t="s">
        <v>184</v>
      </c>
      <c r="K2" s="27" t="s">
        <v>185</v>
      </c>
      <c r="L2" s="27" t="s">
        <v>177</v>
      </c>
      <c r="M2" s="29" t="s">
        <v>141</v>
      </c>
    </row>
    <row r="3" spans="1:13" x14ac:dyDescent="0.3">
      <c r="A3" s="104">
        <v>1</v>
      </c>
      <c r="B3" s="105">
        <v>46042</v>
      </c>
      <c r="C3" s="31" t="s">
        <v>191</v>
      </c>
      <c r="D3" s="104" t="s">
        <v>180</v>
      </c>
      <c r="E3" s="25" t="s">
        <v>182</v>
      </c>
      <c r="F3" s="25">
        <v>12880</v>
      </c>
      <c r="G3" s="25" t="s">
        <v>61</v>
      </c>
      <c r="H3" s="30">
        <v>44500</v>
      </c>
      <c r="I3" s="30">
        <f>H3*12.88</f>
        <v>573160</v>
      </c>
      <c r="J3" s="30">
        <f>+I3*18%</f>
        <v>103168.8</v>
      </c>
      <c r="K3" s="30">
        <f>I3+J3</f>
        <v>676328.8</v>
      </c>
      <c r="L3" s="104" t="s">
        <v>224</v>
      </c>
      <c r="M3" s="104" t="s">
        <v>186</v>
      </c>
    </row>
    <row r="4" spans="1:13" x14ac:dyDescent="0.3">
      <c r="A4" s="70"/>
      <c r="B4" s="69"/>
      <c r="C4" s="31" t="s">
        <v>191</v>
      </c>
      <c r="D4" s="70"/>
      <c r="E4" s="3" t="s">
        <v>187</v>
      </c>
      <c r="F4" s="3">
        <v>10830</v>
      </c>
      <c r="G4" s="3" t="s">
        <v>61</v>
      </c>
      <c r="H4" s="11">
        <v>43500</v>
      </c>
      <c r="I4" s="11">
        <f>H4*10.83</f>
        <v>471105</v>
      </c>
      <c r="J4" s="30">
        <f>+I4*18%</f>
        <v>84798.9</v>
      </c>
      <c r="K4" s="30">
        <f>I4+J4</f>
        <v>555903.9</v>
      </c>
      <c r="L4" s="70"/>
      <c r="M4" s="70"/>
    </row>
    <row r="5" spans="1:13" x14ac:dyDescent="0.3">
      <c r="A5" s="68"/>
      <c r="B5" s="66"/>
      <c r="C5" s="31" t="s">
        <v>190</v>
      </c>
      <c r="D5" s="68"/>
      <c r="E5" s="3" t="s">
        <v>188</v>
      </c>
      <c r="F5" s="13">
        <v>17860</v>
      </c>
      <c r="G5" s="13" t="s">
        <v>61</v>
      </c>
      <c r="H5" s="15">
        <v>43500</v>
      </c>
      <c r="I5" s="15">
        <f>H5*17.86</f>
        <v>776910</v>
      </c>
      <c r="J5" s="30">
        <f>+I5*18%</f>
        <v>139843.79999999999</v>
      </c>
      <c r="K5" s="30">
        <f>I5+J5</f>
        <v>916753.8</v>
      </c>
      <c r="L5" s="68"/>
      <c r="M5" s="68"/>
    </row>
    <row r="6" spans="1:13" x14ac:dyDescent="0.3">
      <c r="A6" s="13"/>
      <c r="B6" s="18"/>
      <c r="C6" s="18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x14ac:dyDescent="0.3">
      <c r="A7" s="13"/>
      <c r="B7" s="5"/>
      <c r="C7" s="5"/>
      <c r="D7" s="3"/>
      <c r="E7" s="3"/>
      <c r="F7" s="3"/>
      <c r="G7" s="3"/>
      <c r="H7" s="3"/>
      <c r="I7" s="3"/>
      <c r="J7" s="3"/>
      <c r="K7" s="3"/>
      <c r="L7" s="3"/>
      <c r="M7" s="4"/>
    </row>
    <row r="8" spans="1:13" x14ac:dyDescent="0.3">
      <c r="A8" s="13"/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4"/>
    </row>
  </sheetData>
  <mergeCells count="6">
    <mergeCell ref="A1:M1"/>
    <mergeCell ref="M3:M5"/>
    <mergeCell ref="D3:D5"/>
    <mergeCell ref="B3:B5"/>
    <mergeCell ref="A3:A5"/>
    <mergeCell ref="L3:L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6C18-ED2D-413E-B162-EA59CACC128D}">
  <dimension ref="A2:H113"/>
  <sheetViews>
    <sheetView workbookViewId="0">
      <pane ySplit="3" topLeftCell="A10" activePane="bottomLeft" state="frozen"/>
      <selection pane="bottomLeft" activeCell="Q28" sqref="Q28"/>
    </sheetView>
  </sheetViews>
  <sheetFormatPr defaultRowHeight="14.4" x14ac:dyDescent="0.3"/>
  <cols>
    <col min="2" max="2" width="10.33203125" bestFit="1" customWidth="1"/>
    <col min="5" max="5" width="11.44140625" bestFit="1" customWidth="1"/>
    <col min="7" max="8" width="8.88671875" style="33"/>
  </cols>
  <sheetData>
    <row r="2" spans="1:8" x14ac:dyDescent="0.3">
      <c r="A2" s="106" t="s">
        <v>301</v>
      </c>
      <c r="B2" s="106"/>
      <c r="C2" s="106"/>
      <c r="D2" s="106"/>
      <c r="E2" s="106"/>
      <c r="F2" s="106"/>
      <c r="G2" s="46">
        <f>SUM(G4:G113)</f>
        <v>42.430000000000007</v>
      </c>
      <c r="H2" s="46">
        <f>SUM(H4:H113)</f>
        <v>43.4</v>
      </c>
    </row>
    <row r="3" spans="1:8" x14ac:dyDescent="0.3">
      <c r="A3" s="36" t="s">
        <v>48</v>
      </c>
      <c r="B3" s="36" t="s">
        <v>318</v>
      </c>
      <c r="C3" s="36" t="s">
        <v>319</v>
      </c>
      <c r="D3" s="36" t="s">
        <v>320</v>
      </c>
      <c r="E3" s="36" t="s">
        <v>321</v>
      </c>
      <c r="F3" s="36" t="s">
        <v>322</v>
      </c>
      <c r="G3" s="36" t="s">
        <v>323</v>
      </c>
      <c r="H3" s="36" t="s">
        <v>324</v>
      </c>
    </row>
    <row r="4" spans="1:8" x14ac:dyDescent="0.3">
      <c r="A4" s="3">
        <v>1</v>
      </c>
      <c r="B4" s="5">
        <v>46053</v>
      </c>
      <c r="C4" s="4"/>
      <c r="D4" s="4"/>
      <c r="E4" s="4"/>
      <c r="F4" s="4"/>
      <c r="G4" s="3">
        <v>0.5</v>
      </c>
      <c r="H4" s="3"/>
    </row>
    <row r="5" spans="1:8" x14ac:dyDescent="0.3">
      <c r="A5" s="3">
        <v>2</v>
      </c>
      <c r="B5" s="5">
        <v>46057</v>
      </c>
      <c r="C5" s="4"/>
      <c r="D5" s="4"/>
      <c r="E5" s="4"/>
      <c r="F5" s="4"/>
      <c r="G5" s="3"/>
      <c r="H5" s="3">
        <v>2</v>
      </c>
    </row>
    <row r="6" spans="1:8" x14ac:dyDescent="0.3">
      <c r="A6" s="3">
        <v>3</v>
      </c>
      <c r="B6" s="5">
        <v>46060</v>
      </c>
      <c r="C6" s="4"/>
      <c r="D6" s="4"/>
      <c r="E6" s="4"/>
      <c r="F6" s="4"/>
      <c r="G6" s="3"/>
      <c r="H6" s="3">
        <v>1.3</v>
      </c>
    </row>
    <row r="7" spans="1:8" x14ac:dyDescent="0.3">
      <c r="A7" s="3">
        <v>4</v>
      </c>
      <c r="B7" s="5">
        <v>46062</v>
      </c>
      <c r="C7" s="4"/>
      <c r="D7" s="4"/>
      <c r="E7" s="4"/>
      <c r="F7" s="4"/>
      <c r="G7" s="3">
        <v>0.8</v>
      </c>
      <c r="H7" s="3"/>
    </row>
    <row r="8" spans="1:8" x14ac:dyDescent="0.3">
      <c r="A8" s="3">
        <v>5</v>
      </c>
      <c r="B8" s="5">
        <v>46065</v>
      </c>
      <c r="C8" s="4"/>
      <c r="D8" s="4"/>
      <c r="E8" s="4"/>
      <c r="F8" s="4"/>
      <c r="G8" s="3"/>
      <c r="H8" s="3">
        <v>2.5</v>
      </c>
    </row>
    <row r="9" spans="1:8" x14ac:dyDescent="0.3">
      <c r="A9" s="3">
        <v>6</v>
      </c>
      <c r="B9" s="5">
        <v>46067</v>
      </c>
      <c r="C9" s="4"/>
      <c r="D9" s="4"/>
      <c r="E9" s="4"/>
      <c r="F9" s="4"/>
      <c r="G9" s="3"/>
      <c r="H9" s="3">
        <v>1.5</v>
      </c>
    </row>
    <row r="10" spans="1:8" x14ac:dyDescent="0.3">
      <c r="A10" s="3">
        <v>7</v>
      </c>
      <c r="B10" s="5">
        <v>46072</v>
      </c>
      <c r="C10" s="4"/>
      <c r="D10" s="4"/>
      <c r="E10" s="4"/>
      <c r="F10" s="4"/>
      <c r="G10" s="3">
        <v>0.8</v>
      </c>
      <c r="H10" s="3"/>
    </row>
    <row r="11" spans="1:8" x14ac:dyDescent="0.3">
      <c r="A11" s="3">
        <v>8</v>
      </c>
      <c r="B11" s="5">
        <v>46079</v>
      </c>
      <c r="C11" s="4"/>
      <c r="D11" s="4"/>
      <c r="E11" s="4"/>
      <c r="F11" s="4"/>
      <c r="G11" s="3">
        <v>1.4</v>
      </c>
      <c r="H11" s="3"/>
    </row>
    <row r="12" spans="1:8" x14ac:dyDescent="0.3">
      <c r="A12" s="3">
        <v>9</v>
      </c>
      <c r="B12" s="5">
        <v>46081</v>
      </c>
      <c r="C12" s="4"/>
      <c r="D12" s="4"/>
      <c r="E12" s="4"/>
      <c r="F12" s="4"/>
      <c r="G12" s="3"/>
      <c r="H12" s="3">
        <v>4</v>
      </c>
    </row>
    <row r="13" spans="1:8" x14ac:dyDescent="0.3">
      <c r="A13" s="3">
        <v>10</v>
      </c>
      <c r="B13" s="5">
        <v>46082</v>
      </c>
      <c r="C13" s="4"/>
      <c r="D13" s="4"/>
      <c r="E13" s="4"/>
      <c r="F13" s="4"/>
      <c r="G13" s="3">
        <v>5</v>
      </c>
      <c r="H13" s="3"/>
    </row>
    <row r="14" spans="1:8" x14ac:dyDescent="0.3">
      <c r="A14" s="3">
        <v>11</v>
      </c>
      <c r="B14" s="5">
        <v>46083</v>
      </c>
      <c r="C14" s="4"/>
      <c r="D14" s="4"/>
      <c r="E14" s="4"/>
      <c r="F14" s="4"/>
      <c r="G14" s="3">
        <v>6.5</v>
      </c>
      <c r="H14" s="3"/>
    </row>
    <row r="15" spans="1:8" x14ac:dyDescent="0.3">
      <c r="A15" s="3">
        <v>12</v>
      </c>
      <c r="B15" s="5">
        <v>46084</v>
      </c>
      <c r="C15" s="4"/>
      <c r="D15" s="4"/>
      <c r="E15" s="4"/>
      <c r="F15" s="4"/>
      <c r="G15" s="3">
        <v>5</v>
      </c>
      <c r="H15" s="3"/>
    </row>
    <row r="16" spans="1:8" x14ac:dyDescent="0.3">
      <c r="A16" s="3">
        <v>13</v>
      </c>
      <c r="B16" s="5">
        <v>46088</v>
      </c>
      <c r="C16" s="4"/>
      <c r="D16" s="4"/>
      <c r="E16" s="4"/>
      <c r="F16" s="4"/>
      <c r="G16" s="3">
        <v>3.25</v>
      </c>
      <c r="H16" s="3"/>
    </row>
    <row r="17" spans="1:8" x14ac:dyDescent="0.3">
      <c r="A17" s="3">
        <v>14</v>
      </c>
      <c r="B17" s="5">
        <v>46089</v>
      </c>
      <c r="C17" s="4"/>
      <c r="D17" s="4"/>
      <c r="E17" s="4"/>
      <c r="F17" s="4"/>
      <c r="G17" s="3">
        <v>6.52</v>
      </c>
      <c r="H17" s="3"/>
    </row>
    <row r="18" spans="1:8" x14ac:dyDescent="0.3">
      <c r="A18" s="3">
        <v>15</v>
      </c>
      <c r="B18" s="5">
        <v>46090</v>
      </c>
      <c r="C18" s="4"/>
      <c r="D18" s="4"/>
      <c r="E18" s="4"/>
      <c r="F18" s="4"/>
      <c r="G18" s="3">
        <v>3.66</v>
      </c>
      <c r="H18" s="3"/>
    </row>
    <row r="19" spans="1:8" x14ac:dyDescent="0.3">
      <c r="A19" s="3">
        <v>16</v>
      </c>
      <c r="B19" s="5">
        <v>46091</v>
      </c>
      <c r="C19" s="4"/>
      <c r="D19" s="4"/>
      <c r="E19" s="4"/>
      <c r="F19" s="4"/>
      <c r="G19" s="3"/>
      <c r="H19" s="3">
        <v>1.4</v>
      </c>
    </row>
    <row r="20" spans="1:8" x14ac:dyDescent="0.3">
      <c r="A20" s="3">
        <v>18</v>
      </c>
      <c r="B20" s="5">
        <v>46093</v>
      </c>
      <c r="C20" s="4"/>
      <c r="D20" s="4"/>
      <c r="E20" s="4"/>
      <c r="F20" s="4"/>
      <c r="G20" s="3"/>
      <c r="H20" s="3">
        <v>1.5</v>
      </c>
    </row>
    <row r="21" spans="1:8" x14ac:dyDescent="0.3">
      <c r="A21" s="3">
        <v>22</v>
      </c>
      <c r="B21" s="5">
        <v>46097</v>
      </c>
      <c r="C21" s="4"/>
      <c r="D21" s="4"/>
      <c r="E21" s="4"/>
      <c r="F21" s="4"/>
      <c r="G21" s="3"/>
      <c r="H21" s="3">
        <v>2.2000000000000002</v>
      </c>
    </row>
    <row r="22" spans="1:8" x14ac:dyDescent="0.3">
      <c r="A22" s="3">
        <v>26</v>
      </c>
      <c r="B22" s="5">
        <v>46101</v>
      </c>
      <c r="C22" s="4"/>
      <c r="D22" s="4"/>
      <c r="E22" s="4"/>
      <c r="F22" s="4"/>
      <c r="G22" s="3">
        <v>3.2</v>
      </c>
      <c r="H22" s="3"/>
    </row>
    <row r="23" spans="1:8" x14ac:dyDescent="0.3">
      <c r="A23" s="3">
        <v>27</v>
      </c>
      <c r="B23" s="5">
        <v>46102</v>
      </c>
      <c r="C23" s="4"/>
      <c r="D23" s="4"/>
      <c r="E23" s="4"/>
      <c r="F23" s="4"/>
      <c r="G23" s="3"/>
      <c r="H23" s="3"/>
    </row>
    <row r="24" spans="1:8" x14ac:dyDescent="0.3">
      <c r="A24" s="3">
        <v>28</v>
      </c>
      <c r="B24" s="5">
        <v>46103</v>
      </c>
      <c r="C24" s="4"/>
      <c r="D24" s="4"/>
      <c r="E24" s="4"/>
      <c r="F24" s="4"/>
      <c r="G24" s="3"/>
      <c r="H24" s="3"/>
    </row>
    <row r="25" spans="1:8" x14ac:dyDescent="0.3">
      <c r="A25" s="3">
        <v>29</v>
      </c>
      <c r="B25" s="5">
        <v>46104</v>
      </c>
      <c r="C25" s="4"/>
      <c r="D25" s="4"/>
      <c r="E25" s="4"/>
      <c r="F25" s="4"/>
      <c r="G25" s="3">
        <v>1.2</v>
      </c>
      <c r="H25" s="3"/>
    </row>
    <row r="26" spans="1:8" x14ac:dyDescent="0.3">
      <c r="A26" s="3">
        <v>30</v>
      </c>
      <c r="B26" s="5">
        <v>46105</v>
      </c>
      <c r="C26" s="4"/>
      <c r="D26" s="4"/>
      <c r="E26" s="4"/>
      <c r="F26" s="4"/>
      <c r="G26" s="3"/>
      <c r="H26" s="3"/>
    </row>
    <row r="27" spans="1:8" x14ac:dyDescent="0.3">
      <c r="A27" s="3">
        <v>31</v>
      </c>
      <c r="B27" s="5">
        <v>46106</v>
      </c>
      <c r="C27" s="4"/>
      <c r="D27" s="4"/>
      <c r="E27" s="4"/>
      <c r="F27" s="4"/>
      <c r="G27" s="3"/>
      <c r="H27" s="3"/>
    </row>
    <row r="28" spans="1:8" x14ac:dyDescent="0.3">
      <c r="A28" s="3">
        <v>32</v>
      </c>
      <c r="B28" s="5">
        <v>46107</v>
      </c>
      <c r="C28" s="4"/>
      <c r="D28" s="4"/>
      <c r="E28" s="4"/>
      <c r="F28" s="4"/>
      <c r="G28" s="3"/>
      <c r="H28" s="3"/>
    </row>
    <row r="29" spans="1:8" x14ac:dyDescent="0.3">
      <c r="A29" s="3">
        <v>33</v>
      </c>
      <c r="B29" s="5">
        <v>46108</v>
      </c>
      <c r="C29" s="4"/>
      <c r="D29" s="4"/>
      <c r="E29" s="4"/>
      <c r="F29" s="4"/>
      <c r="G29" s="3"/>
      <c r="H29" s="3"/>
    </row>
    <row r="30" spans="1:8" x14ac:dyDescent="0.3">
      <c r="A30" s="3">
        <v>34</v>
      </c>
      <c r="B30" s="5">
        <v>46109</v>
      </c>
      <c r="C30" s="4"/>
      <c r="D30" s="4"/>
      <c r="E30" s="4"/>
      <c r="F30" s="4"/>
      <c r="G30" s="3"/>
      <c r="H30" s="3"/>
    </row>
    <row r="31" spans="1:8" x14ac:dyDescent="0.3">
      <c r="A31" s="3">
        <v>35</v>
      </c>
      <c r="B31" s="5">
        <v>46110</v>
      </c>
      <c r="C31" s="4"/>
      <c r="D31" s="4"/>
      <c r="E31" s="4"/>
      <c r="F31" s="4"/>
      <c r="G31" s="3"/>
      <c r="H31" s="3"/>
    </row>
    <row r="32" spans="1:8" x14ac:dyDescent="0.3">
      <c r="A32" s="3">
        <v>36</v>
      </c>
      <c r="B32" s="5">
        <v>46111</v>
      </c>
      <c r="C32" s="4"/>
      <c r="D32" s="4"/>
      <c r="E32" s="4"/>
      <c r="F32" s="4"/>
      <c r="G32" s="3"/>
      <c r="H32" s="3"/>
    </row>
    <row r="33" spans="1:8" x14ac:dyDescent="0.3">
      <c r="A33" s="3">
        <v>37</v>
      </c>
      <c r="B33" s="5">
        <v>46112</v>
      </c>
      <c r="C33" s="4"/>
      <c r="D33" s="4"/>
      <c r="E33" s="4"/>
      <c r="F33" s="4"/>
      <c r="G33" s="3"/>
      <c r="H33" s="3"/>
    </row>
    <row r="34" spans="1:8" x14ac:dyDescent="0.3">
      <c r="A34" s="3">
        <v>38</v>
      </c>
      <c r="B34" s="5">
        <v>46113</v>
      </c>
      <c r="C34" s="4"/>
      <c r="D34" s="4"/>
      <c r="E34" s="4"/>
      <c r="F34" s="4"/>
      <c r="G34" s="3"/>
      <c r="H34" s="3"/>
    </row>
    <row r="35" spans="1:8" x14ac:dyDescent="0.3">
      <c r="A35" s="3">
        <v>39</v>
      </c>
      <c r="B35" s="5">
        <v>46114</v>
      </c>
      <c r="C35" s="4"/>
      <c r="D35" s="4"/>
      <c r="E35" s="4"/>
      <c r="F35" s="4"/>
      <c r="G35" s="3"/>
      <c r="H35" s="3"/>
    </row>
    <row r="36" spans="1:8" x14ac:dyDescent="0.3">
      <c r="A36" s="3">
        <v>40</v>
      </c>
      <c r="B36" s="5">
        <v>46115</v>
      </c>
      <c r="C36" s="4"/>
      <c r="D36" s="4"/>
      <c r="E36" s="4"/>
      <c r="F36" s="4"/>
      <c r="G36" s="3"/>
      <c r="H36" s="3"/>
    </row>
    <row r="37" spans="1:8" x14ac:dyDescent="0.3">
      <c r="A37" s="3">
        <v>41</v>
      </c>
      <c r="B37" s="5">
        <v>46116</v>
      </c>
      <c r="C37" s="4"/>
      <c r="D37" s="4"/>
      <c r="E37" s="4"/>
      <c r="F37" s="4"/>
      <c r="G37" s="3"/>
      <c r="H37" s="3">
        <v>4.4000000000000004</v>
      </c>
    </row>
    <row r="38" spans="1:8" x14ac:dyDescent="0.3">
      <c r="A38" s="3">
        <v>42</v>
      </c>
      <c r="B38" s="5">
        <v>46117</v>
      </c>
      <c r="C38" s="4"/>
      <c r="D38" s="4"/>
      <c r="E38" s="4"/>
      <c r="F38" s="4"/>
      <c r="G38" s="3"/>
      <c r="H38" s="3"/>
    </row>
    <row r="39" spans="1:8" x14ac:dyDescent="0.3">
      <c r="A39" s="3">
        <v>43</v>
      </c>
      <c r="B39" s="5">
        <v>46118</v>
      </c>
      <c r="C39" s="4"/>
      <c r="D39" s="4"/>
      <c r="E39" s="4"/>
      <c r="F39" s="4"/>
      <c r="G39" s="3"/>
      <c r="H39" s="3"/>
    </row>
    <row r="40" spans="1:8" x14ac:dyDescent="0.3">
      <c r="A40" s="3">
        <v>44</v>
      </c>
      <c r="B40" s="5">
        <v>46119</v>
      </c>
      <c r="C40" s="4"/>
      <c r="D40" s="4"/>
      <c r="E40" s="4"/>
      <c r="F40" s="4"/>
      <c r="G40" s="3"/>
      <c r="H40" s="3"/>
    </row>
    <row r="41" spans="1:8" x14ac:dyDescent="0.3">
      <c r="A41" s="3">
        <v>45</v>
      </c>
      <c r="B41" s="5">
        <v>46120</v>
      </c>
      <c r="C41" s="4"/>
      <c r="D41" s="4"/>
      <c r="E41" s="4"/>
      <c r="F41" s="4"/>
      <c r="G41" s="3"/>
      <c r="H41" s="3">
        <v>1.8</v>
      </c>
    </row>
    <row r="42" spans="1:8" x14ac:dyDescent="0.3">
      <c r="A42" s="3">
        <v>46</v>
      </c>
      <c r="B42" s="5">
        <v>46121</v>
      </c>
      <c r="C42" s="4"/>
      <c r="D42" s="4"/>
      <c r="E42" s="4"/>
      <c r="F42" s="4"/>
      <c r="G42" s="3"/>
      <c r="H42" s="3"/>
    </row>
    <row r="43" spans="1:8" x14ac:dyDescent="0.3">
      <c r="A43" s="3">
        <v>47</v>
      </c>
      <c r="B43" s="5">
        <v>46122</v>
      </c>
      <c r="C43" s="4"/>
      <c r="D43" s="4"/>
      <c r="E43" s="4"/>
      <c r="F43" s="4"/>
      <c r="G43" s="3"/>
      <c r="H43" s="3"/>
    </row>
    <row r="44" spans="1:8" x14ac:dyDescent="0.3">
      <c r="A44" s="3">
        <v>48</v>
      </c>
      <c r="B44" s="5">
        <v>46123</v>
      </c>
      <c r="C44" s="4"/>
      <c r="D44" s="4"/>
      <c r="E44" s="4"/>
      <c r="F44" s="4"/>
      <c r="G44" s="3"/>
      <c r="H44" s="3"/>
    </row>
    <row r="45" spans="1:8" x14ac:dyDescent="0.3">
      <c r="A45" s="3">
        <v>49</v>
      </c>
      <c r="B45" s="5">
        <v>46124</v>
      </c>
      <c r="C45" s="4"/>
      <c r="D45" s="4"/>
      <c r="E45" s="4"/>
      <c r="F45" s="4"/>
      <c r="G45" s="3"/>
      <c r="H45" s="3"/>
    </row>
    <row r="46" spans="1:8" x14ac:dyDescent="0.3">
      <c r="A46" s="3">
        <v>50</v>
      </c>
      <c r="B46" s="5">
        <v>46125</v>
      </c>
      <c r="C46" s="4"/>
      <c r="D46" s="4"/>
      <c r="E46" s="4"/>
      <c r="F46" s="4"/>
      <c r="G46" s="3"/>
      <c r="H46" s="3"/>
    </row>
    <row r="47" spans="1:8" x14ac:dyDescent="0.3">
      <c r="A47" s="3">
        <v>51</v>
      </c>
      <c r="B47" s="5">
        <v>46126</v>
      </c>
      <c r="C47" s="4"/>
      <c r="D47" s="4"/>
      <c r="E47" s="4"/>
      <c r="F47" s="4"/>
      <c r="G47" s="3">
        <v>1</v>
      </c>
      <c r="H47" s="3"/>
    </row>
    <row r="48" spans="1:8" x14ac:dyDescent="0.3">
      <c r="A48" s="3">
        <v>52</v>
      </c>
      <c r="B48" s="5">
        <v>46127</v>
      </c>
      <c r="C48" s="4"/>
      <c r="D48" s="4"/>
      <c r="E48" s="4"/>
      <c r="F48" s="4"/>
      <c r="G48" s="3"/>
      <c r="H48" s="3"/>
    </row>
    <row r="49" spans="1:8" x14ac:dyDescent="0.3">
      <c r="A49" s="3">
        <v>53</v>
      </c>
      <c r="B49" s="5">
        <v>46128</v>
      </c>
      <c r="C49" s="4"/>
      <c r="D49" s="4"/>
      <c r="E49" s="4"/>
      <c r="F49" s="4"/>
      <c r="G49" s="3"/>
      <c r="H49" s="3"/>
    </row>
    <row r="50" spans="1:8" x14ac:dyDescent="0.3">
      <c r="A50" s="3">
        <v>54</v>
      </c>
      <c r="B50" s="5">
        <v>46129</v>
      </c>
      <c r="C50" s="4"/>
      <c r="D50" s="4"/>
      <c r="E50" s="4"/>
      <c r="F50" s="4"/>
      <c r="G50" s="3"/>
      <c r="H50" s="3"/>
    </row>
    <row r="51" spans="1:8" x14ac:dyDescent="0.3">
      <c r="A51" s="3">
        <v>55</v>
      </c>
      <c r="B51" s="5">
        <v>46130</v>
      </c>
      <c r="C51" s="4"/>
      <c r="D51" s="4"/>
      <c r="E51" s="4"/>
      <c r="F51" s="4"/>
      <c r="G51" s="3"/>
      <c r="H51" s="3"/>
    </row>
    <row r="52" spans="1:8" x14ac:dyDescent="0.3">
      <c r="A52" s="3">
        <v>56</v>
      </c>
      <c r="B52" s="5">
        <v>46131</v>
      </c>
      <c r="C52" s="4"/>
      <c r="D52" s="4"/>
      <c r="E52" s="4"/>
      <c r="F52" s="4"/>
      <c r="G52" s="3"/>
      <c r="H52" s="3"/>
    </row>
    <row r="53" spans="1:8" x14ac:dyDescent="0.3">
      <c r="A53" s="3">
        <v>57</v>
      </c>
      <c r="B53" s="5">
        <v>46132</v>
      </c>
      <c r="C53" s="4"/>
      <c r="D53" s="4"/>
      <c r="E53" s="4"/>
      <c r="F53" s="4"/>
      <c r="G53" s="3"/>
      <c r="H53" s="3"/>
    </row>
    <row r="54" spans="1:8" x14ac:dyDescent="0.3">
      <c r="A54" s="3">
        <v>58</v>
      </c>
      <c r="B54" s="5">
        <v>46133</v>
      </c>
      <c r="C54" s="4"/>
      <c r="D54" s="4"/>
      <c r="E54" s="4"/>
      <c r="F54" s="4"/>
      <c r="G54" s="3"/>
      <c r="H54" s="3"/>
    </row>
    <row r="55" spans="1:8" x14ac:dyDescent="0.3">
      <c r="A55" s="3">
        <v>59</v>
      </c>
      <c r="B55" s="5">
        <v>46134</v>
      </c>
      <c r="C55" s="4"/>
      <c r="D55" s="4"/>
      <c r="E55" s="4"/>
      <c r="F55" s="4"/>
      <c r="G55" s="3"/>
      <c r="H55" s="3">
        <v>2</v>
      </c>
    </row>
    <row r="56" spans="1:8" x14ac:dyDescent="0.3">
      <c r="A56" s="3">
        <v>60</v>
      </c>
      <c r="B56" s="5">
        <v>46135</v>
      </c>
      <c r="C56" s="4"/>
      <c r="D56" s="4"/>
      <c r="E56" s="4"/>
      <c r="F56" s="4"/>
      <c r="G56" s="3"/>
      <c r="H56" s="3">
        <v>2.5</v>
      </c>
    </row>
    <row r="57" spans="1:8" x14ac:dyDescent="0.3">
      <c r="A57" s="3">
        <v>61</v>
      </c>
      <c r="B57" s="5">
        <v>46136</v>
      </c>
      <c r="C57" s="4"/>
      <c r="D57" s="4"/>
      <c r="E57" s="4"/>
      <c r="F57" s="4"/>
      <c r="G57" s="3"/>
      <c r="H57" s="3">
        <v>1.5</v>
      </c>
    </row>
    <row r="58" spans="1:8" x14ac:dyDescent="0.3">
      <c r="A58" s="3">
        <v>62</v>
      </c>
      <c r="B58" s="5">
        <v>46137</v>
      </c>
      <c r="C58" s="4"/>
      <c r="D58" s="4"/>
      <c r="E58" s="4"/>
      <c r="F58" s="4"/>
      <c r="G58" s="3"/>
      <c r="H58" s="3"/>
    </row>
    <row r="59" spans="1:8" x14ac:dyDescent="0.3">
      <c r="A59" s="3">
        <v>63</v>
      </c>
      <c r="B59" s="5">
        <v>46138</v>
      </c>
      <c r="C59" s="4"/>
      <c r="D59" s="4"/>
      <c r="E59" s="4"/>
      <c r="F59" s="4"/>
      <c r="G59" s="3"/>
      <c r="H59" s="3"/>
    </row>
    <row r="60" spans="1:8" x14ac:dyDescent="0.3">
      <c r="A60" s="3">
        <v>64</v>
      </c>
      <c r="B60" s="5">
        <v>46139</v>
      </c>
      <c r="C60" s="4"/>
      <c r="D60" s="4"/>
      <c r="E60" s="4"/>
      <c r="F60" s="4"/>
      <c r="G60" s="3"/>
      <c r="H60" s="3"/>
    </row>
    <row r="61" spans="1:8" x14ac:dyDescent="0.3">
      <c r="A61" s="3">
        <v>65</v>
      </c>
      <c r="B61" s="5">
        <v>46140</v>
      </c>
      <c r="C61" s="4"/>
      <c r="D61" s="4"/>
      <c r="E61" s="4"/>
      <c r="F61" s="4"/>
      <c r="G61" s="3"/>
      <c r="H61" s="3"/>
    </row>
    <row r="62" spans="1:8" x14ac:dyDescent="0.3">
      <c r="A62" s="3">
        <v>66</v>
      </c>
      <c r="B62" s="5">
        <v>46141</v>
      </c>
      <c r="C62" s="4"/>
      <c r="D62" s="4"/>
      <c r="E62" s="4"/>
      <c r="F62" s="4"/>
      <c r="G62" s="3"/>
      <c r="H62" s="3"/>
    </row>
    <row r="63" spans="1:8" x14ac:dyDescent="0.3">
      <c r="A63" s="3">
        <v>67</v>
      </c>
      <c r="B63" s="5">
        <v>46142</v>
      </c>
      <c r="C63" s="4"/>
      <c r="D63" s="4"/>
      <c r="E63" s="4"/>
      <c r="F63" s="4"/>
      <c r="G63" s="3"/>
      <c r="H63" s="3"/>
    </row>
    <row r="64" spans="1:8" x14ac:dyDescent="0.3">
      <c r="A64" s="3">
        <v>68</v>
      </c>
      <c r="B64" s="5">
        <v>46143</v>
      </c>
      <c r="C64" s="4"/>
      <c r="D64" s="4"/>
      <c r="E64" s="4"/>
      <c r="F64" s="4"/>
      <c r="G64" s="3"/>
      <c r="H64" s="3"/>
    </row>
    <row r="65" spans="1:8" x14ac:dyDescent="0.3">
      <c r="A65" s="3">
        <v>69</v>
      </c>
      <c r="B65" s="5">
        <v>46144</v>
      </c>
      <c r="C65" s="4"/>
      <c r="D65" s="4"/>
      <c r="E65" s="4"/>
      <c r="F65" s="4"/>
      <c r="G65" s="3"/>
      <c r="H65" s="3"/>
    </row>
    <row r="66" spans="1:8" x14ac:dyDescent="0.3">
      <c r="A66" s="3">
        <v>70</v>
      </c>
      <c r="B66" s="5">
        <v>46145</v>
      </c>
      <c r="C66" s="4"/>
      <c r="D66" s="4"/>
      <c r="E66" s="4"/>
      <c r="F66" s="4"/>
      <c r="G66" s="3"/>
      <c r="H66" s="3"/>
    </row>
    <row r="67" spans="1:8" x14ac:dyDescent="0.3">
      <c r="A67" s="3">
        <v>71</v>
      </c>
      <c r="B67" s="5">
        <v>46146</v>
      </c>
      <c r="C67" s="4"/>
      <c r="D67" s="4"/>
      <c r="E67" s="4"/>
      <c r="F67" s="4"/>
      <c r="G67" s="3"/>
      <c r="H67" s="3"/>
    </row>
    <row r="68" spans="1:8" x14ac:dyDescent="0.3">
      <c r="A68" s="3">
        <v>72</v>
      </c>
      <c r="B68" s="5">
        <v>46147</v>
      </c>
      <c r="C68" s="4"/>
      <c r="D68" s="4"/>
      <c r="E68" s="4"/>
      <c r="F68" s="4"/>
      <c r="G68" s="3"/>
      <c r="H68" s="3"/>
    </row>
    <row r="69" spans="1:8" x14ac:dyDescent="0.3">
      <c r="A69" s="3">
        <v>73</v>
      </c>
      <c r="B69" s="5">
        <v>46148</v>
      </c>
      <c r="C69" s="4"/>
      <c r="D69" s="4"/>
      <c r="E69" s="4"/>
      <c r="F69" s="4"/>
      <c r="G69" s="3"/>
      <c r="H69" s="3"/>
    </row>
    <row r="70" spans="1:8" x14ac:dyDescent="0.3">
      <c r="A70" s="3">
        <v>74</v>
      </c>
      <c r="B70" s="5">
        <v>46149</v>
      </c>
      <c r="C70" s="4"/>
      <c r="D70" s="4"/>
      <c r="E70" s="4"/>
      <c r="F70" s="4"/>
      <c r="G70" s="3"/>
      <c r="H70" s="3"/>
    </row>
    <row r="71" spans="1:8" x14ac:dyDescent="0.3">
      <c r="A71" s="3">
        <v>75</v>
      </c>
      <c r="B71" s="5">
        <v>46150</v>
      </c>
      <c r="C71" s="4"/>
      <c r="D71" s="4"/>
      <c r="E71" s="4"/>
      <c r="F71" s="4"/>
      <c r="G71" s="3">
        <v>2.5</v>
      </c>
      <c r="H71" s="3"/>
    </row>
    <row r="72" spans="1:8" x14ac:dyDescent="0.3">
      <c r="A72" s="3">
        <v>76</v>
      </c>
      <c r="B72" s="5">
        <v>46151</v>
      </c>
      <c r="C72" s="4"/>
      <c r="D72" s="4"/>
      <c r="E72" s="4"/>
      <c r="F72" s="4"/>
      <c r="G72" s="3"/>
      <c r="H72" s="3">
        <v>1</v>
      </c>
    </row>
    <row r="73" spans="1:8" x14ac:dyDescent="0.3">
      <c r="A73" s="3">
        <v>77</v>
      </c>
      <c r="B73" s="5">
        <v>46152</v>
      </c>
      <c r="C73" s="4"/>
      <c r="D73" s="4"/>
      <c r="E73" s="4"/>
      <c r="F73" s="4"/>
      <c r="G73" s="3"/>
      <c r="H73" s="3"/>
    </row>
    <row r="74" spans="1:8" x14ac:dyDescent="0.3">
      <c r="A74" s="3">
        <v>78</v>
      </c>
      <c r="B74" s="5">
        <v>46153</v>
      </c>
      <c r="C74" s="4"/>
      <c r="D74" s="4"/>
      <c r="E74" s="4"/>
      <c r="F74" s="4"/>
      <c r="G74" s="3">
        <v>0.7</v>
      </c>
      <c r="H74" s="3"/>
    </row>
    <row r="75" spans="1:8" x14ac:dyDescent="0.3">
      <c r="A75" s="3">
        <v>79</v>
      </c>
      <c r="B75" s="5">
        <v>46154</v>
      </c>
      <c r="C75" s="4"/>
      <c r="D75" s="4"/>
      <c r="E75" s="4"/>
      <c r="F75" s="4"/>
      <c r="G75" s="3"/>
      <c r="H75" s="3"/>
    </row>
    <row r="76" spans="1:8" x14ac:dyDescent="0.3">
      <c r="A76" s="3">
        <v>80</v>
      </c>
      <c r="B76" s="5">
        <v>46155</v>
      </c>
      <c r="C76" s="4"/>
      <c r="D76" s="4"/>
      <c r="E76" s="4"/>
      <c r="F76" s="4"/>
      <c r="G76" s="3"/>
      <c r="H76" s="3"/>
    </row>
    <row r="77" spans="1:8" x14ac:dyDescent="0.3">
      <c r="A77" s="3">
        <v>81</v>
      </c>
      <c r="B77" s="5">
        <v>46156</v>
      </c>
      <c r="C77" s="4"/>
      <c r="D77" s="4"/>
      <c r="E77" s="4"/>
      <c r="F77" s="4"/>
      <c r="G77" s="3"/>
      <c r="H77" s="3"/>
    </row>
    <row r="78" spans="1:8" x14ac:dyDescent="0.3">
      <c r="A78" s="3">
        <v>82</v>
      </c>
      <c r="B78" s="5">
        <v>46157</v>
      </c>
      <c r="C78" s="4"/>
      <c r="D78" s="4"/>
      <c r="E78" s="4"/>
      <c r="F78" s="4"/>
      <c r="G78" s="3"/>
      <c r="H78" s="3">
        <v>2.2999999999999998</v>
      </c>
    </row>
    <row r="79" spans="1:8" x14ac:dyDescent="0.3">
      <c r="A79" s="3">
        <v>83</v>
      </c>
      <c r="B79" s="5">
        <v>46158</v>
      </c>
      <c r="C79" s="4"/>
      <c r="D79" s="4"/>
      <c r="E79" s="4"/>
      <c r="F79" s="4"/>
      <c r="G79" s="3"/>
      <c r="H79" s="3"/>
    </row>
    <row r="80" spans="1:8" x14ac:dyDescent="0.3">
      <c r="A80" s="3">
        <v>84</v>
      </c>
      <c r="B80" s="5">
        <v>46159</v>
      </c>
      <c r="C80" s="4"/>
      <c r="D80" s="4"/>
      <c r="E80" s="4"/>
      <c r="F80" s="4"/>
      <c r="G80" s="3"/>
      <c r="H80" s="3"/>
    </row>
    <row r="81" spans="1:8" x14ac:dyDescent="0.3">
      <c r="A81" s="3">
        <v>85</v>
      </c>
      <c r="B81" s="5">
        <v>46160</v>
      </c>
      <c r="C81" s="4"/>
      <c r="D81" s="4"/>
      <c r="E81" s="4"/>
      <c r="F81" s="4"/>
      <c r="G81" s="3"/>
      <c r="H81" s="3"/>
    </row>
    <row r="82" spans="1:8" x14ac:dyDescent="0.3">
      <c r="A82" s="3">
        <v>86</v>
      </c>
      <c r="B82" s="5">
        <v>46161</v>
      </c>
      <c r="C82" s="4"/>
      <c r="D82" s="4"/>
      <c r="E82" s="4"/>
      <c r="F82" s="4"/>
      <c r="G82" s="3"/>
      <c r="H82" s="3">
        <v>2.8</v>
      </c>
    </row>
    <row r="83" spans="1:8" x14ac:dyDescent="0.3">
      <c r="A83" s="3">
        <v>87</v>
      </c>
      <c r="B83" s="5">
        <v>46162</v>
      </c>
      <c r="C83" s="4"/>
      <c r="D83" s="4"/>
      <c r="E83" s="4"/>
      <c r="F83" s="4"/>
      <c r="G83" s="3"/>
      <c r="H83" s="3">
        <v>1</v>
      </c>
    </row>
    <row r="84" spans="1:8" x14ac:dyDescent="0.3">
      <c r="A84" s="3">
        <v>88</v>
      </c>
      <c r="B84" s="5">
        <v>46163</v>
      </c>
      <c r="C84" s="4"/>
      <c r="D84" s="4"/>
      <c r="E84" s="4"/>
      <c r="F84" s="4"/>
      <c r="G84" s="3"/>
      <c r="H84" s="3"/>
    </row>
    <row r="85" spans="1:8" x14ac:dyDescent="0.3">
      <c r="A85" s="3">
        <v>89</v>
      </c>
      <c r="B85" s="5">
        <v>46164</v>
      </c>
      <c r="C85" s="4"/>
      <c r="D85" s="4"/>
      <c r="E85" s="4"/>
      <c r="F85" s="4"/>
      <c r="G85" s="3"/>
      <c r="H85" s="3"/>
    </row>
    <row r="86" spans="1:8" x14ac:dyDescent="0.3">
      <c r="A86" s="3">
        <v>90</v>
      </c>
      <c r="B86" s="5">
        <v>46165</v>
      </c>
      <c r="C86" s="4"/>
      <c r="D86" s="4"/>
      <c r="E86" s="4"/>
      <c r="F86" s="4"/>
      <c r="G86" s="3">
        <v>0.4</v>
      </c>
      <c r="H86" s="3"/>
    </row>
    <row r="87" spans="1:8" x14ac:dyDescent="0.3">
      <c r="A87" s="3">
        <v>91</v>
      </c>
      <c r="B87" s="5">
        <v>46166</v>
      </c>
      <c r="C87" s="4"/>
      <c r="D87" s="4"/>
      <c r="E87" s="4"/>
      <c r="F87" s="4"/>
      <c r="G87" s="3"/>
      <c r="H87" s="3"/>
    </row>
    <row r="88" spans="1:8" x14ac:dyDescent="0.3">
      <c r="A88" s="3">
        <v>92</v>
      </c>
      <c r="B88" s="5">
        <v>46167</v>
      </c>
      <c r="C88" s="4"/>
      <c r="D88" s="4"/>
      <c r="E88" s="4"/>
      <c r="F88" s="4"/>
      <c r="G88" s="3"/>
      <c r="H88" s="3">
        <v>1</v>
      </c>
    </row>
    <row r="89" spans="1:8" x14ac:dyDescent="0.3">
      <c r="A89" s="3">
        <v>93</v>
      </c>
      <c r="B89" s="5">
        <v>46168</v>
      </c>
      <c r="C89" s="4"/>
      <c r="D89" s="4"/>
      <c r="E89" s="4"/>
      <c r="F89" s="4"/>
      <c r="G89" s="3"/>
      <c r="H89" s="3">
        <v>1.5</v>
      </c>
    </row>
    <row r="90" spans="1:8" x14ac:dyDescent="0.3">
      <c r="A90" s="3">
        <v>94</v>
      </c>
      <c r="B90" s="5">
        <v>46169</v>
      </c>
      <c r="C90" s="4"/>
      <c r="D90" s="4"/>
      <c r="E90" s="4"/>
      <c r="F90" s="4"/>
      <c r="G90" s="3"/>
      <c r="H90" s="3"/>
    </row>
    <row r="91" spans="1:8" x14ac:dyDescent="0.3">
      <c r="A91" s="3">
        <v>95</v>
      </c>
      <c r="B91" s="5">
        <v>46170</v>
      </c>
      <c r="C91" s="4"/>
      <c r="D91" s="4"/>
      <c r="E91" s="4"/>
      <c r="F91" s="4"/>
      <c r="G91" s="3"/>
      <c r="H91" s="3"/>
    </row>
    <row r="92" spans="1:8" x14ac:dyDescent="0.3">
      <c r="A92" s="3">
        <v>96</v>
      </c>
      <c r="B92" s="5">
        <v>46171</v>
      </c>
      <c r="C92" s="4"/>
      <c r="D92" s="4"/>
      <c r="E92" s="4"/>
      <c r="F92" s="4"/>
      <c r="G92" s="3"/>
      <c r="H92" s="3">
        <v>1.4</v>
      </c>
    </row>
    <row r="93" spans="1:8" x14ac:dyDescent="0.3">
      <c r="A93" s="3">
        <v>97</v>
      </c>
      <c r="B93" s="5">
        <v>46172</v>
      </c>
      <c r="C93" s="4"/>
      <c r="D93" s="4"/>
      <c r="E93" s="4"/>
      <c r="F93" s="4"/>
      <c r="G93" s="3"/>
      <c r="H93" s="3">
        <v>0.9</v>
      </c>
    </row>
    <row r="94" spans="1:8" x14ac:dyDescent="0.3">
      <c r="A94" s="3">
        <v>98</v>
      </c>
      <c r="B94" s="5">
        <v>46173</v>
      </c>
      <c r="C94" s="4"/>
      <c r="D94" s="4"/>
      <c r="E94" s="4"/>
      <c r="F94" s="4"/>
      <c r="G94" s="3"/>
      <c r="H94" s="3"/>
    </row>
    <row r="95" spans="1:8" x14ac:dyDescent="0.3">
      <c r="A95" s="3">
        <v>99</v>
      </c>
      <c r="B95" s="5">
        <v>46174</v>
      </c>
      <c r="C95" s="4"/>
      <c r="D95" s="4"/>
      <c r="E95" s="4"/>
      <c r="F95" s="4"/>
      <c r="G95" s="3"/>
      <c r="H95" s="3"/>
    </row>
    <row r="96" spans="1:8" x14ac:dyDescent="0.3">
      <c r="A96" s="3">
        <v>100</v>
      </c>
      <c r="B96" s="5">
        <v>46175</v>
      </c>
      <c r="C96" s="4"/>
      <c r="D96" s="4"/>
      <c r="E96" s="4"/>
      <c r="F96" s="4"/>
      <c r="G96" s="3"/>
      <c r="H96" s="3">
        <v>1.4</v>
      </c>
    </row>
    <row r="97" spans="1:8" x14ac:dyDescent="0.3">
      <c r="A97" s="3">
        <v>101</v>
      </c>
      <c r="B97" s="5">
        <v>46176</v>
      </c>
      <c r="C97" s="4"/>
      <c r="D97" s="4"/>
      <c r="E97" s="4"/>
      <c r="F97" s="4"/>
      <c r="G97" s="3"/>
      <c r="H97" s="3">
        <v>0.7</v>
      </c>
    </row>
    <row r="98" spans="1:8" x14ac:dyDescent="0.3">
      <c r="A98" s="3">
        <v>102</v>
      </c>
      <c r="B98" s="5">
        <v>46177</v>
      </c>
      <c r="C98" s="4"/>
      <c r="D98" s="4"/>
      <c r="E98" s="4"/>
      <c r="F98" s="4"/>
      <c r="G98" s="3"/>
      <c r="H98" s="3"/>
    </row>
    <row r="99" spans="1:8" x14ac:dyDescent="0.3">
      <c r="A99" s="3">
        <v>103</v>
      </c>
      <c r="B99" s="5">
        <v>46178</v>
      </c>
      <c r="C99" s="4"/>
      <c r="D99" s="4"/>
      <c r="E99" s="4"/>
      <c r="F99" s="4"/>
      <c r="G99" s="3"/>
      <c r="H99" s="3"/>
    </row>
    <row r="100" spans="1:8" x14ac:dyDescent="0.3">
      <c r="A100" s="3">
        <v>104</v>
      </c>
      <c r="B100" s="5">
        <v>46179</v>
      </c>
      <c r="C100" s="4"/>
      <c r="D100" s="4"/>
      <c r="E100" s="4"/>
      <c r="F100" s="4"/>
      <c r="G100" s="3"/>
      <c r="H100" s="3"/>
    </row>
    <row r="101" spans="1:8" x14ac:dyDescent="0.3">
      <c r="A101" s="3">
        <v>105</v>
      </c>
      <c r="B101" s="5">
        <v>46180</v>
      </c>
      <c r="C101" s="4"/>
      <c r="D101" s="4"/>
      <c r="E101" s="4"/>
      <c r="F101" s="4"/>
      <c r="G101" s="3"/>
      <c r="H101" s="3"/>
    </row>
    <row r="102" spans="1:8" x14ac:dyDescent="0.3">
      <c r="A102" s="3">
        <v>106</v>
      </c>
      <c r="B102" s="5">
        <v>46181</v>
      </c>
      <c r="C102" s="4"/>
      <c r="D102" s="4"/>
      <c r="E102" s="4"/>
      <c r="F102" s="4"/>
      <c r="G102" s="3"/>
      <c r="H102" s="3">
        <v>0.8</v>
      </c>
    </row>
    <row r="103" spans="1:8" x14ac:dyDescent="0.3">
      <c r="A103" s="3">
        <v>107</v>
      </c>
      <c r="B103" s="5">
        <v>46182</v>
      </c>
      <c r="C103" s="4"/>
      <c r="D103" s="4"/>
      <c r="E103" s="4"/>
      <c r="F103" s="4"/>
      <c r="G103" s="3"/>
      <c r="H103" s="3"/>
    </row>
    <row r="104" spans="1:8" x14ac:dyDescent="0.3">
      <c r="A104" s="3">
        <v>108</v>
      </c>
      <c r="B104" s="5">
        <v>46183</v>
      </c>
      <c r="C104" s="4"/>
      <c r="D104" s="4"/>
      <c r="E104" s="4"/>
      <c r="F104" s="4"/>
      <c r="G104" s="3"/>
      <c r="H104" s="3"/>
    </row>
    <row r="105" spans="1:8" x14ac:dyDescent="0.3">
      <c r="A105" s="3">
        <v>109</v>
      </c>
      <c r="B105" s="5">
        <v>46184</v>
      </c>
      <c r="C105" s="4"/>
      <c r="D105" s="4"/>
      <c r="E105" s="4"/>
      <c r="F105" s="4"/>
      <c r="G105" s="3"/>
      <c r="H105" s="3"/>
    </row>
    <row r="106" spans="1:8" x14ac:dyDescent="0.3">
      <c r="A106" s="3">
        <v>110</v>
      </c>
      <c r="B106" s="5">
        <v>46185</v>
      </c>
      <c r="C106" s="4"/>
      <c r="D106" s="4"/>
      <c r="E106" s="4"/>
      <c r="F106" s="4"/>
      <c r="G106" s="3"/>
      <c r="H106" s="3"/>
    </row>
    <row r="107" spans="1:8" x14ac:dyDescent="0.3">
      <c r="A107" s="3">
        <v>111</v>
      </c>
      <c r="B107" s="5">
        <v>46186</v>
      </c>
      <c r="C107" s="4"/>
      <c r="D107" s="4"/>
      <c r="E107" s="4"/>
      <c r="F107" s="4"/>
      <c r="G107" s="3"/>
      <c r="H107" s="3"/>
    </row>
    <row r="108" spans="1:8" x14ac:dyDescent="0.3">
      <c r="A108" s="3">
        <v>112</v>
      </c>
      <c r="B108" s="5">
        <v>46187</v>
      </c>
      <c r="C108" s="4"/>
      <c r="D108" s="4"/>
      <c r="E108" s="4"/>
      <c r="F108" s="4"/>
      <c r="G108" s="3"/>
      <c r="H108" s="3"/>
    </row>
    <row r="109" spans="1:8" x14ac:dyDescent="0.3">
      <c r="A109" s="3">
        <v>113</v>
      </c>
      <c r="B109" s="5">
        <v>46188</v>
      </c>
      <c r="C109" s="4"/>
      <c r="D109" s="4"/>
      <c r="E109" s="4"/>
      <c r="F109" s="4"/>
      <c r="G109" s="3"/>
      <c r="H109" s="3"/>
    </row>
    <row r="110" spans="1:8" x14ac:dyDescent="0.3">
      <c r="A110" s="3">
        <v>114</v>
      </c>
      <c r="B110" s="5">
        <v>46189</v>
      </c>
      <c r="C110" s="4"/>
      <c r="D110" s="4"/>
      <c r="E110" s="4"/>
      <c r="F110" s="4"/>
      <c r="G110" s="3"/>
      <c r="H110" s="3"/>
    </row>
    <row r="111" spans="1:8" x14ac:dyDescent="0.3">
      <c r="A111" s="3">
        <v>115</v>
      </c>
      <c r="B111" s="5">
        <v>46190</v>
      </c>
      <c r="C111" s="4"/>
      <c r="D111" s="4"/>
      <c r="E111" s="4"/>
      <c r="F111" s="4"/>
      <c r="G111" s="3"/>
      <c r="H111" s="3"/>
    </row>
    <row r="112" spans="1:8" x14ac:dyDescent="0.3">
      <c r="A112" s="3">
        <v>116</v>
      </c>
      <c r="B112" s="5">
        <v>46191</v>
      </c>
      <c r="C112" s="4"/>
      <c r="D112" s="4"/>
      <c r="E112" s="4"/>
      <c r="F112" s="4"/>
      <c r="G112" s="3"/>
      <c r="H112" s="3"/>
    </row>
    <row r="113" spans="1:8" x14ac:dyDescent="0.3">
      <c r="A113" s="3">
        <v>117</v>
      </c>
      <c r="B113" s="5">
        <v>46192</v>
      </c>
      <c r="C113" s="4"/>
      <c r="D113" s="4"/>
      <c r="E113" s="4"/>
      <c r="F113" s="4"/>
      <c r="G113" s="3"/>
      <c r="H113" s="3"/>
    </row>
  </sheetData>
  <mergeCells count="1"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EA9D-C550-4BB3-806C-5ABCBD48E771}">
  <dimension ref="A1:S39"/>
  <sheetViews>
    <sheetView topLeftCell="A10" workbookViewId="0">
      <selection activeCell="F33" sqref="F33"/>
    </sheetView>
  </sheetViews>
  <sheetFormatPr defaultRowHeight="14.4" x14ac:dyDescent="0.3"/>
  <cols>
    <col min="2" max="2" width="10.33203125" bestFit="1" customWidth="1"/>
    <col min="5" max="5" width="11.21875" bestFit="1" customWidth="1"/>
    <col min="6" max="6" width="10.44140625" bestFit="1" customWidth="1"/>
    <col min="7" max="7" width="9.33203125" bestFit="1" customWidth="1"/>
    <col min="8" max="8" width="3.44140625" customWidth="1"/>
    <col min="10" max="10" width="17.109375" style="33" customWidth="1"/>
    <col min="13" max="13" width="11.21875" bestFit="1" customWidth="1"/>
    <col min="14" max="14" width="10.44140625" bestFit="1" customWidth="1"/>
    <col min="15" max="15" width="16.88671875" bestFit="1" customWidth="1"/>
    <col min="16" max="16" width="16.88671875" customWidth="1"/>
    <col min="17" max="17" width="23.44140625" bestFit="1" customWidth="1"/>
    <col min="18" max="18" width="3.109375" customWidth="1"/>
  </cols>
  <sheetData>
    <row r="1" spans="1:19" s="43" customFormat="1" ht="33.6" customHeight="1" x14ac:dyDescent="0.3">
      <c r="A1" s="123" t="s">
        <v>348</v>
      </c>
      <c r="B1" s="123"/>
      <c r="C1" s="123"/>
      <c r="D1" s="123"/>
      <c r="E1" s="123"/>
      <c r="F1" s="123"/>
      <c r="G1" s="123"/>
      <c r="H1" s="44"/>
      <c r="I1" s="123" t="s">
        <v>347</v>
      </c>
      <c r="J1" s="123"/>
      <c r="K1" s="123"/>
      <c r="L1" s="123"/>
      <c r="M1" s="123"/>
      <c r="N1" s="123"/>
      <c r="O1" s="123"/>
      <c r="P1" s="123"/>
      <c r="Q1" s="123"/>
    </row>
    <row r="2" spans="1:19" x14ac:dyDescent="0.3">
      <c r="A2" s="36" t="s">
        <v>48</v>
      </c>
      <c r="B2" s="36" t="s">
        <v>47</v>
      </c>
      <c r="C2" s="36" t="s">
        <v>325</v>
      </c>
      <c r="D2" s="36" t="s">
        <v>326</v>
      </c>
      <c r="E2" s="36" t="s">
        <v>327</v>
      </c>
      <c r="F2" s="36" t="s">
        <v>328</v>
      </c>
      <c r="G2" s="36" t="s">
        <v>329</v>
      </c>
      <c r="I2" s="36" t="s">
        <v>48</v>
      </c>
      <c r="J2" s="36" t="s">
        <v>47</v>
      </c>
      <c r="K2" s="36" t="s">
        <v>325</v>
      </c>
      <c r="L2" s="36" t="s">
        <v>326</v>
      </c>
      <c r="M2" s="36" t="s">
        <v>327</v>
      </c>
      <c r="N2" s="36" t="s">
        <v>328</v>
      </c>
      <c r="O2" s="36" t="s">
        <v>330</v>
      </c>
      <c r="P2" s="36" t="s">
        <v>220</v>
      </c>
      <c r="Q2" s="48" t="s">
        <v>356</v>
      </c>
    </row>
    <row r="3" spans="1:19" x14ac:dyDescent="0.3">
      <c r="A3" s="3">
        <v>1</v>
      </c>
      <c r="B3" s="5">
        <v>46075</v>
      </c>
      <c r="C3" s="3">
        <v>0.5</v>
      </c>
      <c r="D3" s="3">
        <v>0.5</v>
      </c>
      <c r="E3" s="3" t="s">
        <v>37</v>
      </c>
      <c r="F3" s="3" t="s">
        <v>37</v>
      </c>
      <c r="G3" s="4"/>
      <c r="I3" s="3">
        <v>1</v>
      </c>
      <c r="J3" s="21">
        <v>46075</v>
      </c>
      <c r="K3" s="3" t="s">
        <v>302</v>
      </c>
      <c r="L3" s="3" t="s">
        <v>302</v>
      </c>
      <c r="M3" s="3" t="s">
        <v>302</v>
      </c>
      <c r="N3" s="3" t="s">
        <v>302</v>
      </c>
      <c r="O3" s="3" t="s">
        <v>302</v>
      </c>
      <c r="P3" s="50">
        <v>500</v>
      </c>
      <c r="Q3" s="51" t="s">
        <v>358</v>
      </c>
    </row>
    <row r="4" spans="1:19" x14ac:dyDescent="0.3">
      <c r="A4" s="3">
        <v>2</v>
      </c>
      <c r="B4" s="5">
        <v>46076</v>
      </c>
      <c r="C4" s="3">
        <v>1</v>
      </c>
      <c r="D4" s="3">
        <v>1</v>
      </c>
      <c r="E4" s="3" t="s">
        <v>37</v>
      </c>
      <c r="F4" s="3" t="s">
        <v>37</v>
      </c>
      <c r="G4" s="4"/>
      <c r="I4" s="3">
        <v>2</v>
      </c>
      <c r="J4" s="21">
        <v>46076</v>
      </c>
      <c r="K4" s="3">
        <v>1</v>
      </c>
      <c r="L4" s="3">
        <v>1</v>
      </c>
      <c r="M4" s="3">
        <v>2</v>
      </c>
      <c r="N4" s="3">
        <v>2</v>
      </c>
      <c r="O4" s="3" t="s">
        <v>331</v>
      </c>
      <c r="P4" s="7"/>
      <c r="Q4" s="4"/>
    </row>
    <row r="5" spans="1:19" x14ac:dyDescent="0.3">
      <c r="A5" s="3">
        <v>3</v>
      </c>
      <c r="B5" s="5">
        <v>46077</v>
      </c>
      <c r="C5" s="3">
        <v>1</v>
      </c>
      <c r="D5" s="3">
        <v>1</v>
      </c>
      <c r="E5" s="3" t="s">
        <v>37</v>
      </c>
      <c r="F5" s="3" t="s">
        <v>37</v>
      </c>
      <c r="G5" s="4"/>
      <c r="I5" s="3">
        <v>3</v>
      </c>
      <c r="J5" s="21">
        <v>46077</v>
      </c>
      <c r="K5" s="3" t="s">
        <v>302</v>
      </c>
      <c r="L5" s="3" t="s">
        <v>302</v>
      </c>
      <c r="M5" s="3">
        <v>5</v>
      </c>
      <c r="N5" s="3">
        <v>5</v>
      </c>
      <c r="O5" s="3" t="s">
        <v>332</v>
      </c>
      <c r="P5" s="7"/>
      <c r="Q5" s="4"/>
    </row>
    <row r="6" spans="1:19" x14ac:dyDescent="0.3">
      <c r="A6" s="3">
        <v>4</v>
      </c>
      <c r="B6" s="5">
        <v>46078</v>
      </c>
      <c r="C6" s="3">
        <v>1</v>
      </c>
      <c r="D6" s="3">
        <v>1</v>
      </c>
      <c r="E6" s="3" t="s">
        <v>37</v>
      </c>
      <c r="F6" s="3" t="s">
        <v>37</v>
      </c>
      <c r="G6" s="4"/>
      <c r="I6" s="3">
        <v>4</v>
      </c>
      <c r="J6" s="21">
        <v>46078</v>
      </c>
      <c r="K6" s="3" t="s">
        <v>302</v>
      </c>
      <c r="L6" s="3" t="s">
        <v>302</v>
      </c>
      <c r="M6" s="3" t="s">
        <v>302</v>
      </c>
      <c r="N6" s="3" t="s">
        <v>302</v>
      </c>
      <c r="O6" s="3" t="s">
        <v>302</v>
      </c>
      <c r="P6" s="7"/>
      <c r="Q6" s="4"/>
    </row>
    <row r="7" spans="1:19" x14ac:dyDescent="0.3">
      <c r="A7" s="3">
        <v>5</v>
      </c>
      <c r="B7" s="5">
        <v>46079</v>
      </c>
      <c r="C7" s="3">
        <v>1</v>
      </c>
      <c r="D7" s="3">
        <v>1</v>
      </c>
      <c r="E7" s="3">
        <v>5.5</v>
      </c>
      <c r="F7" s="3">
        <v>5.5</v>
      </c>
      <c r="G7" s="4"/>
      <c r="I7" s="3">
        <v>5</v>
      </c>
      <c r="J7" s="21">
        <v>46079</v>
      </c>
      <c r="K7" s="3">
        <v>1</v>
      </c>
      <c r="L7" s="3">
        <v>1</v>
      </c>
      <c r="M7" s="3">
        <v>4.5</v>
      </c>
      <c r="N7" s="3">
        <v>4.5</v>
      </c>
      <c r="O7" s="3" t="s">
        <v>333</v>
      </c>
      <c r="P7" s="7"/>
      <c r="Q7" s="4"/>
      <c r="S7">
        <v>800</v>
      </c>
    </row>
    <row r="8" spans="1:19" x14ac:dyDescent="0.3">
      <c r="A8" s="3">
        <v>6</v>
      </c>
      <c r="B8" s="5">
        <v>46080</v>
      </c>
      <c r="C8" s="3">
        <v>1</v>
      </c>
      <c r="D8" s="3">
        <v>1</v>
      </c>
      <c r="E8" s="3">
        <v>2</v>
      </c>
      <c r="F8" s="3">
        <v>2</v>
      </c>
      <c r="G8" s="4"/>
      <c r="I8" s="3">
        <v>6</v>
      </c>
      <c r="J8" s="21">
        <v>46080</v>
      </c>
      <c r="K8" s="3">
        <v>1</v>
      </c>
      <c r="L8" s="3">
        <v>1</v>
      </c>
      <c r="M8" s="3">
        <v>1</v>
      </c>
      <c r="N8" s="3">
        <v>1</v>
      </c>
      <c r="O8" s="3" t="s">
        <v>334</v>
      </c>
      <c r="P8" s="7"/>
      <c r="Q8" s="4"/>
      <c r="S8">
        <v>1200</v>
      </c>
    </row>
    <row r="9" spans="1:19" x14ac:dyDescent="0.3">
      <c r="A9" s="3">
        <v>7</v>
      </c>
      <c r="B9" s="5">
        <v>46081</v>
      </c>
      <c r="C9" s="3">
        <v>1</v>
      </c>
      <c r="D9" s="3">
        <v>1</v>
      </c>
      <c r="E9" s="3">
        <v>4</v>
      </c>
      <c r="F9" s="3">
        <v>4</v>
      </c>
      <c r="G9" s="4"/>
      <c r="I9" s="3">
        <v>7</v>
      </c>
      <c r="J9" s="21">
        <v>46081</v>
      </c>
      <c r="K9" s="3">
        <v>1</v>
      </c>
      <c r="L9" s="3">
        <v>1</v>
      </c>
      <c r="M9" s="3">
        <v>2</v>
      </c>
      <c r="N9" s="3">
        <v>2</v>
      </c>
      <c r="O9" s="3" t="s">
        <v>335</v>
      </c>
      <c r="P9" s="7"/>
      <c r="Q9" s="4"/>
      <c r="S9">
        <v>500</v>
      </c>
    </row>
    <row r="10" spans="1:19" x14ac:dyDescent="0.3">
      <c r="A10" s="3">
        <v>8</v>
      </c>
      <c r="B10" s="5">
        <v>46082</v>
      </c>
      <c r="C10" s="3">
        <v>1</v>
      </c>
      <c r="D10" s="3">
        <v>1</v>
      </c>
      <c r="E10" s="3">
        <v>4.5</v>
      </c>
      <c r="F10" s="3">
        <v>4.5</v>
      </c>
      <c r="G10" s="4"/>
      <c r="I10" s="3">
        <v>8</v>
      </c>
      <c r="J10" s="21">
        <v>46082</v>
      </c>
      <c r="K10" s="3">
        <v>1</v>
      </c>
      <c r="L10" s="3">
        <v>1</v>
      </c>
      <c r="M10" s="3">
        <v>4.5</v>
      </c>
      <c r="N10" s="3">
        <v>4.5</v>
      </c>
      <c r="O10" s="3" t="s">
        <v>336</v>
      </c>
      <c r="P10" s="7"/>
      <c r="Q10" s="4"/>
    </row>
    <row r="11" spans="1:19" x14ac:dyDescent="0.3">
      <c r="A11" s="3">
        <v>9</v>
      </c>
      <c r="B11" s="5">
        <v>46083</v>
      </c>
      <c r="C11" s="3">
        <v>1</v>
      </c>
      <c r="D11" s="3">
        <v>1</v>
      </c>
      <c r="E11" s="3">
        <v>3</v>
      </c>
      <c r="F11" s="3">
        <v>3</v>
      </c>
      <c r="G11" s="4"/>
      <c r="I11" s="3">
        <v>9</v>
      </c>
      <c r="J11" s="21">
        <v>46083</v>
      </c>
      <c r="K11" s="3">
        <v>1</v>
      </c>
      <c r="L11" s="3">
        <v>1</v>
      </c>
      <c r="M11" s="3">
        <v>3</v>
      </c>
      <c r="N11" s="3">
        <v>3</v>
      </c>
      <c r="O11" s="3" t="s">
        <v>337</v>
      </c>
      <c r="P11" s="7"/>
      <c r="Q11" s="4"/>
    </row>
    <row r="12" spans="1:19" x14ac:dyDescent="0.3">
      <c r="A12" s="3">
        <v>10</v>
      </c>
      <c r="B12" s="5">
        <v>46084</v>
      </c>
      <c r="C12" s="3">
        <v>1</v>
      </c>
      <c r="D12" s="3">
        <v>1</v>
      </c>
      <c r="E12" s="3">
        <v>4</v>
      </c>
      <c r="F12" s="3">
        <v>4</v>
      </c>
      <c r="G12" s="4"/>
      <c r="I12" s="3">
        <v>10</v>
      </c>
      <c r="J12" s="21">
        <v>46084</v>
      </c>
      <c r="K12" s="3">
        <v>1</v>
      </c>
      <c r="L12" s="3">
        <v>1</v>
      </c>
      <c r="M12" s="3">
        <v>4</v>
      </c>
      <c r="N12" s="3">
        <v>4</v>
      </c>
      <c r="O12" s="3" t="s">
        <v>338</v>
      </c>
      <c r="P12" s="7"/>
      <c r="Q12" s="4"/>
    </row>
    <row r="13" spans="1:19" x14ac:dyDescent="0.3">
      <c r="A13" s="3">
        <v>11</v>
      </c>
      <c r="B13" s="5">
        <v>46085</v>
      </c>
      <c r="C13" s="3">
        <v>1</v>
      </c>
      <c r="D13" s="3">
        <v>1</v>
      </c>
      <c r="E13" s="3"/>
      <c r="F13" s="3"/>
      <c r="G13" s="4"/>
      <c r="I13" s="3">
        <v>11</v>
      </c>
      <c r="J13" s="21">
        <v>46085</v>
      </c>
      <c r="K13" s="3">
        <v>1</v>
      </c>
      <c r="L13" s="3">
        <v>1</v>
      </c>
      <c r="M13" s="3" t="s">
        <v>302</v>
      </c>
      <c r="N13" s="3" t="s">
        <v>302</v>
      </c>
      <c r="O13" s="3" t="s">
        <v>339</v>
      </c>
      <c r="P13" s="7"/>
      <c r="Q13" s="4"/>
    </row>
    <row r="14" spans="1:19" x14ac:dyDescent="0.3">
      <c r="A14" s="3">
        <v>12</v>
      </c>
      <c r="B14" s="5">
        <v>46086</v>
      </c>
      <c r="C14" s="3">
        <v>1</v>
      </c>
      <c r="D14" s="3">
        <v>1</v>
      </c>
      <c r="E14" s="3">
        <v>4.5</v>
      </c>
      <c r="F14" s="3">
        <v>4.5</v>
      </c>
      <c r="G14" s="4"/>
      <c r="I14" s="3">
        <v>12</v>
      </c>
      <c r="J14" s="21">
        <v>46086</v>
      </c>
      <c r="K14" s="3">
        <v>1</v>
      </c>
      <c r="L14" s="3">
        <v>1</v>
      </c>
      <c r="M14" s="3">
        <v>4.5</v>
      </c>
      <c r="N14" s="3">
        <v>4.5</v>
      </c>
      <c r="O14" s="3" t="s">
        <v>340</v>
      </c>
      <c r="P14" s="7"/>
      <c r="Q14" s="4"/>
    </row>
    <row r="15" spans="1:19" x14ac:dyDescent="0.3">
      <c r="A15" s="3">
        <v>13</v>
      </c>
      <c r="B15" s="5">
        <v>46087</v>
      </c>
      <c r="C15" s="3">
        <v>1</v>
      </c>
      <c r="D15" s="3">
        <v>1</v>
      </c>
      <c r="E15" s="3">
        <v>4</v>
      </c>
      <c r="F15" s="3">
        <v>4</v>
      </c>
      <c r="G15" s="4"/>
      <c r="I15" s="3">
        <v>13</v>
      </c>
      <c r="J15" s="21">
        <v>46087</v>
      </c>
      <c r="K15" s="3">
        <v>1</v>
      </c>
      <c r="L15" s="3">
        <v>1</v>
      </c>
      <c r="M15" s="3">
        <v>4</v>
      </c>
      <c r="N15" s="3">
        <v>4</v>
      </c>
      <c r="O15" s="3" t="s">
        <v>338</v>
      </c>
      <c r="P15" s="7"/>
      <c r="Q15" s="4"/>
    </row>
    <row r="16" spans="1:19" x14ac:dyDescent="0.3">
      <c r="A16" s="3">
        <v>14</v>
      </c>
      <c r="B16" s="5">
        <v>46088</v>
      </c>
      <c r="C16" s="3">
        <v>1</v>
      </c>
      <c r="D16" s="3">
        <v>1</v>
      </c>
      <c r="E16" s="3">
        <v>4</v>
      </c>
      <c r="F16" s="3">
        <v>4</v>
      </c>
      <c r="G16" s="4"/>
      <c r="I16" s="3">
        <v>14</v>
      </c>
      <c r="J16" s="21">
        <v>46088</v>
      </c>
      <c r="K16" s="3">
        <v>1</v>
      </c>
      <c r="L16" s="3">
        <v>1</v>
      </c>
      <c r="M16" s="3">
        <v>4</v>
      </c>
      <c r="N16" s="3">
        <v>4</v>
      </c>
      <c r="O16" s="3" t="s">
        <v>338</v>
      </c>
      <c r="P16" s="7"/>
      <c r="Q16" s="4"/>
    </row>
    <row r="17" spans="1:19" x14ac:dyDescent="0.3">
      <c r="A17" s="3">
        <v>15</v>
      </c>
      <c r="B17" s="5">
        <v>46089</v>
      </c>
      <c r="C17" s="3">
        <v>1</v>
      </c>
      <c r="D17" s="3">
        <v>1</v>
      </c>
      <c r="E17" s="3">
        <v>1</v>
      </c>
      <c r="F17" s="3">
        <v>1</v>
      </c>
      <c r="G17" s="4"/>
      <c r="I17" s="3">
        <v>15</v>
      </c>
      <c r="J17" s="21">
        <v>46089</v>
      </c>
      <c r="K17" s="3">
        <v>1</v>
      </c>
      <c r="L17" s="3">
        <v>1</v>
      </c>
      <c r="M17" s="3" t="s">
        <v>302</v>
      </c>
      <c r="N17" s="3" t="s">
        <v>302</v>
      </c>
      <c r="O17" s="3" t="s">
        <v>341</v>
      </c>
      <c r="P17" s="7">
        <v>500</v>
      </c>
      <c r="Q17" s="4" t="s">
        <v>357</v>
      </c>
    </row>
    <row r="18" spans="1:19" x14ac:dyDescent="0.3">
      <c r="A18" s="3">
        <v>16</v>
      </c>
      <c r="B18" s="5">
        <v>46090</v>
      </c>
      <c r="C18" s="3">
        <v>1</v>
      </c>
      <c r="D18" s="3">
        <v>1</v>
      </c>
      <c r="E18" s="3">
        <v>4</v>
      </c>
      <c r="F18" s="3">
        <v>4</v>
      </c>
      <c r="G18" s="4"/>
      <c r="I18" s="3">
        <v>16</v>
      </c>
      <c r="J18" s="21">
        <v>46090</v>
      </c>
      <c r="K18" s="3">
        <v>1</v>
      </c>
      <c r="L18" s="3">
        <v>1</v>
      </c>
      <c r="M18" s="3">
        <v>4</v>
      </c>
      <c r="N18" s="3">
        <v>4</v>
      </c>
      <c r="O18" s="3" t="s">
        <v>342</v>
      </c>
      <c r="P18" s="7"/>
      <c r="Q18" s="4"/>
    </row>
    <row r="19" spans="1:19" x14ac:dyDescent="0.3">
      <c r="A19" s="3">
        <v>17</v>
      </c>
      <c r="B19" s="5">
        <v>46091</v>
      </c>
      <c r="C19" s="3">
        <v>1</v>
      </c>
      <c r="D19" s="3">
        <v>1</v>
      </c>
      <c r="E19" s="3">
        <v>3</v>
      </c>
      <c r="F19" s="3">
        <v>3</v>
      </c>
      <c r="G19" s="4"/>
      <c r="I19" s="3">
        <v>17</v>
      </c>
      <c r="J19" s="21">
        <v>46091</v>
      </c>
      <c r="K19" s="3">
        <v>1</v>
      </c>
      <c r="L19" s="3">
        <v>1</v>
      </c>
      <c r="M19" s="3">
        <v>3</v>
      </c>
      <c r="N19" s="3">
        <v>3</v>
      </c>
      <c r="O19" s="3" t="s">
        <v>343</v>
      </c>
      <c r="P19" s="7"/>
      <c r="Q19" s="4"/>
    </row>
    <row r="20" spans="1:19" x14ac:dyDescent="0.3">
      <c r="A20" s="3">
        <v>18</v>
      </c>
      <c r="B20" s="5">
        <v>46092</v>
      </c>
      <c r="C20" s="3">
        <v>1</v>
      </c>
      <c r="D20" s="3">
        <v>1</v>
      </c>
      <c r="E20" s="3">
        <v>3</v>
      </c>
      <c r="F20" s="3">
        <v>3</v>
      </c>
      <c r="G20" s="4"/>
      <c r="I20" s="3">
        <v>18</v>
      </c>
      <c r="J20" s="21">
        <v>46092</v>
      </c>
      <c r="K20" s="3">
        <v>1</v>
      </c>
      <c r="L20" s="3">
        <v>1</v>
      </c>
      <c r="M20" s="3" t="s">
        <v>302</v>
      </c>
      <c r="N20" s="3" t="s">
        <v>302</v>
      </c>
      <c r="O20" s="3" t="s">
        <v>341</v>
      </c>
      <c r="P20" s="7"/>
      <c r="Q20" s="4"/>
    </row>
    <row r="21" spans="1:19" x14ac:dyDescent="0.3">
      <c r="A21" s="3">
        <v>19</v>
      </c>
      <c r="B21" s="5">
        <v>46093</v>
      </c>
      <c r="C21" s="3">
        <v>1</v>
      </c>
      <c r="D21" s="3">
        <v>1</v>
      </c>
      <c r="E21" s="3"/>
      <c r="F21" s="3"/>
      <c r="G21" s="4"/>
      <c r="I21" s="3">
        <v>19</v>
      </c>
      <c r="J21" s="21">
        <v>46093</v>
      </c>
      <c r="K21" s="3">
        <v>1</v>
      </c>
      <c r="L21" s="3">
        <v>1</v>
      </c>
      <c r="M21" s="3" t="s">
        <v>302</v>
      </c>
      <c r="N21" s="3" t="s">
        <v>302</v>
      </c>
      <c r="O21" s="3" t="s">
        <v>341</v>
      </c>
      <c r="P21" s="7"/>
      <c r="Q21" s="4"/>
    </row>
    <row r="22" spans="1:19" x14ac:dyDescent="0.3">
      <c r="A22" s="3">
        <v>20</v>
      </c>
      <c r="B22" s="5">
        <v>46094</v>
      </c>
      <c r="C22" s="3">
        <v>1</v>
      </c>
      <c r="D22" s="3">
        <v>1</v>
      </c>
      <c r="E22" s="3"/>
      <c r="F22" s="3"/>
      <c r="G22" s="4"/>
      <c r="I22" s="3">
        <v>20</v>
      </c>
      <c r="J22" s="21">
        <v>46094</v>
      </c>
      <c r="K22" s="3" t="s">
        <v>302</v>
      </c>
      <c r="L22" s="3" t="s">
        <v>302</v>
      </c>
      <c r="M22" s="3">
        <v>1</v>
      </c>
      <c r="N22" s="3">
        <v>1</v>
      </c>
      <c r="O22" s="3" t="s">
        <v>346</v>
      </c>
      <c r="P22" s="7"/>
      <c r="Q22" s="4"/>
      <c r="S22">
        <v>1200</v>
      </c>
    </row>
    <row r="23" spans="1:19" x14ac:dyDescent="0.3">
      <c r="A23" s="3">
        <v>21</v>
      </c>
      <c r="B23" s="5">
        <v>46095</v>
      </c>
      <c r="C23" s="3">
        <v>1</v>
      </c>
      <c r="D23" s="3">
        <v>1</v>
      </c>
      <c r="E23" s="3">
        <v>7</v>
      </c>
      <c r="F23" s="3">
        <v>7</v>
      </c>
      <c r="G23" s="4"/>
      <c r="I23" s="3">
        <v>21</v>
      </c>
      <c r="J23" s="21">
        <v>46095</v>
      </c>
      <c r="K23" s="3">
        <v>1</v>
      </c>
      <c r="L23" s="3">
        <v>1</v>
      </c>
      <c r="M23" s="3">
        <v>7.5</v>
      </c>
      <c r="N23" s="3">
        <v>7.5</v>
      </c>
      <c r="O23" s="3" t="s">
        <v>344</v>
      </c>
      <c r="P23" s="7"/>
      <c r="Q23" s="4"/>
      <c r="S23">
        <v>800</v>
      </c>
    </row>
    <row r="24" spans="1:19" x14ac:dyDescent="0.3">
      <c r="A24" s="3">
        <v>22</v>
      </c>
      <c r="B24" s="5">
        <v>46096</v>
      </c>
      <c r="C24" s="3">
        <v>1</v>
      </c>
      <c r="D24" s="3">
        <v>1</v>
      </c>
      <c r="E24" s="3">
        <v>4</v>
      </c>
      <c r="F24" s="3">
        <v>4</v>
      </c>
      <c r="G24" s="4"/>
      <c r="I24" s="3">
        <v>22</v>
      </c>
      <c r="J24" s="21">
        <v>46096</v>
      </c>
      <c r="K24" s="3">
        <v>1</v>
      </c>
      <c r="L24" s="3">
        <v>1</v>
      </c>
      <c r="M24" s="3">
        <v>3</v>
      </c>
      <c r="N24" s="3">
        <v>3</v>
      </c>
      <c r="O24" s="3" t="s">
        <v>345</v>
      </c>
      <c r="P24" s="50">
        <v>1000</v>
      </c>
      <c r="Q24" s="51" t="s">
        <v>358</v>
      </c>
      <c r="S24">
        <v>500</v>
      </c>
    </row>
    <row r="25" spans="1:19" x14ac:dyDescent="0.3">
      <c r="A25" s="95" t="s">
        <v>308</v>
      </c>
      <c r="B25" s="97"/>
      <c r="C25" s="35">
        <f>SUM(C3:C24)</f>
        <v>21.5</v>
      </c>
      <c r="D25" s="35">
        <f t="shared" ref="D25:F25" si="0">SUM(D3:D24)</f>
        <v>21.5</v>
      </c>
      <c r="E25" s="35">
        <f t="shared" si="0"/>
        <v>57.5</v>
      </c>
      <c r="F25" s="35">
        <f t="shared" si="0"/>
        <v>57.5</v>
      </c>
      <c r="G25" s="42"/>
      <c r="I25" s="107" t="s">
        <v>308</v>
      </c>
      <c r="J25" s="108"/>
      <c r="K25" s="46">
        <f>SUM(K3:K24)</f>
        <v>18</v>
      </c>
      <c r="L25" s="46">
        <f t="shared" ref="L25" si="1">SUM(L3:L24)</f>
        <v>18</v>
      </c>
      <c r="M25" s="46">
        <f>SUM(M4:M24)</f>
        <v>57</v>
      </c>
      <c r="N25" s="46">
        <f>SUM(N4:N24)</f>
        <v>57</v>
      </c>
      <c r="O25" s="46"/>
      <c r="P25" s="49">
        <v>2000</v>
      </c>
      <c r="Q25" s="47"/>
    </row>
    <row r="26" spans="1:19" x14ac:dyDescent="0.3">
      <c r="I26" s="109"/>
      <c r="J26" s="110"/>
      <c r="K26" s="4"/>
      <c r="L26" s="4"/>
      <c r="M26" s="4"/>
      <c r="N26" s="4"/>
      <c r="O26" s="4"/>
      <c r="P26" s="4"/>
      <c r="Q26" s="45"/>
    </row>
    <row r="27" spans="1:19" x14ac:dyDescent="0.3">
      <c r="I27" s="109" t="s">
        <v>349</v>
      </c>
      <c r="J27" s="110"/>
      <c r="K27" s="120">
        <f>K25*750</f>
        <v>13500</v>
      </c>
      <c r="L27" s="121"/>
      <c r="M27" s="121"/>
      <c r="N27" s="121"/>
      <c r="O27" s="121"/>
      <c r="P27" s="121"/>
      <c r="Q27" s="122"/>
    </row>
    <row r="28" spans="1:19" x14ac:dyDescent="0.3">
      <c r="I28" s="109" t="s">
        <v>350</v>
      </c>
      <c r="J28" s="110"/>
      <c r="K28" s="120">
        <f>L25*550</f>
        <v>9900</v>
      </c>
      <c r="L28" s="121"/>
      <c r="M28" s="121"/>
      <c r="N28" s="121"/>
      <c r="O28" s="121"/>
      <c r="P28" s="121"/>
      <c r="Q28" s="122"/>
    </row>
    <row r="29" spans="1:19" x14ac:dyDescent="0.3">
      <c r="I29" s="109" t="s">
        <v>351</v>
      </c>
      <c r="J29" s="110"/>
      <c r="K29" s="120">
        <f>M25*93.75</f>
        <v>5343.75</v>
      </c>
      <c r="L29" s="121"/>
      <c r="M29" s="121"/>
      <c r="N29" s="121"/>
      <c r="O29" s="121"/>
      <c r="P29" s="121"/>
      <c r="Q29" s="122"/>
    </row>
    <row r="30" spans="1:19" x14ac:dyDescent="0.3">
      <c r="I30" s="109" t="s">
        <v>352</v>
      </c>
      <c r="J30" s="110"/>
      <c r="K30" s="120">
        <f>N25*68.75</f>
        <v>3918.75</v>
      </c>
      <c r="L30" s="121"/>
      <c r="M30" s="121"/>
      <c r="N30" s="121"/>
      <c r="O30" s="121"/>
      <c r="P30" s="121"/>
      <c r="Q30" s="122"/>
    </row>
    <row r="31" spans="1:19" x14ac:dyDescent="0.3">
      <c r="I31" s="107" t="s">
        <v>353</v>
      </c>
      <c r="J31" s="108"/>
      <c r="K31" s="113">
        <f>K27+K28+K29+K30</f>
        <v>32662.5</v>
      </c>
      <c r="L31" s="114"/>
      <c r="M31" s="114"/>
      <c r="N31" s="114"/>
      <c r="O31" s="114"/>
      <c r="P31" s="114"/>
      <c r="Q31" s="115"/>
    </row>
    <row r="32" spans="1:19" x14ac:dyDescent="0.3">
      <c r="I32" s="109" t="s">
        <v>354</v>
      </c>
      <c r="J32" s="110"/>
      <c r="K32" s="116">
        <f>P25</f>
        <v>2000</v>
      </c>
      <c r="L32" s="117"/>
      <c r="M32" s="117"/>
      <c r="N32" s="117"/>
      <c r="O32" s="117"/>
      <c r="P32" s="117"/>
      <c r="Q32" s="110"/>
    </row>
    <row r="33" spans="3:17" x14ac:dyDescent="0.3">
      <c r="I33" s="111" t="s">
        <v>355</v>
      </c>
      <c r="J33" s="112"/>
      <c r="K33" s="118">
        <f>K31-K32</f>
        <v>30662.5</v>
      </c>
      <c r="L33" s="119"/>
      <c r="M33" s="119"/>
      <c r="N33" s="119"/>
      <c r="O33" s="119"/>
      <c r="P33" s="119"/>
      <c r="Q33" s="112"/>
    </row>
    <row r="34" spans="3:17" x14ac:dyDescent="0.3">
      <c r="C34">
        <f>74500</f>
        <v>74500</v>
      </c>
      <c r="I34" s="100" t="s">
        <v>359</v>
      </c>
      <c r="J34" s="100"/>
      <c r="K34" s="100"/>
      <c r="L34" s="100"/>
      <c r="M34" s="100"/>
      <c r="N34" s="100"/>
      <c r="O34" s="100"/>
      <c r="P34" s="100"/>
      <c r="Q34" s="100"/>
    </row>
    <row r="35" spans="3:17" x14ac:dyDescent="0.3">
      <c r="C35">
        <f>36000</f>
        <v>36000</v>
      </c>
      <c r="I35" s="100"/>
      <c r="J35" s="100"/>
      <c r="K35" s="100"/>
      <c r="L35" s="100"/>
      <c r="M35" s="100"/>
      <c r="N35" s="100"/>
      <c r="O35" s="100"/>
      <c r="P35" s="100"/>
      <c r="Q35" s="100"/>
    </row>
    <row r="36" spans="3:17" x14ac:dyDescent="0.3">
      <c r="C36">
        <v>5280</v>
      </c>
      <c r="I36" s="100"/>
      <c r="J36" s="100"/>
      <c r="K36" s="100"/>
      <c r="L36" s="100"/>
      <c r="M36" s="100"/>
      <c r="N36" s="100"/>
      <c r="O36" s="100"/>
      <c r="P36" s="100"/>
      <c r="Q36" s="100"/>
    </row>
    <row r="37" spans="3:17" x14ac:dyDescent="0.3">
      <c r="C37">
        <v>13970</v>
      </c>
      <c r="I37" s="100"/>
      <c r="J37" s="100"/>
      <c r="K37" s="100"/>
      <c r="L37" s="100"/>
      <c r="M37" s="100"/>
      <c r="N37" s="100"/>
      <c r="O37" s="100"/>
      <c r="P37" s="100"/>
      <c r="Q37" s="100"/>
    </row>
    <row r="38" spans="3:17" x14ac:dyDescent="0.3">
      <c r="C38">
        <v>3500</v>
      </c>
      <c r="I38" s="100"/>
      <c r="J38" s="100"/>
      <c r="K38" s="100"/>
      <c r="L38" s="100"/>
      <c r="M38" s="100"/>
      <c r="N38" s="100"/>
      <c r="O38" s="100"/>
      <c r="P38" s="100"/>
      <c r="Q38" s="100"/>
    </row>
    <row r="39" spans="3:17" x14ac:dyDescent="0.3">
      <c r="C39">
        <f>SUM(C35:C38)</f>
        <v>58750</v>
      </c>
      <c r="E39">
        <f>C34-C39</f>
        <v>15750</v>
      </c>
    </row>
  </sheetData>
  <mergeCells count="20">
    <mergeCell ref="A1:G1"/>
    <mergeCell ref="I1:Q1"/>
    <mergeCell ref="I25:J25"/>
    <mergeCell ref="A25:B25"/>
    <mergeCell ref="I26:J26"/>
    <mergeCell ref="I27:J27"/>
    <mergeCell ref="I28:J28"/>
    <mergeCell ref="I29:J29"/>
    <mergeCell ref="I30:J30"/>
    <mergeCell ref="K27:Q27"/>
    <mergeCell ref="K28:Q28"/>
    <mergeCell ref="K29:Q29"/>
    <mergeCell ref="K30:Q30"/>
    <mergeCell ref="I34:Q38"/>
    <mergeCell ref="I31:J31"/>
    <mergeCell ref="I32:J32"/>
    <mergeCell ref="I33:J33"/>
    <mergeCell ref="K31:Q31"/>
    <mergeCell ref="K32:Q32"/>
    <mergeCell ref="K33:Q33"/>
  </mergeCells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11E3-4F94-471D-9CE1-F9FECB2850C4}">
  <dimension ref="A1:L122"/>
  <sheetViews>
    <sheetView topLeftCell="A82" workbookViewId="0">
      <selection activeCell="L111" sqref="L111"/>
    </sheetView>
  </sheetViews>
  <sheetFormatPr defaultRowHeight="14.4" x14ac:dyDescent="0.3"/>
  <cols>
    <col min="2" max="2" width="10.33203125" bestFit="1" customWidth="1"/>
    <col min="5" max="5" width="9.44140625" bestFit="1" customWidth="1"/>
    <col min="6" max="6" width="9.5546875" bestFit="1" customWidth="1"/>
    <col min="7" max="7" width="11.33203125" bestFit="1" customWidth="1"/>
  </cols>
  <sheetData>
    <row r="1" spans="1:7" ht="17.399999999999999" x14ac:dyDescent="0.3">
      <c r="A1" s="89" t="s">
        <v>146</v>
      </c>
      <c r="B1" s="89"/>
      <c r="C1" s="90" t="s">
        <v>219</v>
      </c>
      <c r="D1" s="90"/>
      <c r="E1" s="90"/>
      <c r="F1" s="90"/>
      <c r="G1" s="90"/>
    </row>
    <row r="2" spans="1:7" x14ac:dyDescent="0.3">
      <c r="A2" s="36" t="s">
        <v>213</v>
      </c>
      <c r="B2" s="36" t="s">
        <v>47</v>
      </c>
      <c r="C2" s="36" t="s">
        <v>214</v>
      </c>
      <c r="D2" s="36" t="s">
        <v>215</v>
      </c>
      <c r="E2" s="36" t="s">
        <v>376</v>
      </c>
      <c r="F2" s="36" t="s">
        <v>377</v>
      </c>
      <c r="G2" s="36" t="s">
        <v>220</v>
      </c>
    </row>
    <row r="3" spans="1:7" x14ac:dyDescent="0.3">
      <c r="A3" s="3">
        <v>22</v>
      </c>
      <c r="B3" s="5">
        <v>46023</v>
      </c>
      <c r="C3" s="3">
        <v>0</v>
      </c>
      <c r="D3" s="3">
        <v>0</v>
      </c>
      <c r="E3" s="3"/>
      <c r="F3" s="3"/>
      <c r="G3" s="7">
        <v>400</v>
      </c>
    </row>
    <row r="4" spans="1:7" x14ac:dyDescent="0.3">
      <c r="A4" s="3">
        <v>23</v>
      </c>
      <c r="B4" s="5">
        <v>46024</v>
      </c>
      <c r="C4" s="3">
        <v>2</v>
      </c>
      <c r="D4" s="3">
        <v>2</v>
      </c>
      <c r="E4" s="3"/>
      <c r="F4" s="3"/>
      <c r="G4" s="7"/>
    </row>
    <row r="5" spans="1:7" x14ac:dyDescent="0.3">
      <c r="A5" s="3">
        <v>24</v>
      </c>
      <c r="B5" s="5">
        <v>46025</v>
      </c>
      <c r="C5" s="3">
        <v>2</v>
      </c>
      <c r="D5" s="3">
        <v>2</v>
      </c>
      <c r="E5" s="3"/>
      <c r="F5" s="3"/>
      <c r="G5" s="7">
        <v>2000</v>
      </c>
    </row>
    <row r="6" spans="1:7" x14ac:dyDescent="0.3">
      <c r="A6" s="3">
        <v>25</v>
      </c>
      <c r="B6" s="5">
        <v>46026</v>
      </c>
      <c r="C6" s="3">
        <v>2</v>
      </c>
      <c r="D6" s="3">
        <v>2</v>
      </c>
      <c r="E6" s="3"/>
      <c r="F6" s="3"/>
      <c r="G6" s="7"/>
    </row>
    <row r="7" spans="1:7" x14ac:dyDescent="0.3">
      <c r="A7" s="3">
        <v>26</v>
      </c>
      <c r="B7" s="5">
        <v>46027</v>
      </c>
      <c r="C7" s="3">
        <v>2</v>
      </c>
      <c r="D7" s="3">
        <v>2</v>
      </c>
      <c r="E7" s="3"/>
      <c r="F7" s="3"/>
      <c r="G7" s="7"/>
    </row>
    <row r="8" spans="1:7" x14ac:dyDescent="0.3">
      <c r="A8" s="3">
        <v>27</v>
      </c>
      <c r="B8" s="5">
        <v>46028</v>
      </c>
      <c r="C8" s="3">
        <v>2</v>
      </c>
      <c r="D8" s="3">
        <v>2</v>
      </c>
      <c r="E8" s="3"/>
      <c r="F8" s="3"/>
      <c r="G8" s="7"/>
    </row>
    <row r="9" spans="1:7" x14ac:dyDescent="0.3">
      <c r="A9" s="3">
        <v>28</v>
      </c>
      <c r="B9" s="5">
        <v>46029</v>
      </c>
      <c r="C9" s="3">
        <v>2</v>
      </c>
      <c r="D9" s="3">
        <v>2</v>
      </c>
      <c r="E9" s="3"/>
      <c r="F9" s="3"/>
      <c r="G9" s="7"/>
    </row>
    <row r="10" spans="1:7" x14ac:dyDescent="0.3">
      <c r="A10" s="3">
        <v>29</v>
      </c>
      <c r="B10" s="5">
        <v>46030</v>
      </c>
      <c r="C10" s="3">
        <v>2</v>
      </c>
      <c r="D10" s="3">
        <v>2</v>
      </c>
      <c r="E10" s="3"/>
      <c r="F10" s="3"/>
      <c r="G10" s="7"/>
    </row>
    <row r="11" spans="1:7" x14ac:dyDescent="0.3">
      <c r="A11" s="3">
        <v>30</v>
      </c>
      <c r="B11" s="5">
        <v>46031</v>
      </c>
      <c r="C11" s="3">
        <v>2</v>
      </c>
      <c r="D11" s="3">
        <v>2</v>
      </c>
      <c r="E11" s="3"/>
      <c r="F11" s="3"/>
      <c r="G11" s="7"/>
    </row>
    <row r="12" spans="1:7" x14ac:dyDescent="0.3">
      <c r="A12" s="3">
        <v>31</v>
      </c>
      <c r="B12" s="5">
        <v>46032</v>
      </c>
      <c r="C12" s="3">
        <v>2</v>
      </c>
      <c r="D12" s="3">
        <v>2</v>
      </c>
      <c r="E12" s="3"/>
      <c r="F12" s="3"/>
      <c r="G12" s="7"/>
    </row>
    <row r="13" spans="1:7" x14ac:dyDescent="0.3">
      <c r="A13" s="3">
        <v>32</v>
      </c>
      <c r="B13" s="5">
        <v>46033</v>
      </c>
      <c r="C13" s="3">
        <v>0</v>
      </c>
      <c r="D13" s="3">
        <v>0</v>
      </c>
      <c r="E13" s="3"/>
      <c r="F13" s="3"/>
      <c r="G13" s="7">
        <v>1000</v>
      </c>
    </row>
    <row r="14" spans="1:7" x14ac:dyDescent="0.3">
      <c r="A14" s="3">
        <v>33</v>
      </c>
      <c r="B14" s="5">
        <v>46034</v>
      </c>
      <c r="C14" s="3">
        <v>2</v>
      </c>
      <c r="D14" s="3">
        <v>2</v>
      </c>
      <c r="E14" s="3"/>
      <c r="F14" s="3"/>
      <c r="G14" s="7"/>
    </row>
    <row r="15" spans="1:7" x14ac:dyDescent="0.3">
      <c r="A15" s="3">
        <v>34</v>
      </c>
      <c r="B15" s="5">
        <v>46035</v>
      </c>
      <c r="C15" s="3">
        <v>2</v>
      </c>
      <c r="D15" s="3">
        <v>2</v>
      </c>
      <c r="E15" s="3"/>
      <c r="F15" s="3"/>
      <c r="G15" s="7"/>
    </row>
    <row r="16" spans="1:7" x14ac:dyDescent="0.3">
      <c r="A16" s="3">
        <v>35</v>
      </c>
      <c r="B16" s="5">
        <v>46036</v>
      </c>
      <c r="C16" s="3">
        <v>2</v>
      </c>
      <c r="D16" s="3">
        <v>2</v>
      </c>
      <c r="E16" s="3"/>
      <c r="F16" s="3"/>
      <c r="G16" s="7"/>
    </row>
    <row r="17" spans="1:7" x14ac:dyDescent="0.3">
      <c r="A17" s="3">
        <v>36</v>
      </c>
      <c r="B17" s="5">
        <v>46037</v>
      </c>
      <c r="C17" s="3">
        <v>2</v>
      </c>
      <c r="D17" s="3">
        <v>2</v>
      </c>
      <c r="E17" s="3"/>
      <c r="F17" s="3"/>
      <c r="G17" s="7"/>
    </row>
    <row r="18" spans="1:7" x14ac:dyDescent="0.3">
      <c r="A18" s="3">
        <v>37</v>
      </c>
      <c r="B18" s="5">
        <v>46038</v>
      </c>
      <c r="C18" s="3">
        <v>2</v>
      </c>
      <c r="D18" s="3">
        <v>2</v>
      </c>
      <c r="E18" s="3"/>
      <c r="F18" s="3"/>
      <c r="G18" s="7">
        <v>1000</v>
      </c>
    </row>
    <row r="19" spans="1:7" x14ac:dyDescent="0.3">
      <c r="A19" s="3">
        <v>38</v>
      </c>
      <c r="B19" s="5">
        <v>46039</v>
      </c>
      <c r="C19" s="3">
        <v>2</v>
      </c>
      <c r="D19" s="3">
        <v>2</v>
      </c>
      <c r="E19" s="3"/>
      <c r="F19" s="3"/>
      <c r="G19" s="7"/>
    </row>
    <row r="20" spans="1:7" x14ac:dyDescent="0.3">
      <c r="A20" s="3">
        <v>39</v>
      </c>
      <c r="B20" s="5">
        <v>46040</v>
      </c>
      <c r="C20" s="3">
        <v>2</v>
      </c>
      <c r="D20" s="3">
        <v>2</v>
      </c>
      <c r="E20" s="3"/>
      <c r="F20" s="3"/>
      <c r="G20" s="7"/>
    </row>
    <row r="21" spans="1:7" x14ac:dyDescent="0.3">
      <c r="A21" s="3">
        <v>40</v>
      </c>
      <c r="B21" s="5">
        <v>46041</v>
      </c>
      <c r="C21" s="3">
        <v>2</v>
      </c>
      <c r="D21" s="3">
        <v>2</v>
      </c>
      <c r="E21" s="3"/>
      <c r="F21" s="3"/>
      <c r="G21" s="7"/>
    </row>
    <row r="22" spans="1:7" x14ac:dyDescent="0.3">
      <c r="A22" s="3">
        <v>41</v>
      </c>
      <c r="B22" s="5">
        <v>46042</v>
      </c>
      <c r="C22" s="3">
        <v>2</v>
      </c>
      <c r="D22" s="3">
        <v>2</v>
      </c>
      <c r="E22" s="3"/>
      <c r="F22" s="3"/>
      <c r="G22" s="7"/>
    </row>
    <row r="23" spans="1:7" x14ac:dyDescent="0.3">
      <c r="A23" s="3">
        <v>42</v>
      </c>
      <c r="B23" s="5">
        <v>46043</v>
      </c>
      <c r="C23" s="3">
        <v>2</v>
      </c>
      <c r="D23" s="3">
        <v>2</v>
      </c>
      <c r="E23" s="3"/>
      <c r="F23" s="3"/>
      <c r="G23" s="7">
        <v>2000</v>
      </c>
    </row>
    <row r="24" spans="1:7" x14ac:dyDescent="0.3">
      <c r="A24" s="3">
        <v>43</v>
      </c>
      <c r="B24" s="5">
        <v>46044</v>
      </c>
      <c r="C24" s="3">
        <v>2</v>
      </c>
      <c r="D24" s="3">
        <v>2</v>
      </c>
      <c r="E24" s="3"/>
      <c r="F24" s="3"/>
      <c r="G24" s="7"/>
    </row>
    <row r="25" spans="1:7" x14ac:dyDescent="0.3">
      <c r="A25" s="3">
        <v>44</v>
      </c>
      <c r="B25" s="5">
        <v>46045</v>
      </c>
      <c r="C25" s="3">
        <v>2</v>
      </c>
      <c r="D25" s="3">
        <v>2</v>
      </c>
      <c r="E25" s="3"/>
      <c r="F25" s="3"/>
      <c r="G25" s="7"/>
    </row>
    <row r="26" spans="1:7" x14ac:dyDescent="0.3">
      <c r="A26" s="3">
        <v>45</v>
      </c>
      <c r="B26" s="5">
        <v>46046</v>
      </c>
      <c r="C26" s="3">
        <v>2</v>
      </c>
      <c r="D26" s="3">
        <v>2</v>
      </c>
      <c r="E26" s="3"/>
      <c r="F26" s="3"/>
      <c r="G26" s="7"/>
    </row>
    <row r="27" spans="1:7" x14ac:dyDescent="0.3">
      <c r="A27" s="3">
        <v>46</v>
      </c>
      <c r="B27" s="5">
        <v>46047</v>
      </c>
      <c r="C27" s="3">
        <v>1</v>
      </c>
      <c r="D27" s="3">
        <v>2</v>
      </c>
      <c r="E27" s="3"/>
      <c r="F27" s="3"/>
      <c r="G27" s="7"/>
    </row>
    <row r="28" spans="1:7" x14ac:dyDescent="0.3">
      <c r="A28" s="3">
        <v>47</v>
      </c>
      <c r="B28" s="5">
        <v>46048</v>
      </c>
      <c r="C28" s="3">
        <v>0</v>
      </c>
      <c r="D28" s="3">
        <v>0</v>
      </c>
      <c r="E28" s="3"/>
      <c r="F28" s="3"/>
      <c r="G28" s="7"/>
    </row>
    <row r="29" spans="1:7" x14ac:dyDescent="0.3">
      <c r="A29" s="3">
        <v>48</v>
      </c>
      <c r="B29" s="5">
        <v>46049</v>
      </c>
      <c r="C29" s="3">
        <v>2</v>
      </c>
      <c r="D29" s="3">
        <v>2</v>
      </c>
      <c r="E29" s="3"/>
      <c r="F29" s="3"/>
      <c r="G29" s="4"/>
    </row>
    <row r="30" spans="1:7" x14ac:dyDescent="0.3">
      <c r="A30" s="3">
        <v>49</v>
      </c>
      <c r="B30" s="5">
        <v>46050</v>
      </c>
      <c r="C30" s="3">
        <v>2</v>
      </c>
      <c r="D30" s="3">
        <v>2</v>
      </c>
      <c r="E30" s="3"/>
      <c r="F30" s="3"/>
      <c r="G30" s="4"/>
    </row>
    <row r="31" spans="1:7" x14ac:dyDescent="0.3">
      <c r="A31" s="3">
        <v>50</v>
      </c>
      <c r="B31" s="5">
        <v>46051</v>
      </c>
      <c r="C31" s="3">
        <v>2</v>
      </c>
      <c r="D31" s="3">
        <v>2</v>
      </c>
      <c r="E31" s="3"/>
      <c r="F31" s="3"/>
      <c r="G31" s="7">
        <v>2000</v>
      </c>
    </row>
    <row r="32" spans="1:7" x14ac:dyDescent="0.3">
      <c r="A32" s="3">
        <v>51</v>
      </c>
      <c r="B32" s="5">
        <v>46052</v>
      </c>
      <c r="C32" s="3">
        <v>2</v>
      </c>
      <c r="D32" s="3">
        <v>2</v>
      </c>
      <c r="E32" s="3"/>
      <c r="F32" s="3"/>
      <c r="G32" s="7"/>
    </row>
    <row r="33" spans="1:7" x14ac:dyDescent="0.3">
      <c r="A33" s="3">
        <v>52</v>
      </c>
      <c r="B33" s="5">
        <v>46053</v>
      </c>
      <c r="C33" s="3">
        <v>2</v>
      </c>
      <c r="D33" s="3">
        <v>2</v>
      </c>
      <c r="E33" s="3"/>
      <c r="F33" s="3"/>
      <c r="G33" s="7"/>
    </row>
    <row r="34" spans="1:7" x14ac:dyDescent="0.3">
      <c r="A34" s="3">
        <v>53</v>
      </c>
      <c r="B34" s="5">
        <v>46054</v>
      </c>
      <c r="C34" s="3">
        <v>1</v>
      </c>
      <c r="D34" s="3">
        <v>1</v>
      </c>
      <c r="E34" s="3"/>
      <c r="F34" s="3"/>
      <c r="G34" s="11">
        <v>2000</v>
      </c>
    </row>
    <row r="35" spans="1:7" x14ac:dyDescent="0.3">
      <c r="A35" s="3">
        <v>54</v>
      </c>
      <c r="B35" s="5">
        <v>46055</v>
      </c>
      <c r="C35" s="3">
        <v>1</v>
      </c>
      <c r="D35" s="3">
        <v>1</v>
      </c>
      <c r="E35" s="3"/>
      <c r="F35" s="3"/>
      <c r="G35" s="3"/>
    </row>
    <row r="36" spans="1:7" x14ac:dyDescent="0.3">
      <c r="A36" s="3">
        <v>55</v>
      </c>
      <c r="B36" s="5">
        <v>46056</v>
      </c>
      <c r="C36" s="3">
        <v>1</v>
      </c>
      <c r="D36" s="3">
        <v>1</v>
      </c>
      <c r="E36" s="3"/>
      <c r="F36" s="3"/>
      <c r="G36" s="3"/>
    </row>
    <row r="37" spans="1:7" x14ac:dyDescent="0.3">
      <c r="A37" s="3">
        <v>56</v>
      </c>
      <c r="B37" s="5">
        <v>46057</v>
      </c>
      <c r="C37" s="3">
        <v>1</v>
      </c>
      <c r="D37" s="3">
        <v>1</v>
      </c>
      <c r="E37" s="3"/>
      <c r="F37" s="3"/>
      <c r="G37" s="3"/>
    </row>
    <row r="38" spans="1:7" x14ac:dyDescent="0.3">
      <c r="A38" s="3">
        <v>57</v>
      </c>
      <c r="B38" s="5">
        <v>46058</v>
      </c>
      <c r="C38" s="3">
        <v>1</v>
      </c>
      <c r="D38" s="3">
        <v>1</v>
      </c>
      <c r="E38" s="3"/>
      <c r="F38" s="3"/>
      <c r="G38" s="3"/>
    </row>
    <row r="39" spans="1:7" x14ac:dyDescent="0.3">
      <c r="A39" s="3">
        <v>58</v>
      </c>
      <c r="B39" s="5">
        <v>46059</v>
      </c>
      <c r="C39" s="3">
        <v>1</v>
      </c>
      <c r="D39" s="3">
        <v>1</v>
      </c>
      <c r="E39" s="3"/>
      <c r="F39" s="3"/>
      <c r="G39" s="3"/>
    </row>
    <row r="40" spans="1:7" x14ac:dyDescent="0.3">
      <c r="A40" s="3">
        <v>59</v>
      </c>
      <c r="B40" s="5">
        <v>46060</v>
      </c>
      <c r="C40" s="3">
        <v>1</v>
      </c>
      <c r="D40" s="3">
        <v>1</v>
      </c>
      <c r="E40" s="3"/>
      <c r="F40" s="3"/>
      <c r="G40" s="3"/>
    </row>
    <row r="41" spans="1:7" x14ac:dyDescent="0.3">
      <c r="A41" s="3">
        <v>60</v>
      </c>
      <c r="B41" s="5">
        <v>46061</v>
      </c>
      <c r="C41" s="3">
        <v>1</v>
      </c>
      <c r="D41" s="3">
        <v>1</v>
      </c>
      <c r="E41" s="3"/>
      <c r="F41" s="3"/>
      <c r="G41" s="11">
        <v>1000</v>
      </c>
    </row>
    <row r="42" spans="1:7" x14ac:dyDescent="0.3">
      <c r="A42" s="3">
        <v>61</v>
      </c>
      <c r="B42" s="5">
        <v>46062</v>
      </c>
      <c r="C42" s="3">
        <v>1</v>
      </c>
      <c r="D42" s="3">
        <v>1</v>
      </c>
      <c r="E42" s="3"/>
      <c r="F42" s="3"/>
      <c r="G42" s="3"/>
    </row>
    <row r="43" spans="1:7" x14ac:dyDescent="0.3">
      <c r="A43" s="3">
        <v>62</v>
      </c>
      <c r="B43" s="5">
        <v>46063</v>
      </c>
      <c r="C43" s="3">
        <v>1</v>
      </c>
      <c r="D43" s="3">
        <v>1</v>
      </c>
      <c r="E43" s="3"/>
      <c r="F43" s="3"/>
      <c r="G43" s="3"/>
    </row>
    <row r="44" spans="1:7" x14ac:dyDescent="0.3">
      <c r="A44" s="3">
        <v>63</v>
      </c>
      <c r="B44" s="5">
        <v>46064</v>
      </c>
      <c r="C44" s="3">
        <v>1</v>
      </c>
      <c r="D44" s="3">
        <v>1</v>
      </c>
      <c r="E44" s="3"/>
      <c r="F44" s="3"/>
      <c r="G44" s="3"/>
    </row>
    <row r="45" spans="1:7" x14ac:dyDescent="0.3">
      <c r="A45" s="3">
        <v>64</v>
      </c>
      <c r="B45" s="5">
        <v>46065</v>
      </c>
      <c r="C45" s="3">
        <v>1</v>
      </c>
      <c r="D45" s="3">
        <v>1</v>
      </c>
      <c r="E45" s="3"/>
      <c r="F45" s="3"/>
      <c r="G45" s="3"/>
    </row>
    <row r="46" spans="1:7" x14ac:dyDescent="0.3">
      <c r="A46" s="3">
        <v>65</v>
      </c>
      <c r="B46" s="5">
        <v>46066</v>
      </c>
      <c r="C46" s="3">
        <v>1</v>
      </c>
      <c r="D46" s="3">
        <v>1</v>
      </c>
      <c r="E46" s="3"/>
      <c r="F46" s="3"/>
      <c r="G46" s="3"/>
    </row>
    <row r="47" spans="1:7" x14ac:dyDescent="0.3">
      <c r="A47" s="3">
        <v>66</v>
      </c>
      <c r="B47" s="5">
        <v>46067</v>
      </c>
      <c r="C47" s="3">
        <v>1</v>
      </c>
      <c r="D47" s="3">
        <v>1</v>
      </c>
      <c r="E47" s="3"/>
      <c r="F47" s="3"/>
      <c r="G47" s="3"/>
    </row>
    <row r="48" spans="1:7" x14ac:dyDescent="0.3">
      <c r="A48" s="3">
        <v>67</v>
      </c>
      <c r="B48" s="5">
        <v>46068</v>
      </c>
      <c r="C48" s="3"/>
      <c r="D48" s="3"/>
      <c r="E48" s="3"/>
      <c r="F48" s="3"/>
      <c r="G48" s="3">
        <v>1000</v>
      </c>
    </row>
    <row r="49" spans="1:7" x14ac:dyDescent="0.3">
      <c r="A49" s="3">
        <v>68</v>
      </c>
      <c r="B49" s="5">
        <v>46069</v>
      </c>
      <c r="C49" s="3">
        <v>1</v>
      </c>
      <c r="D49" s="3">
        <v>1</v>
      </c>
      <c r="E49" s="3"/>
      <c r="F49" s="3"/>
      <c r="G49" s="3"/>
    </row>
    <row r="50" spans="1:7" x14ac:dyDescent="0.3">
      <c r="A50" s="3">
        <v>69</v>
      </c>
      <c r="B50" s="5">
        <v>46070</v>
      </c>
      <c r="C50" s="3">
        <v>1</v>
      </c>
      <c r="D50" s="3">
        <v>1</v>
      </c>
      <c r="E50" s="3"/>
      <c r="F50" s="3"/>
      <c r="G50" s="3"/>
    </row>
    <row r="51" spans="1:7" x14ac:dyDescent="0.3">
      <c r="A51" s="3">
        <v>70</v>
      </c>
      <c r="B51" s="5">
        <v>46071</v>
      </c>
      <c r="C51" s="3">
        <v>1</v>
      </c>
      <c r="D51" s="3">
        <v>1</v>
      </c>
      <c r="E51" s="3">
        <v>1</v>
      </c>
      <c r="F51" s="3">
        <v>1</v>
      </c>
      <c r="G51" s="3">
        <v>2000</v>
      </c>
    </row>
    <row r="52" spans="1:7" x14ac:dyDescent="0.3">
      <c r="A52" s="3">
        <v>71</v>
      </c>
      <c r="B52" s="5">
        <v>46072</v>
      </c>
      <c r="C52" s="3">
        <v>1</v>
      </c>
      <c r="D52" s="3"/>
      <c r="E52" s="3">
        <v>1</v>
      </c>
      <c r="F52" s="3">
        <v>2</v>
      </c>
      <c r="G52" s="3"/>
    </row>
    <row r="53" spans="1:7" x14ac:dyDescent="0.3">
      <c r="A53" s="3">
        <v>72</v>
      </c>
      <c r="B53" s="5">
        <v>46073</v>
      </c>
      <c r="C53" s="3">
        <v>1</v>
      </c>
      <c r="D53" s="3"/>
      <c r="E53" s="3">
        <v>2</v>
      </c>
      <c r="F53" s="3">
        <v>2</v>
      </c>
      <c r="G53" s="3"/>
    </row>
    <row r="54" spans="1:7" x14ac:dyDescent="0.3">
      <c r="A54" s="3">
        <v>73</v>
      </c>
      <c r="B54" s="5">
        <v>46074</v>
      </c>
      <c r="C54" s="3">
        <v>1</v>
      </c>
      <c r="D54" s="3"/>
      <c r="E54" s="3">
        <v>2</v>
      </c>
      <c r="F54" s="3">
        <v>2</v>
      </c>
      <c r="G54" s="3"/>
    </row>
    <row r="55" spans="1:7" x14ac:dyDescent="0.3">
      <c r="A55" s="3">
        <v>74</v>
      </c>
      <c r="B55" s="5">
        <v>46075</v>
      </c>
      <c r="C55" s="3">
        <v>1</v>
      </c>
      <c r="D55" s="3"/>
      <c r="E55" s="3">
        <v>1</v>
      </c>
      <c r="F55" s="3">
        <v>1</v>
      </c>
      <c r="G55" s="3">
        <v>500</v>
      </c>
    </row>
    <row r="56" spans="1:7" x14ac:dyDescent="0.3">
      <c r="A56" s="3">
        <v>75</v>
      </c>
      <c r="B56" s="5">
        <v>46076</v>
      </c>
      <c r="C56" s="3">
        <v>1</v>
      </c>
      <c r="D56" s="3"/>
      <c r="E56" s="3">
        <v>4</v>
      </c>
      <c r="F56" s="3">
        <v>4</v>
      </c>
      <c r="G56" s="3"/>
    </row>
    <row r="57" spans="1:7" x14ac:dyDescent="0.3">
      <c r="A57" s="3">
        <v>76</v>
      </c>
      <c r="B57" s="5">
        <v>46077</v>
      </c>
      <c r="C57" s="3" t="s">
        <v>239</v>
      </c>
      <c r="D57" s="3"/>
      <c r="E57" s="3"/>
      <c r="F57" s="3"/>
      <c r="G57" s="3"/>
    </row>
    <row r="58" spans="1:7" x14ac:dyDescent="0.3">
      <c r="A58" s="3">
        <v>77</v>
      </c>
      <c r="B58" s="5">
        <v>46078</v>
      </c>
      <c r="C58" s="3" t="s">
        <v>239</v>
      </c>
      <c r="D58" s="3"/>
      <c r="E58" s="3"/>
      <c r="F58" s="3"/>
      <c r="G58" s="3"/>
    </row>
    <row r="59" spans="1:7" x14ac:dyDescent="0.3">
      <c r="A59" s="3">
        <v>78</v>
      </c>
      <c r="B59" s="5">
        <v>46079</v>
      </c>
      <c r="C59" s="3">
        <v>1</v>
      </c>
      <c r="D59" s="3"/>
      <c r="E59" s="3"/>
      <c r="F59" s="3"/>
      <c r="G59" s="3"/>
    </row>
    <row r="60" spans="1:7" x14ac:dyDescent="0.3">
      <c r="A60" s="3">
        <v>79</v>
      </c>
      <c r="B60" s="5">
        <v>46080</v>
      </c>
      <c r="C60" s="3">
        <v>1</v>
      </c>
      <c r="D60" s="3"/>
      <c r="E60" s="3"/>
      <c r="F60" s="3"/>
      <c r="G60" s="3"/>
    </row>
    <row r="61" spans="1:7" x14ac:dyDescent="0.3">
      <c r="A61" s="3">
        <v>80</v>
      </c>
      <c r="B61" s="5">
        <v>46081</v>
      </c>
      <c r="C61" s="3">
        <v>1</v>
      </c>
      <c r="D61" s="3"/>
      <c r="E61" s="3"/>
      <c r="F61" s="3"/>
      <c r="G61" s="3"/>
    </row>
    <row r="62" spans="1:7" x14ac:dyDescent="0.3">
      <c r="A62" s="3">
        <v>81</v>
      </c>
      <c r="B62" s="5">
        <v>46082</v>
      </c>
      <c r="C62" s="3">
        <v>1</v>
      </c>
      <c r="D62" s="3"/>
      <c r="E62" s="3"/>
      <c r="F62" s="3"/>
      <c r="G62" s="3"/>
    </row>
    <row r="63" spans="1:7" x14ac:dyDescent="0.3">
      <c r="A63" s="3">
        <v>82</v>
      </c>
      <c r="B63" s="5">
        <v>46083</v>
      </c>
      <c r="C63" s="3">
        <v>1</v>
      </c>
      <c r="D63" s="3"/>
      <c r="E63" s="3">
        <v>1</v>
      </c>
      <c r="F63" s="3"/>
      <c r="G63" s="3"/>
    </row>
    <row r="64" spans="1:7" x14ac:dyDescent="0.3">
      <c r="A64" s="3">
        <v>83</v>
      </c>
      <c r="B64" s="5">
        <v>46084</v>
      </c>
      <c r="C64" s="3" t="s">
        <v>302</v>
      </c>
      <c r="D64" s="3"/>
      <c r="E64" s="3"/>
      <c r="F64" s="3"/>
      <c r="G64" s="3"/>
    </row>
    <row r="65" spans="1:7" x14ac:dyDescent="0.3">
      <c r="A65" s="3">
        <v>84</v>
      </c>
      <c r="B65" s="5">
        <v>46085</v>
      </c>
      <c r="C65" s="3">
        <v>0.5</v>
      </c>
      <c r="D65" s="3"/>
      <c r="E65" s="3"/>
      <c r="F65" s="3"/>
      <c r="G65" s="3"/>
    </row>
    <row r="66" spans="1:7" x14ac:dyDescent="0.3">
      <c r="A66" s="3">
        <v>85</v>
      </c>
      <c r="B66" s="5">
        <v>46086</v>
      </c>
      <c r="C66" s="3">
        <v>1</v>
      </c>
      <c r="D66" s="3"/>
      <c r="E66" s="3"/>
      <c r="F66" s="3"/>
      <c r="G66" s="3"/>
    </row>
    <row r="67" spans="1:7" x14ac:dyDescent="0.3">
      <c r="A67" s="3">
        <v>86</v>
      </c>
      <c r="B67" s="5">
        <v>46087</v>
      </c>
      <c r="C67" s="3">
        <v>1</v>
      </c>
      <c r="D67" s="3"/>
      <c r="E67" s="3"/>
      <c r="F67" s="3"/>
      <c r="G67" s="3"/>
    </row>
    <row r="68" spans="1:7" x14ac:dyDescent="0.3">
      <c r="A68" s="3">
        <v>87</v>
      </c>
      <c r="B68" s="5">
        <v>46088</v>
      </c>
      <c r="C68" s="3">
        <v>1</v>
      </c>
      <c r="D68" s="3"/>
      <c r="E68" s="3">
        <v>2.5</v>
      </c>
      <c r="F68" s="3"/>
      <c r="G68" s="3"/>
    </row>
    <row r="69" spans="1:7" x14ac:dyDescent="0.3">
      <c r="A69" s="3">
        <v>88</v>
      </c>
      <c r="B69" s="5">
        <v>46089</v>
      </c>
      <c r="C69" s="3">
        <v>1</v>
      </c>
      <c r="D69" s="3"/>
      <c r="E69" s="3"/>
      <c r="F69" s="3"/>
      <c r="G69" s="3"/>
    </row>
    <row r="70" spans="1:7" x14ac:dyDescent="0.3">
      <c r="A70" s="3">
        <v>89</v>
      </c>
      <c r="B70" s="5">
        <v>46090</v>
      </c>
      <c r="C70" s="3" t="s">
        <v>302</v>
      </c>
      <c r="D70" s="3"/>
      <c r="E70" s="3"/>
      <c r="F70" s="3"/>
      <c r="G70" s="3"/>
    </row>
    <row r="71" spans="1:7" x14ac:dyDescent="0.3">
      <c r="A71" s="3">
        <v>90</v>
      </c>
      <c r="B71" s="5">
        <v>46091</v>
      </c>
      <c r="C71" s="3">
        <v>1</v>
      </c>
      <c r="D71" s="3"/>
      <c r="E71" s="3"/>
      <c r="F71" s="3"/>
      <c r="G71" s="3"/>
    </row>
    <row r="72" spans="1:7" x14ac:dyDescent="0.3">
      <c r="A72" s="3">
        <v>91</v>
      </c>
      <c r="B72" s="5">
        <v>46092</v>
      </c>
      <c r="C72" s="3">
        <v>1</v>
      </c>
      <c r="D72" s="3"/>
      <c r="E72" s="3"/>
      <c r="F72" s="3"/>
      <c r="G72" s="3"/>
    </row>
    <row r="73" spans="1:7" x14ac:dyDescent="0.3">
      <c r="A73" s="3">
        <v>92</v>
      </c>
      <c r="B73" s="5">
        <v>46093</v>
      </c>
      <c r="C73" s="3">
        <v>1</v>
      </c>
      <c r="D73" s="3"/>
      <c r="E73" s="3"/>
      <c r="F73" s="3"/>
      <c r="G73" s="3"/>
    </row>
    <row r="74" spans="1:7" x14ac:dyDescent="0.3">
      <c r="A74" s="3">
        <v>93</v>
      </c>
      <c r="B74" s="5">
        <v>46094</v>
      </c>
      <c r="C74" s="3">
        <v>1</v>
      </c>
      <c r="D74" s="3"/>
      <c r="E74" s="3"/>
      <c r="F74" s="3"/>
      <c r="G74" s="3"/>
    </row>
    <row r="75" spans="1:7" x14ac:dyDescent="0.3">
      <c r="A75" s="3">
        <v>94</v>
      </c>
      <c r="B75" s="5">
        <v>46095</v>
      </c>
      <c r="C75" s="3">
        <v>1</v>
      </c>
      <c r="D75" s="3"/>
      <c r="E75" s="3"/>
      <c r="F75" s="3"/>
      <c r="G75" s="3"/>
    </row>
    <row r="76" spans="1:7" x14ac:dyDescent="0.3">
      <c r="A76" s="3">
        <v>95</v>
      </c>
      <c r="B76" s="5">
        <v>46096</v>
      </c>
      <c r="C76" s="3" t="s">
        <v>302</v>
      </c>
      <c r="D76" s="3"/>
      <c r="E76" s="3"/>
      <c r="F76" s="3"/>
      <c r="G76" s="3"/>
    </row>
    <row r="77" spans="1:7" x14ac:dyDescent="0.3">
      <c r="A77" s="3">
        <v>96</v>
      </c>
      <c r="B77" s="5">
        <v>46097</v>
      </c>
      <c r="C77" s="3">
        <v>1</v>
      </c>
      <c r="D77" s="3"/>
      <c r="E77" s="3">
        <v>2</v>
      </c>
      <c r="F77" s="3"/>
      <c r="G77" s="3"/>
    </row>
    <row r="78" spans="1:7" x14ac:dyDescent="0.3">
      <c r="A78" s="3">
        <v>97</v>
      </c>
      <c r="B78" s="5">
        <v>46098</v>
      </c>
      <c r="C78" s="3">
        <v>0.5</v>
      </c>
      <c r="D78" s="3"/>
      <c r="E78" s="3"/>
      <c r="F78" s="3"/>
      <c r="G78" s="3"/>
    </row>
    <row r="79" spans="1:7" x14ac:dyDescent="0.3">
      <c r="A79" s="3">
        <v>98</v>
      </c>
      <c r="B79" s="5">
        <v>46099</v>
      </c>
      <c r="C79" s="3">
        <v>1</v>
      </c>
      <c r="D79" s="3"/>
      <c r="E79" s="3"/>
      <c r="F79" s="3"/>
      <c r="G79" s="3"/>
    </row>
    <row r="80" spans="1:7" x14ac:dyDescent="0.3">
      <c r="A80" s="3">
        <v>99</v>
      </c>
      <c r="B80" s="5">
        <v>46100</v>
      </c>
      <c r="C80" s="3">
        <v>0.5</v>
      </c>
      <c r="D80" s="3"/>
      <c r="E80" s="3"/>
      <c r="F80" s="3"/>
      <c r="G80" s="3"/>
    </row>
    <row r="81" spans="1:7" x14ac:dyDescent="0.3">
      <c r="A81" s="3">
        <v>100</v>
      </c>
      <c r="B81" s="5">
        <v>46101</v>
      </c>
      <c r="C81" s="3">
        <v>1</v>
      </c>
      <c r="D81" s="3"/>
      <c r="E81" s="3"/>
      <c r="F81" s="3"/>
      <c r="G81" s="3"/>
    </row>
    <row r="82" spans="1:7" x14ac:dyDescent="0.3">
      <c r="A82" s="3">
        <v>101</v>
      </c>
      <c r="B82" s="5">
        <v>46102</v>
      </c>
      <c r="C82" s="3">
        <v>1</v>
      </c>
      <c r="D82" s="3"/>
      <c r="E82" s="3"/>
      <c r="F82" s="3"/>
      <c r="G82" s="3"/>
    </row>
    <row r="83" spans="1:7" x14ac:dyDescent="0.3">
      <c r="A83" s="3">
        <v>102</v>
      </c>
      <c r="B83" s="5">
        <v>46103</v>
      </c>
      <c r="C83" s="3">
        <v>0.5</v>
      </c>
      <c r="D83" s="3"/>
      <c r="E83" s="3"/>
      <c r="F83" s="3"/>
      <c r="G83" s="3"/>
    </row>
    <row r="84" spans="1:7" x14ac:dyDescent="0.3">
      <c r="A84" s="3">
        <v>103</v>
      </c>
      <c r="B84" s="5">
        <v>46104</v>
      </c>
      <c r="C84" s="3">
        <v>1</v>
      </c>
      <c r="D84" s="3"/>
      <c r="E84" s="3"/>
      <c r="F84" s="3"/>
      <c r="G84" s="3"/>
    </row>
    <row r="85" spans="1:7" x14ac:dyDescent="0.3">
      <c r="A85" s="3">
        <v>104</v>
      </c>
      <c r="B85" s="5">
        <v>46105</v>
      </c>
      <c r="C85" s="3">
        <v>1</v>
      </c>
      <c r="D85" s="3"/>
      <c r="E85" s="3"/>
      <c r="F85" s="3"/>
      <c r="G85" s="3"/>
    </row>
    <row r="86" spans="1:7" x14ac:dyDescent="0.3">
      <c r="A86" s="3">
        <v>105</v>
      </c>
      <c r="B86" s="5">
        <v>46106</v>
      </c>
      <c r="C86" s="3">
        <v>1</v>
      </c>
      <c r="D86" s="3"/>
      <c r="E86" s="3">
        <v>4</v>
      </c>
      <c r="F86" s="3"/>
      <c r="G86" s="3"/>
    </row>
    <row r="87" spans="1:7" x14ac:dyDescent="0.3">
      <c r="A87" s="3">
        <v>106</v>
      </c>
      <c r="B87" s="5">
        <v>46107</v>
      </c>
      <c r="C87" s="3">
        <v>1</v>
      </c>
      <c r="D87" s="3"/>
      <c r="E87" s="3">
        <v>3</v>
      </c>
      <c r="F87" s="3"/>
      <c r="G87" s="3"/>
    </row>
    <row r="88" spans="1:7" x14ac:dyDescent="0.3">
      <c r="A88" s="3">
        <v>107</v>
      </c>
      <c r="B88" s="5">
        <v>46108</v>
      </c>
      <c r="C88" s="3">
        <v>1</v>
      </c>
      <c r="D88" s="3"/>
      <c r="E88" s="3">
        <v>2</v>
      </c>
      <c r="F88" s="3"/>
      <c r="G88" s="3"/>
    </row>
    <row r="89" spans="1:7" x14ac:dyDescent="0.3">
      <c r="A89" s="3">
        <v>108</v>
      </c>
      <c r="B89" s="5">
        <v>46109</v>
      </c>
      <c r="C89" s="3" t="s">
        <v>302</v>
      </c>
      <c r="D89" s="3"/>
      <c r="E89" s="3"/>
      <c r="F89" s="3"/>
      <c r="G89" s="3"/>
    </row>
    <row r="90" spans="1:7" x14ac:dyDescent="0.3">
      <c r="A90" s="3">
        <v>109</v>
      </c>
      <c r="B90" s="5">
        <v>46110</v>
      </c>
      <c r="C90" s="3">
        <v>0.5</v>
      </c>
      <c r="D90" s="3"/>
      <c r="E90" s="3"/>
      <c r="F90" s="3"/>
      <c r="G90" s="3"/>
    </row>
    <row r="91" spans="1:7" x14ac:dyDescent="0.3">
      <c r="A91" s="3">
        <v>110</v>
      </c>
      <c r="B91" s="5">
        <v>46111</v>
      </c>
      <c r="C91" s="3">
        <v>0.5</v>
      </c>
      <c r="D91" s="3"/>
      <c r="E91" s="3"/>
      <c r="F91" s="3"/>
      <c r="G91" s="3"/>
    </row>
    <row r="92" spans="1:7" x14ac:dyDescent="0.3">
      <c r="A92" s="3">
        <v>111</v>
      </c>
      <c r="B92" s="5">
        <v>46112</v>
      </c>
      <c r="C92" s="3">
        <v>1</v>
      </c>
      <c r="D92" s="3"/>
      <c r="E92" s="3"/>
      <c r="F92" s="3"/>
      <c r="G92" s="3"/>
    </row>
    <row r="93" spans="1:7" x14ac:dyDescent="0.3">
      <c r="A93" s="3">
        <v>112</v>
      </c>
      <c r="B93" s="5">
        <v>46113</v>
      </c>
      <c r="C93" s="3">
        <v>1</v>
      </c>
      <c r="D93" s="3"/>
      <c r="E93" s="3"/>
      <c r="F93" s="3"/>
      <c r="G93" s="3"/>
    </row>
    <row r="94" spans="1:7" x14ac:dyDescent="0.3">
      <c r="A94" s="3">
        <v>113</v>
      </c>
      <c r="B94" s="5">
        <v>46114</v>
      </c>
      <c r="C94" s="3">
        <v>1</v>
      </c>
      <c r="D94" s="3"/>
      <c r="E94" s="3"/>
      <c r="F94" s="3"/>
      <c r="G94" s="3"/>
    </row>
    <row r="95" spans="1:7" x14ac:dyDescent="0.3">
      <c r="A95" s="3">
        <v>114</v>
      </c>
      <c r="B95" s="5">
        <v>46115</v>
      </c>
      <c r="C95" s="3">
        <v>0.5</v>
      </c>
      <c r="D95" s="3"/>
      <c r="E95" s="3">
        <v>2</v>
      </c>
      <c r="F95" s="3"/>
      <c r="G95" s="3"/>
    </row>
    <row r="96" spans="1:7" x14ac:dyDescent="0.3">
      <c r="A96" s="3">
        <v>115</v>
      </c>
      <c r="B96" s="5">
        <v>46116</v>
      </c>
      <c r="C96" s="3">
        <v>1</v>
      </c>
      <c r="D96" s="3"/>
      <c r="E96" s="3">
        <v>2</v>
      </c>
      <c r="F96" s="3"/>
      <c r="G96" s="3"/>
    </row>
    <row r="97" spans="1:12" x14ac:dyDescent="0.3">
      <c r="A97" s="3">
        <v>116</v>
      </c>
      <c r="B97" s="5">
        <v>46117</v>
      </c>
      <c r="C97" s="3"/>
      <c r="D97" s="3"/>
      <c r="E97" s="3"/>
      <c r="F97" s="3"/>
      <c r="G97" s="3"/>
    </row>
    <row r="98" spans="1:12" x14ac:dyDescent="0.3">
      <c r="A98" s="3">
        <v>117</v>
      </c>
      <c r="B98" s="5">
        <v>46118</v>
      </c>
      <c r="C98" s="3"/>
      <c r="D98" s="3"/>
      <c r="E98" s="3"/>
      <c r="F98" s="3"/>
      <c r="G98" s="3"/>
    </row>
    <row r="99" spans="1:12" x14ac:dyDescent="0.3">
      <c r="A99" s="3">
        <v>118</v>
      </c>
      <c r="B99" s="5">
        <v>46119</v>
      </c>
      <c r="C99" s="3">
        <v>1</v>
      </c>
      <c r="D99" s="3"/>
      <c r="E99" s="3"/>
      <c r="F99" s="3"/>
      <c r="G99" s="3"/>
    </row>
    <row r="100" spans="1:12" x14ac:dyDescent="0.3">
      <c r="A100" s="3">
        <v>119</v>
      </c>
      <c r="B100" s="5">
        <v>46120</v>
      </c>
      <c r="C100" s="3">
        <v>1</v>
      </c>
      <c r="D100" s="3"/>
      <c r="E100" s="3">
        <v>1.5</v>
      </c>
      <c r="F100" s="3"/>
      <c r="G100" s="3"/>
    </row>
    <row r="101" spans="1:12" x14ac:dyDescent="0.3">
      <c r="A101" s="3">
        <v>120</v>
      </c>
      <c r="B101" s="5">
        <v>46121</v>
      </c>
      <c r="C101" s="3">
        <v>1</v>
      </c>
      <c r="D101" s="3"/>
      <c r="E101" s="3">
        <v>1</v>
      </c>
      <c r="F101" s="3"/>
      <c r="G101" s="3"/>
    </row>
    <row r="102" spans="1:12" x14ac:dyDescent="0.3">
      <c r="A102" s="3">
        <v>121</v>
      </c>
      <c r="B102" s="5">
        <v>46122</v>
      </c>
      <c r="C102" s="3">
        <v>1</v>
      </c>
      <c r="D102" s="3"/>
      <c r="E102" s="3">
        <v>2.5</v>
      </c>
      <c r="F102" s="3"/>
      <c r="G102" s="3"/>
    </row>
    <row r="103" spans="1:12" x14ac:dyDescent="0.3">
      <c r="A103" s="3">
        <v>122</v>
      </c>
      <c r="B103" s="5">
        <v>46123</v>
      </c>
      <c r="C103" s="3">
        <v>1</v>
      </c>
      <c r="D103" s="3"/>
      <c r="E103" s="3"/>
      <c r="F103" s="3"/>
      <c r="G103" s="3"/>
    </row>
    <row r="104" spans="1:12" x14ac:dyDescent="0.3">
      <c r="A104" s="3">
        <v>123</v>
      </c>
      <c r="B104" s="5">
        <v>46124</v>
      </c>
      <c r="C104" s="3"/>
      <c r="D104" s="3"/>
      <c r="E104" s="3"/>
      <c r="F104" s="3"/>
      <c r="G104" s="3"/>
    </row>
    <row r="105" spans="1:12" x14ac:dyDescent="0.3">
      <c r="A105" s="3">
        <v>124</v>
      </c>
      <c r="B105" s="5">
        <v>46125</v>
      </c>
      <c r="C105" s="3">
        <v>1</v>
      </c>
      <c r="D105" s="3"/>
      <c r="E105" s="3"/>
      <c r="F105" s="3"/>
      <c r="G105" s="3"/>
    </row>
    <row r="106" spans="1:12" x14ac:dyDescent="0.3">
      <c r="A106" s="3">
        <v>125</v>
      </c>
      <c r="B106" s="5">
        <v>46126</v>
      </c>
      <c r="C106" s="3">
        <v>1</v>
      </c>
      <c r="D106" s="3"/>
      <c r="E106" s="3"/>
      <c r="F106" s="3"/>
      <c r="G106" s="3"/>
    </row>
    <row r="107" spans="1:12" x14ac:dyDescent="0.3">
      <c r="A107" s="3">
        <v>126</v>
      </c>
      <c r="B107" s="5">
        <v>46127</v>
      </c>
      <c r="C107" s="3"/>
      <c r="D107" s="3"/>
      <c r="E107" s="3"/>
      <c r="F107" s="3"/>
      <c r="G107" s="3"/>
    </row>
    <row r="108" spans="1:12" x14ac:dyDescent="0.3">
      <c r="A108" s="3">
        <v>127</v>
      </c>
      <c r="B108" s="5">
        <v>46128</v>
      </c>
      <c r="C108" s="3"/>
      <c r="D108" s="3"/>
      <c r="E108" s="3"/>
      <c r="F108" s="3"/>
      <c r="G108" s="3"/>
    </row>
    <row r="109" spans="1:12" x14ac:dyDescent="0.3">
      <c r="A109" s="95" t="s">
        <v>378</v>
      </c>
      <c r="B109" s="97"/>
      <c r="C109" s="42">
        <f>104+10.5+3</f>
        <v>117.5</v>
      </c>
      <c r="D109" s="42">
        <v>76</v>
      </c>
      <c r="E109" s="42">
        <v>34.5</v>
      </c>
      <c r="F109" s="42">
        <v>12</v>
      </c>
      <c r="G109" s="42"/>
    </row>
    <row r="110" spans="1:12" x14ac:dyDescent="0.3">
      <c r="A110" s="109"/>
      <c r="B110" s="117"/>
      <c r="C110" s="117"/>
      <c r="D110" s="117"/>
      <c r="E110" s="117"/>
      <c r="F110" s="117"/>
      <c r="G110" s="110"/>
      <c r="L110">
        <f>23*25</f>
        <v>575</v>
      </c>
    </row>
    <row r="111" spans="1:12" x14ac:dyDescent="0.3">
      <c r="A111" s="109" t="s">
        <v>380</v>
      </c>
      <c r="B111" s="117"/>
      <c r="C111" s="117"/>
      <c r="D111" s="117"/>
      <c r="E111" s="117"/>
      <c r="F111" s="110"/>
      <c r="G111" s="7">
        <f>C109*750</f>
        <v>88125</v>
      </c>
    </row>
    <row r="112" spans="1:12" x14ac:dyDescent="0.3">
      <c r="A112" s="109" t="s">
        <v>379</v>
      </c>
      <c r="B112" s="117"/>
      <c r="C112" s="117"/>
      <c r="D112" s="117"/>
      <c r="E112" s="117"/>
      <c r="F112" s="110"/>
      <c r="G112" s="7">
        <f>D109*620</f>
        <v>47120</v>
      </c>
    </row>
    <row r="113" spans="1:7" x14ac:dyDescent="0.3">
      <c r="A113" s="109" t="s">
        <v>381</v>
      </c>
      <c r="B113" s="117"/>
      <c r="C113" s="117"/>
      <c r="D113" s="117"/>
      <c r="E113" s="117"/>
      <c r="F113" s="110"/>
      <c r="G113" s="7">
        <f>25.5*93.75</f>
        <v>2390.625</v>
      </c>
    </row>
    <row r="114" spans="1:7" x14ac:dyDescent="0.3">
      <c r="A114" s="109" t="s">
        <v>382</v>
      </c>
      <c r="B114" s="117"/>
      <c r="C114" s="117"/>
      <c r="D114" s="117"/>
      <c r="E114" s="117"/>
      <c r="F114" s="110"/>
      <c r="G114" s="7">
        <f>12*77.5</f>
        <v>930</v>
      </c>
    </row>
    <row r="115" spans="1:7" x14ac:dyDescent="0.3">
      <c r="A115" s="109" t="s">
        <v>353</v>
      </c>
      <c r="B115" s="117"/>
      <c r="C115" s="117"/>
      <c r="D115" s="117"/>
      <c r="E115" s="117"/>
      <c r="F115" s="110"/>
      <c r="G115" s="45">
        <f>SUM(G111:G114)</f>
        <v>138565.625</v>
      </c>
    </row>
    <row r="116" spans="1:7" x14ac:dyDescent="0.3">
      <c r="A116" s="109" t="s">
        <v>383</v>
      </c>
      <c r="B116" s="117"/>
      <c r="C116" s="117"/>
      <c r="D116" s="117"/>
      <c r="E116" s="117"/>
      <c r="F116" s="110"/>
      <c r="G116" s="7">
        <v>34000</v>
      </c>
    </row>
    <row r="117" spans="1:7" x14ac:dyDescent="0.3">
      <c r="A117" s="109" t="s">
        <v>384</v>
      </c>
      <c r="B117" s="117"/>
      <c r="C117" s="117"/>
      <c r="D117" s="117"/>
      <c r="E117" s="117"/>
      <c r="F117" s="110"/>
      <c r="G117" s="7">
        <v>14900</v>
      </c>
    </row>
    <row r="118" spans="1:7" x14ac:dyDescent="0.3">
      <c r="A118" s="109" t="s">
        <v>386</v>
      </c>
      <c r="B118" s="117"/>
      <c r="C118" s="117"/>
      <c r="D118" s="117"/>
      <c r="E118" s="117"/>
      <c r="F118" s="110"/>
      <c r="G118" s="7">
        <v>2000</v>
      </c>
    </row>
    <row r="119" spans="1:7" x14ac:dyDescent="0.3">
      <c r="A119" s="109" t="s">
        <v>385</v>
      </c>
      <c r="B119" s="117"/>
      <c r="C119" s="117"/>
      <c r="D119" s="117"/>
      <c r="E119" s="117"/>
      <c r="F119" s="110"/>
      <c r="G119" s="45">
        <f>G115-G116-G117+G118</f>
        <v>91665.625</v>
      </c>
    </row>
    <row r="120" spans="1:7" x14ac:dyDescent="0.3">
      <c r="A120" s="124" t="s">
        <v>395</v>
      </c>
      <c r="B120" s="124"/>
      <c r="C120" s="124"/>
      <c r="D120" s="124"/>
      <c r="E120" s="124"/>
      <c r="F120" s="124"/>
      <c r="G120" s="124"/>
    </row>
    <row r="121" spans="1:7" x14ac:dyDescent="0.3">
      <c r="A121" s="124"/>
      <c r="B121" s="124"/>
      <c r="C121" s="124"/>
      <c r="D121" s="124"/>
      <c r="E121" s="124"/>
      <c r="F121" s="124"/>
      <c r="G121" s="124"/>
    </row>
    <row r="122" spans="1:7" x14ac:dyDescent="0.3">
      <c r="A122" s="124"/>
      <c r="B122" s="124"/>
      <c r="C122" s="124"/>
      <c r="D122" s="124"/>
      <c r="E122" s="124"/>
      <c r="F122" s="124"/>
      <c r="G122" s="124"/>
    </row>
  </sheetData>
  <mergeCells count="14">
    <mergeCell ref="A1:B1"/>
    <mergeCell ref="C1:G1"/>
    <mergeCell ref="A109:B109"/>
    <mergeCell ref="A110:G110"/>
    <mergeCell ref="A117:F117"/>
    <mergeCell ref="A119:F119"/>
    <mergeCell ref="A118:F118"/>
    <mergeCell ref="A120:G122"/>
    <mergeCell ref="A111:F111"/>
    <mergeCell ref="A112:F112"/>
    <mergeCell ref="A113:F113"/>
    <mergeCell ref="A114:F114"/>
    <mergeCell ref="A115:F115"/>
    <mergeCell ref="A116:F116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9020-C35B-448E-9E11-0727AD47BD56}">
  <dimension ref="A1:H24"/>
  <sheetViews>
    <sheetView workbookViewId="0">
      <selection sqref="A1:H24"/>
    </sheetView>
  </sheetViews>
  <sheetFormatPr defaultRowHeight="14.4" x14ac:dyDescent="0.3"/>
  <cols>
    <col min="1" max="1" width="9" bestFit="1" customWidth="1"/>
    <col min="2" max="2" width="10.44140625" bestFit="1" customWidth="1"/>
    <col min="3" max="6" width="9" bestFit="1" customWidth="1"/>
    <col min="7" max="7" width="10.21875" bestFit="1" customWidth="1"/>
    <col min="8" max="8" width="10.109375" customWidth="1"/>
  </cols>
  <sheetData>
    <row r="1" spans="1:8" ht="24.6" x14ac:dyDescent="0.4">
      <c r="A1" s="125" t="s">
        <v>408</v>
      </c>
      <c r="B1" s="125"/>
      <c r="C1" s="125"/>
      <c r="D1" s="125"/>
      <c r="E1" s="125"/>
      <c r="F1" s="125"/>
      <c r="G1" s="125"/>
      <c r="H1" s="125"/>
    </row>
    <row r="2" spans="1:8" ht="15.6" x14ac:dyDescent="0.3">
      <c r="A2" s="53" t="s">
        <v>48</v>
      </c>
      <c r="B2" s="53" t="s">
        <v>47</v>
      </c>
      <c r="C2" s="53" t="s">
        <v>214</v>
      </c>
      <c r="D2" s="53" t="s">
        <v>396</v>
      </c>
      <c r="E2" s="53" t="s">
        <v>398</v>
      </c>
      <c r="F2" s="53" t="s">
        <v>399</v>
      </c>
      <c r="G2" s="53" t="s">
        <v>220</v>
      </c>
      <c r="H2" s="53" t="s">
        <v>310</v>
      </c>
    </row>
    <row r="3" spans="1:8" x14ac:dyDescent="0.3">
      <c r="A3" s="54">
        <v>1</v>
      </c>
      <c r="B3" s="55">
        <v>46183</v>
      </c>
      <c r="C3" s="54" t="s">
        <v>302</v>
      </c>
      <c r="D3" s="54" t="s">
        <v>302</v>
      </c>
      <c r="E3" s="54" t="s">
        <v>302</v>
      </c>
      <c r="F3" s="54" t="s">
        <v>302</v>
      </c>
      <c r="G3" s="56">
        <v>2000</v>
      </c>
      <c r="H3" s="54" t="s">
        <v>357</v>
      </c>
    </row>
    <row r="4" spans="1:8" x14ac:dyDescent="0.3">
      <c r="A4" s="54">
        <v>2</v>
      </c>
      <c r="B4" s="55">
        <v>46184</v>
      </c>
      <c r="C4" s="54">
        <v>3</v>
      </c>
      <c r="D4" s="54">
        <v>3</v>
      </c>
      <c r="E4" s="54">
        <v>9</v>
      </c>
      <c r="F4" s="54">
        <v>9</v>
      </c>
      <c r="G4" s="57">
        <v>5000</v>
      </c>
      <c r="H4" s="54" t="s">
        <v>397</v>
      </c>
    </row>
    <row r="5" spans="1:8" x14ac:dyDescent="0.3">
      <c r="A5" s="54">
        <v>3</v>
      </c>
      <c r="B5" s="55">
        <v>46185</v>
      </c>
      <c r="C5" s="54">
        <v>3</v>
      </c>
      <c r="D5" s="54">
        <v>3</v>
      </c>
      <c r="E5" s="54">
        <v>9</v>
      </c>
      <c r="F5" s="54">
        <v>9</v>
      </c>
      <c r="G5" s="57">
        <v>2000</v>
      </c>
      <c r="H5" s="54" t="s">
        <v>357</v>
      </c>
    </row>
    <row r="6" spans="1:8" x14ac:dyDescent="0.3">
      <c r="A6" s="54">
        <v>4</v>
      </c>
      <c r="B6" s="55">
        <v>46186</v>
      </c>
      <c r="C6" s="54">
        <v>3</v>
      </c>
      <c r="D6" s="54">
        <v>3</v>
      </c>
      <c r="E6" s="54">
        <v>9</v>
      </c>
      <c r="F6" s="54">
        <v>9</v>
      </c>
      <c r="G6" s="57">
        <v>2000</v>
      </c>
      <c r="H6" s="54" t="s">
        <v>357</v>
      </c>
    </row>
    <row r="7" spans="1:8" x14ac:dyDescent="0.3">
      <c r="A7" s="54">
        <v>5</v>
      </c>
      <c r="B7" s="55">
        <v>46187</v>
      </c>
      <c r="C7" s="54">
        <v>3</v>
      </c>
      <c r="D7" s="54">
        <v>3</v>
      </c>
      <c r="E7" s="54" t="s">
        <v>302</v>
      </c>
      <c r="F7" s="54" t="s">
        <v>302</v>
      </c>
      <c r="G7" s="57">
        <v>2000</v>
      </c>
      <c r="H7" s="54" t="s">
        <v>357</v>
      </c>
    </row>
    <row r="8" spans="1:8" x14ac:dyDescent="0.3">
      <c r="A8" s="54">
        <v>6</v>
      </c>
      <c r="B8" s="55">
        <v>46188</v>
      </c>
      <c r="C8" s="54">
        <v>3</v>
      </c>
      <c r="D8" s="54">
        <v>3</v>
      </c>
      <c r="E8" s="54">
        <v>12</v>
      </c>
      <c r="F8" s="54">
        <v>12</v>
      </c>
      <c r="G8" s="57" t="s">
        <v>302</v>
      </c>
      <c r="H8" s="54" t="s">
        <v>302</v>
      </c>
    </row>
    <row r="9" spans="1:8" x14ac:dyDescent="0.3">
      <c r="A9" s="54">
        <v>7</v>
      </c>
      <c r="B9" s="55">
        <v>46189</v>
      </c>
      <c r="C9" s="54">
        <v>2</v>
      </c>
      <c r="D9" s="54">
        <v>1</v>
      </c>
      <c r="E9" s="54">
        <v>5</v>
      </c>
      <c r="F9" s="54">
        <v>4</v>
      </c>
      <c r="G9" s="57">
        <v>2000</v>
      </c>
      <c r="H9" s="54" t="s">
        <v>357</v>
      </c>
    </row>
    <row r="10" spans="1:8" x14ac:dyDescent="0.3">
      <c r="A10" s="54">
        <v>8</v>
      </c>
      <c r="B10" s="55">
        <v>46190</v>
      </c>
      <c r="C10" s="54">
        <v>3</v>
      </c>
      <c r="D10" s="54">
        <v>3</v>
      </c>
      <c r="E10" s="54">
        <v>8</v>
      </c>
      <c r="F10" s="54"/>
      <c r="G10" s="57">
        <v>1000</v>
      </c>
      <c r="H10" s="54" t="s">
        <v>357</v>
      </c>
    </row>
    <row r="11" spans="1:8" x14ac:dyDescent="0.3">
      <c r="A11" s="54">
        <v>9</v>
      </c>
      <c r="B11" s="55">
        <v>46191</v>
      </c>
      <c r="C11" s="54">
        <v>3</v>
      </c>
      <c r="D11" s="54">
        <v>3</v>
      </c>
      <c r="E11" s="54">
        <v>12</v>
      </c>
      <c r="F11" s="54">
        <v>12</v>
      </c>
      <c r="G11" s="57">
        <v>3000</v>
      </c>
      <c r="H11" s="54" t="s">
        <v>357</v>
      </c>
    </row>
    <row r="12" spans="1:8" x14ac:dyDescent="0.3">
      <c r="A12" s="54">
        <v>10</v>
      </c>
      <c r="B12" s="55">
        <v>46192</v>
      </c>
      <c r="C12" s="54">
        <v>3</v>
      </c>
      <c r="D12" s="54">
        <v>2</v>
      </c>
      <c r="E12" s="54">
        <v>12</v>
      </c>
      <c r="F12" s="54">
        <v>8</v>
      </c>
      <c r="G12" s="57" t="s">
        <v>302</v>
      </c>
      <c r="H12" s="54" t="s">
        <v>302</v>
      </c>
    </row>
    <row r="13" spans="1:8" x14ac:dyDescent="0.3">
      <c r="A13" s="54">
        <v>11</v>
      </c>
      <c r="B13" s="55">
        <v>46193</v>
      </c>
      <c r="C13" s="54">
        <v>3</v>
      </c>
      <c r="D13" s="54">
        <v>3</v>
      </c>
      <c r="E13" s="54">
        <v>12</v>
      </c>
      <c r="F13" s="54">
        <v>12</v>
      </c>
      <c r="G13" s="57" t="s">
        <v>302</v>
      </c>
      <c r="H13" s="54" t="s">
        <v>302</v>
      </c>
    </row>
    <row r="14" spans="1:8" x14ac:dyDescent="0.3">
      <c r="A14" s="54">
        <v>12</v>
      </c>
      <c r="B14" s="55">
        <v>46194</v>
      </c>
      <c r="C14" s="54" t="s">
        <v>302</v>
      </c>
      <c r="D14" s="54" t="s">
        <v>302</v>
      </c>
      <c r="E14" s="54" t="s">
        <v>302</v>
      </c>
      <c r="F14" s="54" t="s">
        <v>302</v>
      </c>
      <c r="G14" s="57" t="s">
        <v>302</v>
      </c>
      <c r="H14" s="54" t="s">
        <v>302</v>
      </c>
    </row>
    <row r="15" spans="1:8" x14ac:dyDescent="0.3">
      <c r="A15" s="54">
        <v>13</v>
      </c>
      <c r="B15" s="55">
        <v>46195</v>
      </c>
      <c r="C15" s="54">
        <v>3</v>
      </c>
      <c r="D15" s="54">
        <v>3</v>
      </c>
      <c r="E15" s="54">
        <v>12</v>
      </c>
      <c r="F15" s="54">
        <v>12</v>
      </c>
      <c r="G15" s="57">
        <v>2500</v>
      </c>
      <c r="H15" s="54" t="s">
        <v>357</v>
      </c>
    </row>
    <row r="16" spans="1:8" x14ac:dyDescent="0.3">
      <c r="A16" s="126" t="s">
        <v>308</v>
      </c>
      <c r="B16" s="126"/>
      <c r="C16" s="61">
        <f>SUM(C3:C15)</f>
        <v>32</v>
      </c>
      <c r="D16" s="61">
        <f t="shared" ref="D16:F16" si="0">SUM(D3:D15)</f>
        <v>30</v>
      </c>
      <c r="E16" s="61">
        <f t="shared" si="0"/>
        <v>100</v>
      </c>
      <c r="F16" s="61">
        <f t="shared" si="0"/>
        <v>87</v>
      </c>
      <c r="G16" s="62">
        <f>SUM(G3:G15)</f>
        <v>21500</v>
      </c>
      <c r="H16" s="61"/>
    </row>
    <row r="17" spans="1:8" x14ac:dyDescent="0.3">
      <c r="A17" s="127" t="s">
        <v>403</v>
      </c>
      <c r="B17" s="127"/>
      <c r="C17" s="127"/>
      <c r="D17" s="127"/>
      <c r="E17" s="127"/>
      <c r="F17" s="127"/>
      <c r="G17" s="127"/>
      <c r="H17" s="58">
        <f>C16*750</f>
        <v>24000</v>
      </c>
    </row>
    <row r="18" spans="1:8" x14ac:dyDescent="0.3">
      <c r="A18" s="127" t="s">
        <v>404</v>
      </c>
      <c r="B18" s="127"/>
      <c r="C18" s="127"/>
      <c r="D18" s="127"/>
      <c r="E18" s="127"/>
      <c r="F18" s="127"/>
      <c r="G18" s="127"/>
      <c r="H18" s="58">
        <f>D16*600</f>
        <v>18000</v>
      </c>
    </row>
    <row r="19" spans="1:8" x14ac:dyDescent="0.3">
      <c r="A19" s="127" t="s">
        <v>405</v>
      </c>
      <c r="B19" s="127"/>
      <c r="C19" s="127"/>
      <c r="D19" s="127"/>
      <c r="E19" s="127"/>
      <c r="F19" s="127"/>
      <c r="G19" s="127"/>
      <c r="H19" s="58">
        <f>E16*93.75</f>
        <v>9375</v>
      </c>
    </row>
    <row r="20" spans="1:8" x14ac:dyDescent="0.3">
      <c r="A20" s="127" t="s">
        <v>406</v>
      </c>
      <c r="B20" s="127"/>
      <c r="C20" s="127"/>
      <c r="D20" s="127"/>
      <c r="E20" s="127"/>
      <c r="F20" s="127"/>
      <c r="G20" s="127"/>
      <c r="H20" s="58">
        <f>F16*75</f>
        <v>6525</v>
      </c>
    </row>
    <row r="21" spans="1:8" x14ac:dyDescent="0.3">
      <c r="A21" s="129" t="s">
        <v>407</v>
      </c>
      <c r="B21" s="129"/>
      <c r="C21" s="129"/>
      <c r="D21" s="129"/>
      <c r="E21" s="129"/>
      <c r="F21" s="129"/>
      <c r="G21" s="129"/>
      <c r="H21" s="59">
        <f>H17+H18+H19+H20</f>
        <v>57900</v>
      </c>
    </row>
    <row r="22" spans="1:8" x14ac:dyDescent="0.3">
      <c r="A22" s="127" t="s">
        <v>400</v>
      </c>
      <c r="B22" s="127"/>
      <c r="C22" s="127"/>
      <c r="D22" s="127"/>
      <c r="E22" s="127"/>
      <c r="F22" s="127"/>
      <c r="G22" s="127"/>
      <c r="H22" s="58">
        <v>5000</v>
      </c>
    </row>
    <row r="23" spans="1:8" x14ac:dyDescent="0.3">
      <c r="A23" s="127" t="s">
        <v>401</v>
      </c>
      <c r="B23" s="127"/>
      <c r="C23" s="127"/>
      <c r="D23" s="127"/>
      <c r="E23" s="127"/>
      <c r="F23" s="127"/>
      <c r="G23" s="127"/>
      <c r="H23" s="58">
        <f>21500-5000</f>
        <v>16500</v>
      </c>
    </row>
    <row r="24" spans="1:8" x14ac:dyDescent="0.3">
      <c r="A24" s="128" t="s">
        <v>402</v>
      </c>
      <c r="B24" s="128"/>
      <c r="C24" s="128"/>
      <c r="D24" s="128"/>
      <c r="E24" s="128"/>
      <c r="F24" s="128"/>
      <c r="G24" s="128"/>
      <c r="H24" s="60">
        <f>H21-H22-H23</f>
        <v>36400</v>
      </c>
    </row>
  </sheetData>
  <mergeCells count="10">
    <mergeCell ref="A22:G22"/>
    <mergeCell ref="A23:G23"/>
    <mergeCell ref="A24:G24"/>
    <mergeCell ref="A20:G20"/>
    <mergeCell ref="A21:G21"/>
    <mergeCell ref="A1:H1"/>
    <mergeCell ref="A16:B16"/>
    <mergeCell ref="A17:G17"/>
    <mergeCell ref="A18:G18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Lab Sheet</vt:lpstr>
      <vt:lpstr>COMPANY LAB SUPPLY</vt:lpstr>
      <vt:lpstr>Hard Ware Materials</vt:lpstr>
      <vt:lpstr>JCB - Reading</vt:lpstr>
      <vt:lpstr>Bricks</vt:lpstr>
      <vt:lpstr>Tmt</vt:lpstr>
      <vt:lpstr>Concrect Ashoka</vt:lpstr>
      <vt:lpstr>Sheet1</vt:lpstr>
      <vt:lpstr>Mijanur Da Till-31.03.26</vt:lpstr>
      <vt:lpstr>Insan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2026-07-01T06:32:45Z</dcterms:modified>
</cp:coreProperties>
</file>