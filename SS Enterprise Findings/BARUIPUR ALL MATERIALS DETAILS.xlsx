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BARUIPUR SITE ALL/"/>
    </mc:Choice>
  </mc:AlternateContent>
  <xr:revisionPtr revIDLastSave="2" documentId="11_220E0CCF22D5419D56042680FE8E3EC992A61D34" xr6:coauthVersionLast="47" xr6:coauthVersionMax="47" xr10:uidLastSave="{DFDC3C72-1709-4D26-9638-2DC984DD0750}"/>
  <bookViews>
    <workbookView xWindow="-108" yWindow="-108" windowWidth="23256" windowHeight="12456" activeTab="7" xr2:uid="{00000000-000D-0000-FFFF-FFFF00000000}"/>
  </bookViews>
  <sheets>
    <sheet name="CEMENT" sheetId="1" r:id="rId1"/>
    <sheet name="BRICKS" sheetId="2" r:id="rId2"/>
    <sheet name="TMT" sheetId="3" r:id="rId3"/>
    <sheet name="STONE" sheetId="4" r:id="rId4"/>
    <sheet name="SAND" sheetId="5" r:id="rId5"/>
    <sheet name="HARDWARE" sheetId="6" r:id="rId6"/>
    <sheet name="LABOUR " sheetId="7" r:id="rId7"/>
    <sheet name="CLUB WORK" sheetId="9" r:id="rId8"/>
  </sheets>
  <definedNames>
    <definedName name="_xlnm._FilterDatabase" localSheetId="2" hidden="1">TMT!$A$2:$G$24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9" l="1"/>
  <c r="E10" i="9"/>
  <c r="E25" i="9"/>
  <c r="E27" i="3"/>
  <c r="E26" i="3"/>
  <c r="E25" i="3"/>
  <c r="F3" i="2"/>
  <c r="H7" i="2"/>
</calcChain>
</file>

<file path=xl/sharedStrings.xml><?xml version="1.0" encoding="utf-8"?>
<sst xmlns="http://schemas.openxmlformats.org/spreadsheetml/2006/main" count="1091" uniqueCount="456">
  <si>
    <t xml:space="preserve">SR NO </t>
  </si>
  <si>
    <t>DATE</t>
  </si>
  <si>
    <t>FROM WHERE TO WHERE</t>
  </si>
  <si>
    <t>BRAND</t>
  </si>
  <si>
    <t xml:space="preserve"> DETAILS (BAG)</t>
  </si>
  <si>
    <t>CAR NO</t>
  </si>
  <si>
    <t>HARDWARE(NOV)</t>
  </si>
  <si>
    <t>SS OFFICE TO BARUIPUR SITE</t>
  </si>
  <si>
    <t>ANGLE</t>
  </si>
  <si>
    <t>1P</t>
  </si>
  <si>
    <t xml:space="preserve">GATE FRAME </t>
  </si>
  <si>
    <t>3P</t>
  </si>
  <si>
    <t>TABLE</t>
  </si>
  <si>
    <t>2P</t>
  </si>
  <si>
    <t xml:space="preserve">TABLE PLY </t>
  </si>
  <si>
    <t>GRANDING MACHINE</t>
  </si>
  <si>
    <t>KACHI</t>
  </si>
  <si>
    <t>RONG</t>
  </si>
  <si>
    <t>1 LTR</t>
  </si>
  <si>
    <t>DOOR PLY</t>
  </si>
  <si>
    <t>CHAIR</t>
  </si>
  <si>
    <t>6P</t>
  </si>
  <si>
    <t>DHALAI CORA</t>
  </si>
  <si>
    <t>PLASTIC KORA</t>
  </si>
  <si>
    <t xml:space="preserve">STEEL BALTI </t>
  </si>
  <si>
    <t>4" CUTTING WHEEL</t>
  </si>
  <si>
    <t>7P</t>
  </si>
  <si>
    <t>16P</t>
  </si>
  <si>
    <t>PLY 1/2"</t>
  </si>
  <si>
    <t>SIRAJ HATI</t>
  </si>
  <si>
    <t>10P</t>
  </si>
  <si>
    <t>4" WOOD CUTTER WHEEL</t>
  </si>
  <si>
    <t xml:space="preserve">DHALAI VIBATOR </t>
  </si>
  <si>
    <t xml:space="preserve">14" CUTTING WHEEL </t>
  </si>
  <si>
    <t xml:space="preserve">NEW CHAP CUTTER </t>
  </si>
  <si>
    <t>COLUMN BOARD 8'</t>
  </si>
  <si>
    <t>8P</t>
  </si>
  <si>
    <t>DRUM</t>
  </si>
  <si>
    <t xml:space="preserve">PLY </t>
  </si>
  <si>
    <t>26P</t>
  </si>
  <si>
    <t>BAMBOO</t>
  </si>
  <si>
    <t>30P</t>
  </si>
  <si>
    <t>STAIR</t>
  </si>
  <si>
    <t>CUBE</t>
  </si>
  <si>
    <t>SALAPURIA TO BARUIPUR</t>
  </si>
  <si>
    <t>8MM</t>
  </si>
  <si>
    <t>10 MM</t>
  </si>
  <si>
    <t>4 BANDLE</t>
  </si>
  <si>
    <t>COMTON MOTOR</t>
  </si>
  <si>
    <t>KHALI BOSTA</t>
  </si>
  <si>
    <t xml:space="preserve">DHALAI MACHINE </t>
  </si>
  <si>
    <t xml:space="preserve">DELIVARY PIPE </t>
  </si>
  <si>
    <t xml:space="preserve">SALAPURIA TO BARUIPUR SITE </t>
  </si>
  <si>
    <t>100 FT</t>
  </si>
  <si>
    <t>BARUIPUR TO SS OFFICE RETRUN</t>
  </si>
  <si>
    <t xml:space="preserve">BEKAR MACHINE </t>
  </si>
  <si>
    <t xml:space="preserve">GRANDING MACHINE </t>
  </si>
  <si>
    <t>COLOUR SHEET</t>
  </si>
  <si>
    <t>5.5P</t>
  </si>
  <si>
    <t>SIKHA PLAST</t>
  </si>
  <si>
    <t xml:space="preserve">CHAP CUTTER MACHINE </t>
  </si>
  <si>
    <t xml:space="preserve">TULU PUMP </t>
  </si>
  <si>
    <t xml:space="preserve">MESURMENT MACHINE </t>
  </si>
  <si>
    <t xml:space="preserve">WELDING MACHINE </t>
  </si>
  <si>
    <t xml:space="preserve">VIVADOR </t>
  </si>
  <si>
    <t xml:space="preserve">DHALAI VIVADOR </t>
  </si>
  <si>
    <t xml:space="preserve">ROD CUTTER </t>
  </si>
  <si>
    <t>WIRE</t>
  </si>
  <si>
    <t>QUBE MOL</t>
  </si>
  <si>
    <t>24P</t>
  </si>
  <si>
    <t>SS OFFICE TO BARUIPUR</t>
  </si>
  <si>
    <t>5 BANDLE</t>
  </si>
  <si>
    <t>10MM</t>
  </si>
  <si>
    <t>9 BANDLE</t>
  </si>
  <si>
    <t>12 MM</t>
  </si>
  <si>
    <t>6 BANDLE</t>
  </si>
  <si>
    <t>WB19L1090</t>
  </si>
  <si>
    <t>JSW</t>
  </si>
  <si>
    <t>WOOD 5/6</t>
  </si>
  <si>
    <t>250 SQFT</t>
  </si>
  <si>
    <t>COLUMN SET</t>
  </si>
  <si>
    <t>4P</t>
  </si>
  <si>
    <t xml:space="preserve">SS OFFICE TO BARUIPUR </t>
  </si>
  <si>
    <t>FALA, CARBON</t>
  </si>
  <si>
    <t>2+2</t>
  </si>
  <si>
    <t xml:space="preserve">ULTRATECH </t>
  </si>
  <si>
    <t>LAKSHMI NARYAN BUILDERS TO BARUIPUR</t>
  </si>
  <si>
    <t>BARUIPUR TO SALAPURIA</t>
  </si>
  <si>
    <t>CUBE MOULD</t>
  </si>
  <si>
    <t>BARUIPUR TO SS OFFICE</t>
  </si>
  <si>
    <t xml:space="preserve">LABLE MACHINE </t>
  </si>
  <si>
    <t>SET</t>
  </si>
  <si>
    <t>SR NO</t>
  </si>
  <si>
    <t>DESCRIPTION</t>
  </si>
  <si>
    <t>HEAD</t>
  </si>
  <si>
    <t xml:space="preserve">MIZANUR LABOUR </t>
  </si>
  <si>
    <t>MIJANUR M-1</t>
  </si>
  <si>
    <t>MIJANUR M-1, L- 1</t>
  </si>
  <si>
    <t>HARDWARE(DEC)</t>
  </si>
  <si>
    <t>HARDWARE(JAN 2023)</t>
  </si>
  <si>
    <t>BARUIPUR SITE MATERIALS SFFITING</t>
  </si>
  <si>
    <t>RAJU TEMPO</t>
  </si>
  <si>
    <t>8 TRIP</t>
  </si>
  <si>
    <t>SUDHIR KAKA , BAPON , ISRAFIL</t>
  </si>
  <si>
    <t>CUBE MOULD , CMECAL</t>
  </si>
  <si>
    <t>SUDHIR KAKA , BAPON , ISRAFIL,SARFUDDIN</t>
  </si>
  <si>
    <t>SURAJ(M-1) + 3 LAB</t>
  </si>
  <si>
    <t>ISRAFIL,SAIFUDDIN</t>
  </si>
  <si>
    <t>BISHNU M -1 L-2</t>
  </si>
  <si>
    <t>ISRAFIL,BAPON</t>
  </si>
  <si>
    <t>MIJANUR M-4, L- 6,BISHNU M -1 L-2</t>
  </si>
  <si>
    <t>BISHNU M -2 L-2</t>
  </si>
  <si>
    <t>BISHNU M-1</t>
  </si>
  <si>
    <t>SUDHIR KAKA , BAPON</t>
  </si>
  <si>
    <t>KAJEM LAB - 4</t>
  </si>
  <si>
    <t>KAJEM LAB - 4,BISHNU M -1</t>
  </si>
  <si>
    <t>BAPON</t>
  </si>
  <si>
    <t>BISHNU M -1</t>
  </si>
  <si>
    <t>BISHNU M -1,L-1</t>
  </si>
  <si>
    <t>SUDHIR KAKA , SARFUDDIN</t>
  </si>
  <si>
    <t>KAJEM L-4HEAD , BAPON</t>
  </si>
  <si>
    <t>TMT</t>
  </si>
  <si>
    <t>10 BUNDLE</t>
  </si>
  <si>
    <t>SHUTTERING PLY</t>
  </si>
  <si>
    <t>THARMOKOL 50MM</t>
  </si>
  <si>
    <t>KAJEM L-7 HEAD , SOURAV M-1,L-1</t>
  </si>
  <si>
    <t>BISHNU M - 1</t>
  </si>
  <si>
    <t xml:space="preserve">KAJEM KAKA L -7 </t>
  </si>
  <si>
    <t>BRICKS</t>
  </si>
  <si>
    <t>STONE (NOV)</t>
  </si>
  <si>
    <t>SAND</t>
  </si>
  <si>
    <t>9550+625</t>
  </si>
  <si>
    <t>AVN</t>
  </si>
  <si>
    <t>BARUIPUR</t>
  </si>
  <si>
    <t>LOMBA - 17.8 INCH , CHOWRA - 7.6 INCH , HEIGHT -2.4 INCH</t>
  </si>
  <si>
    <t>WB19J1786</t>
  </si>
  <si>
    <t>LOMBA - 22.9 INCH , CHOWRA - 7.4 INCH , HEIGHT - 3.2 INCH</t>
  </si>
  <si>
    <t>WB19G0786</t>
  </si>
  <si>
    <t>5*8</t>
  </si>
  <si>
    <t>36470 KG</t>
  </si>
  <si>
    <t>WB51C0693</t>
  </si>
  <si>
    <t>1*2</t>
  </si>
  <si>
    <t>36540 KG</t>
  </si>
  <si>
    <t>WB51C5543</t>
  </si>
  <si>
    <t>36690 KG</t>
  </si>
  <si>
    <t>WB51C6226</t>
  </si>
  <si>
    <t xml:space="preserve">BARUIPUR </t>
  </si>
  <si>
    <t>WB95A4904</t>
  </si>
  <si>
    <t>WB953817</t>
  </si>
  <si>
    <t xml:space="preserve"> </t>
  </si>
  <si>
    <t>LOMBA - 24 FEET , CHOWRA - 7.9 INCH , HEIGHT - 4.11 INCH -</t>
  </si>
  <si>
    <t>LOMBA - 17.10 INCH , CHOWRA - 7.3 INCH , HEIGHT -3.1 INCH -12990 KG</t>
  </si>
  <si>
    <t xml:space="preserve">KAJEM KAKA L -7 ,SUDHHIR KAKA </t>
  </si>
  <si>
    <t xml:space="preserve">KAJEM KAKA L -6 ,SUDHHIR KAKA </t>
  </si>
  <si>
    <t>KAJEM -2 , SUDHIR KAKA</t>
  </si>
  <si>
    <t xml:space="preserve">KAJEM L-3 HEAD </t>
  </si>
  <si>
    <t>KAJEM -3 , SUDHIR KAKA</t>
  </si>
  <si>
    <t xml:space="preserve">KAJEM -4, </t>
  </si>
  <si>
    <t>BISHNU M - 2</t>
  </si>
  <si>
    <t xml:space="preserve">12 MM </t>
  </si>
  <si>
    <t>8 MM</t>
  </si>
  <si>
    <t>7 BUNDLE</t>
  </si>
  <si>
    <t>WB19L1006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</si>
  <si>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</si>
  <si>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KAJEM L-7 HEAD , SOURAV M-2</t>
  </si>
  <si>
    <t>KAJEM L-3 HEAD , SOURAV M-2,L-2,SUDHIR KAKA,BAPON</t>
  </si>
  <si>
    <t>KAJEM L-4 HEAD, SOURAV M-2,L-3,SUDHIR KAKA</t>
  </si>
  <si>
    <t>KAJEM L-4 HEAD , SOURAV M-2,L-2(OT-3H)</t>
  </si>
  <si>
    <t>KAJEM L-3 HEAD , SOURAV M-2,L-2(OT-3H)</t>
  </si>
  <si>
    <t>KAJEM L-3 HEAD , SOURAV M-3,L-6(OT-3H)</t>
  </si>
  <si>
    <t>SOURAV M-2,L-8(OT-3H)</t>
  </si>
  <si>
    <t>KAJEM L-2 HEAD , SOURAV M-2,L-6(OT-3H)</t>
  </si>
  <si>
    <t>KAJEM KAKA -2 HEAD , SOURAV M-2,L-2</t>
  </si>
  <si>
    <t>KAJEM KAKA -1 HEAD , SOURAV M-2,L-2</t>
  </si>
  <si>
    <t>KAJEM KAKA -4 HEAD , SOURAV M-2,L-2</t>
  </si>
  <si>
    <t>KAJEM KAKA -4 HEAD , SOURAV M-3,L-2</t>
  </si>
  <si>
    <t>OFF DAY</t>
  </si>
  <si>
    <t>KAJEM KAKA -2 HEAD , SOURAV M-3,L-2</t>
  </si>
  <si>
    <t>KAJEM KAKA -2 HEAD , SOURAV M-3,L-6</t>
  </si>
  <si>
    <t>KAJEM KAKA -2 HEAD , SOURAV M-3,L-4</t>
  </si>
  <si>
    <t>SOURAV M-3,L-6</t>
  </si>
  <si>
    <t>KAJEM KAKA -2 HEAD,SOURAV M-3,L-6</t>
  </si>
  <si>
    <t>KAJEM KAKA -3 HEAD,SOURAV M-3,L-6</t>
  </si>
  <si>
    <t>15 BUNDLE</t>
  </si>
  <si>
    <t>8 BUNDLE</t>
  </si>
  <si>
    <t>3 BUNDLE</t>
  </si>
  <si>
    <t>HARDWARE(MARCH 2023)</t>
  </si>
  <si>
    <t xml:space="preserve">SHUTTERING PLY </t>
  </si>
  <si>
    <t>HILTI MACHINE</t>
  </si>
  <si>
    <t>12 MM BIT</t>
  </si>
  <si>
    <t>PVC PIPE</t>
  </si>
  <si>
    <t xml:space="preserve">3" NAIL </t>
  </si>
  <si>
    <t xml:space="preserve">DIAMOND </t>
  </si>
  <si>
    <t xml:space="preserve">SCREW DRIVER </t>
  </si>
  <si>
    <t xml:space="preserve">TESTER </t>
  </si>
  <si>
    <t>WB177349</t>
  </si>
  <si>
    <t>KAJEM KAKA -3 HEAD,SOURAV M-3,L-7</t>
  </si>
  <si>
    <t>BARUIPUR SITE PURCHASE</t>
  </si>
  <si>
    <t>2" NAIL</t>
  </si>
  <si>
    <t>2 KG</t>
  </si>
  <si>
    <t>1.5" NAIL</t>
  </si>
  <si>
    <t>1 KG</t>
  </si>
  <si>
    <t>OFF</t>
  </si>
  <si>
    <t>KAJEM KAKA -2 HEAD,SOURAV M-1,L-2</t>
  </si>
  <si>
    <t>KAJEM KAKA -2 HEAD,SOURAV M-3,L-1</t>
  </si>
  <si>
    <t>SAND MAR - 2023</t>
  </si>
  <si>
    <t>LOMBA - 24 FEET , CHOWRA - 7.9 INCH , HEIGHT - 4.6 INCH -</t>
  </si>
  <si>
    <t>KAJEM KAKA -1 HEAD,SOURAV M-3,L-1</t>
  </si>
  <si>
    <t xml:space="preserve">LOMBA - 17.10 INCH , CHOWRA - 7.3 INCH , HEIGHT -3.5 INCH </t>
  </si>
  <si>
    <t>KAJEM KAKA -3 HEAD,SOURAV M-3,L-5</t>
  </si>
  <si>
    <t>KAJEM KAKA -3 HEAD,SOURAV L-4, SS - M-(LALTU,SANJAY,RABI),L-KARTICK</t>
  </si>
  <si>
    <t>KAJEM KAKA -3 HEAD,SOURAV L-3, SS - M-(LALTU,SANJAY,RABI),L-KARTICK</t>
  </si>
  <si>
    <t>BLACK TAPE</t>
  </si>
  <si>
    <t>4" DIAMOND</t>
  </si>
  <si>
    <t>3 KG</t>
  </si>
  <si>
    <t>KAJEM KAKA -3 HEAD, SS - M-(LALTU,SANJAY,RABI),L-KARTICK</t>
  </si>
  <si>
    <t>LOMBA - 24 FEET , CHOWRA - 7.9 INCH , HEIGHT - 4.5 INCH -</t>
  </si>
  <si>
    <t xml:space="preserve">GUM </t>
  </si>
  <si>
    <t>100 G</t>
  </si>
  <si>
    <t>2KG</t>
  </si>
  <si>
    <t xml:space="preserve">MOBILE </t>
  </si>
  <si>
    <t>2 LTR</t>
  </si>
  <si>
    <t>KAJEM KAKA -3 HEAD</t>
  </si>
  <si>
    <t>KAJEM KAKA -2 HEAD</t>
  </si>
  <si>
    <t xml:space="preserve">   </t>
  </si>
  <si>
    <t>KAJEM KAKA -5 HEAD</t>
  </si>
  <si>
    <t>KAJEM KAKA -6 HEAD</t>
  </si>
  <si>
    <t>BISHNU M - .5</t>
  </si>
  <si>
    <t xml:space="preserve">                                                                                </t>
  </si>
  <si>
    <t>KAJEM KAKA -5(2HEAD HALF) HEAD,MIJANUR M-1,UTTAM</t>
  </si>
  <si>
    <t>KAJEM KAKA -8 HEAD,MIJANUR M-1,UTTAM</t>
  </si>
  <si>
    <t>KAJEM KAKA -7 HEAD</t>
  </si>
  <si>
    <t>KAJEM KAKA -5 HEAD,MIJANUR M-1</t>
  </si>
  <si>
    <t>KAJEM KAKA -2 HEAD,MIJANUR M-1</t>
  </si>
  <si>
    <t>KAJEM KAKA -2 HEAD,</t>
  </si>
  <si>
    <t>CEMENT</t>
  </si>
  <si>
    <t>SIRAJ BULERO</t>
  </si>
  <si>
    <t>HARDWARE(APRIL 2023)</t>
  </si>
  <si>
    <t>PIPE</t>
  </si>
  <si>
    <t>2 BUNDLE</t>
  </si>
  <si>
    <t>ELC BOX</t>
  </si>
  <si>
    <t>KAJEM KAKA -4 HEAD,MIJANUR M-1,MURSHID M-1</t>
  </si>
  <si>
    <t>KAJEM KAKA -3 HEAD,MIJANUR M-1,MURSHID M-1,L-1</t>
  </si>
  <si>
    <t>KAJEM KAKA -3 HEAD,MURSHID M-1</t>
  </si>
  <si>
    <t>KAJEM KAKA -2 HEAD,MURSHID M-3,L-2</t>
  </si>
  <si>
    <t>BISHNU M - 1(HALF)</t>
  </si>
  <si>
    <t xml:space="preserve">COCONUT RUF </t>
  </si>
  <si>
    <t>KAJEM KAKA -1 HEAD,MURSHID M-1,L-1</t>
  </si>
  <si>
    <t>MURSHID M-1,L-1</t>
  </si>
  <si>
    <t>MURSHID M-1,L-2</t>
  </si>
  <si>
    <t>MURSHID M-1,L-2,MIZANUR M-1,L-1,BISWANTH</t>
  </si>
  <si>
    <t>MURSHID M-1,L-2,BISWANTH</t>
  </si>
  <si>
    <t>MURSHID M-1,L-2,BISWANTH,BAPON</t>
  </si>
  <si>
    <t>MURSHID L-2,BISWANTH,ISRAFIL</t>
  </si>
  <si>
    <t>MURSHID L-2,BISWANTH</t>
  </si>
  <si>
    <t>MURSHID M-1,BISWANTH.ISRAFIL,BAPON</t>
  </si>
  <si>
    <t>BAPON,ISRAFIL,SARFUDDIN,BISWANTH,MURSHID M-1</t>
  </si>
  <si>
    <t>BAPON,ISRAFIL,BISWANTH,MURSHID M-1</t>
  </si>
  <si>
    <t>BAPON,BISWANTH,MURSHID M-1</t>
  </si>
  <si>
    <t>BAPON,BISWANTH,ISRAFIL</t>
  </si>
  <si>
    <t>BAPON,BISWANTH,SARFUDDIN</t>
  </si>
  <si>
    <t>BISWANTH,SARFUDDIN</t>
  </si>
  <si>
    <t>KAJEM 5 HEAD</t>
  </si>
  <si>
    <t>KAJEM 6 HEAD</t>
  </si>
  <si>
    <t>KAJEM 4 HEAD</t>
  </si>
  <si>
    <t>KAJEM 3 HEAD,MIZANUR M-1,L-2</t>
  </si>
  <si>
    <t>20 BUNDLE</t>
  </si>
  <si>
    <t>6 BUNDLE</t>
  </si>
  <si>
    <t>KAJEM 7 HEAD,MIZANUR M-1</t>
  </si>
  <si>
    <t>HARDWARE(MAY 2023)</t>
  </si>
  <si>
    <t>KAJEM 6 HEAD,MIZANUR M-2</t>
  </si>
  <si>
    <t>KAJEM 5 HEAD,MIZANUR M-1</t>
  </si>
  <si>
    <t>KAJEM 4 HEAD,MIZANUR M-3</t>
  </si>
  <si>
    <t xml:space="preserve">BAINDING WIRE </t>
  </si>
  <si>
    <t>4 KG</t>
  </si>
  <si>
    <t>KAJEM 4 HEAD,MIZANUR M-1</t>
  </si>
  <si>
    <t>MIZANUR M -3</t>
  </si>
  <si>
    <t>KAJEM 8 HEAD,MIZANUR M-3</t>
  </si>
  <si>
    <t xml:space="preserve">EMAMI TO BARUIPUR </t>
  </si>
  <si>
    <t>1 TRIP</t>
  </si>
  <si>
    <t>NAIL 3"</t>
  </si>
  <si>
    <t>2.5 KG</t>
  </si>
  <si>
    <t>KAJEM 5 HEAD,MIZANUR M-3,L-2</t>
  </si>
  <si>
    <t>KAJEM 5 HEAD,MIZANUR M-3,L-1,JAHANGIR L-4</t>
  </si>
  <si>
    <t>KAJEM 5 HEAD,MIZANUR M-2,L-1</t>
  </si>
  <si>
    <t>KAJEM 4 HEAD,MIZANUR M-2,L-2</t>
  </si>
  <si>
    <t>KAJEM -2 HEAD</t>
  </si>
  <si>
    <t>KAJEM 2 HEAD,MIZANUR M-2,L-2, JAHANGIR L-4 (ALL LAB OT-2H)</t>
  </si>
  <si>
    <t>KAJEM 6 HEAD,MIZANUR M-2,L-2</t>
  </si>
  <si>
    <t xml:space="preserve">KAJEM 5 HEAD,MIZANUR M-2,L-2, JAHANGIR L-4 </t>
  </si>
  <si>
    <t xml:space="preserve">KAJEM 6 HEAD,MIZANUR M-2,L-2, JAHANGIR L-4 </t>
  </si>
  <si>
    <t>JHORA</t>
  </si>
  <si>
    <t>KODAL</t>
  </si>
  <si>
    <t xml:space="preserve">KAJEM 7 HEAD,MIZANUR M-2,L-2, JAHANGIR L-4 </t>
  </si>
  <si>
    <t>-</t>
  </si>
  <si>
    <t xml:space="preserve">KAJEM 6 HEAD,MIZANUR M-2, JAHANGIR L-4 </t>
  </si>
  <si>
    <t>KAJEM 6 HEAD,MIZANUR M-3,L-1 JAHANGIR L-5</t>
  </si>
  <si>
    <t>KAJEM 6 HEAD,MIZANUR M-2,L-1 JAHANGIR L-5</t>
  </si>
  <si>
    <t xml:space="preserve">KAJEM 4 HEAD,MIZANUR M-2,L-1 </t>
  </si>
  <si>
    <t>KAJEM 6 HEAD,MIZANUR M-2,L-1 JAHANGIR L-3</t>
  </si>
  <si>
    <t xml:space="preserve">OFFICE TO BARUIPUR </t>
  </si>
  <si>
    <t>5 BUNDLE</t>
  </si>
  <si>
    <t>4 BUNDLE</t>
  </si>
  <si>
    <t>KAJEM 2HEAD,MIZANUR M-2,L-1</t>
  </si>
  <si>
    <t xml:space="preserve">4" DIAMOND </t>
  </si>
  <si>
    <t>UTTAM+3</t>
  </si>
  <si>
    <t>APRIL TO JUNE         2 TON TMT</t>
  </si>
  <si>
    <t>KAJEM 2 HEAD,MIZANUR M-1</t>
  </si>
  <si>
    <t>KAJEM 2 HEAD</t>
  </si>
  <si>
    <t>KAJEM M-1,L-2(HALF DAY)</t>
  </si>
  <si>
    <t>KAJME M-1,L-1</t>
  </si>
  <si>
    <t>KAJEM M-2,L-3,BURHAN M-2(HALF)</t>
  </si>
  <si>
    <t>KAJEM M-2,L-3,BURHAN M-2</t>
  </si>
  <si>
    <t>O.T-ALL-2H</t>
  </si>
  <si>
    <t>KAJME M-2,L-2,BURHAN M-2</t>
  </si>
  <si>
    <t>BURHAN M-2</t>
  </si>
  <si>
    <t>KAJEM M-3,L-3,BURHAN M-2</t>
  </si>
  <si>
    <t>AMBUJA</t>
  </si>
  <si>
    <t>KAJEM M-3,L-3,BURHAN M-2(HALF DAY)</t>
  </si>
  <si>
    <t>WB11E1911</t>
  </si>
  <si>
    <t>KAJEM M-3,L-3</t>
  </si>
  <si>
    <t>KAJEM M-3,L-5</t>
  </si>
  <si>
    <t>KAJEM M-4,L-5</t>
  </si>
  <si>
    <t>KAJEM M-4,L-4</t>
  </si>
  <si>
    <t>KAJEM M-4,L-3</t>
  </si>
  <si>
    <t>KAJEM M-3,L-2,SS-SARFUDDIN</t>
  </si>
  <si>
    <t>KAJEM M-5,L-2,SS SARFUDDIN,ELC MISTRY - 2</t>
  </si>
  <si>
    <t>KAJEM M-5,L-2</t>
  </si>
  <si>
    <t>KAJEM M-4,L-2</t>
  </si>
  <si>
    <t>KAJEM M-2</t>
  </si>
  <si>
    <t>KAJEM M-1,L-2</t>
  </si>
  <si>
    <t>KAJEM M-3,L-2</t>
  </si>
  <si>
    <t>KAJEM M-2,L-2</t>
  </si>
  <si>
    <t>SAND AUG - 2023</t>
  </si>
  <si>
    <t>LOMBA-24 FEET,CHOWRA-7.9INCH,HEIGHT-4.10INCH</t>
  </si>
  <si>
    <t>WB19L3107</t>
  </si>
  <si>
    <t>KAJEM M-2,L-1</t>
  </si>
  <si>
    <t xml:space="preserve">KAJEM M-2, SARFUDDIN </t>
  </si>
  <si>
    <t>KAJEM M-2(HALF DAY)</t>
  </si>
  <si>
    <t>KAJEM M-2,SUDHIR , BAPON</t>
  </si>
  <si>
    <t xml:space="preserve">KAJEM M-2,SUDHIR , BAPON,SARFUDDIN </t>
  </si>
  <si>
    <t>HARDWARE(AUG-2023)</t>
  </si>
  <si>
    <t xml:space="preserve">SS TO BARUIPUR </t>
  </si>
  <si>
    <t>TOLO PUMP</t>
  </si>
  <si>
    <t>1" SECTION PIPE</t>
  </si>
  <si>
    <t xml:space="preserve">NARKEL RUF </t>
  </si>
  <si>
    <t>11 BUNDLE</t>
  </si>
  <si>
    <t xml:space="preserve">CABLE WIRE </t>
  </si>
  <si>
    <t>25'</t>
  </si>
  <si>
    <t xml:space="preserve">  BARUIPUR TO SS</t>
  </si>
  <si>
    <t>8'X4' PLY</t>
  </si>
  <si>
    <t>8'X4' PLY(BATAM)</t>
  </si>
  <si>
    <t>2/3 BATTAM(10')</t>
  </si>
  <si>
    <t>5'X4' PLY</t>
  </si>
  <si>
    <t>3'X4' PLY</t>
  </si>
  <si>
    <t>1/3 BATAM 7'</t>
  </si>
  <si>
    <t>KAJEM M-1,SUDHIR,BAPON</t>
  </si>
  <si>
    <t>LAL M-1,L-3</t>
  </si>
  <si>
    <t>LAL L-2</t>
  </si>
  <si>
    <t>LAL M-1</t>
  </si>
  <si>
    <t>LAL M-1,L-2,BAPON,MIJANUR M-1 - HALF DAY)</t>
  </si>
  <si>
    <t>HARDWARE(SEP-2023)</t>
  </si>
  <si>
    <t>KODAL DAP</t>
  </si>
  <si>
    <t>MIZANUR M-4,UTTAM L-4</t>
  </si>
  <si>
    <t xml:space="preserve">BINDING WIRE </t>
  </si>
  <si>
    <t xml:space="preserve">NAIL </t>
  </si>
  <si>
    <t>MIZANUR M-4,UTTAM L-4 (2 HOUR WORK)</t>
  </si>
  <si>
    <t>16 MM</t>
  </si>
  <si>
    <t xml:space="preserve">8X4 PLY </t>
  </si>
  <si>
    <t>BATTAM - 8FT</t>
  </si>
  <si>
    <t>14P</t>
  </si>
  <si>
    <t xml:space="preserve">2" NAIL </t>
  </si>
  <si>
    <t>5 KG</t>
  </si>
  <si>
    <t>UTTAM L-4</t>
  </si>
  <si>
    <t>MIZANUR M-1,UTTAM L-4</t>
  </si>
  <si>
    <t>MIZANUR M-1,UTTAM L-4,LAL-4</t>
  </si>
  <si>
    <t>MIZANUR M-1,UTTAM L-4,LAL M-1</t>
  </si>
  <si>
    <t>MIZANUR M-1,UTTAM L-3,LAL M-2</t>
  </si>
  <si>
    <t>BELCHA</t>
  </si>
  <si>
    <t>MIZANUR M-1,UTTAM L-3,LAL M-2,SARFUDDIN,BAPON</t>
  </si>
  <si>
    <t>MIZANUR M-1,LAL M-3,L-4 (ALL LAB OT-1H)</t>
  </si>
  <si>
    <t xml:space="preserve">MIZANUR M-1,LAL M-2,L-3 </t>
  </si>
  <si>
    <t>MIZANUR M-1,LAL M-2,L-3 ,BAPON,SARFUDDIN</t>
  </si>
  <si>
    <t>MIZANUR M-1,LAL M-2,L-3 ,BAPON,SARFUDDIN,JAINUL</t>
  </si>
  <si>
    <t>MIZANUR M-1,LAL M-2,L-3 ,BAPON, SARFUDDIN</t>
  </si>
  <si>
    <t>LAL M-2,L-3</t>
  </si>
  <si>
    <t xml:space="preserve">BARUIPUR TO SS OFFICE RETRUN </t>
  </si>
  <si>
    <t>1 NOS</t>
  </si>
  <si>
    <t>BREKER MACHINE ( ORANGE BIT)</t>
  </si>
  <si>
    <t>MIZANUR M-2,L-2</t>
  </si>
  <si>
    <t>30 BAG</t>
  </si>
  <si>
    <t>LAL M-1,L-1</t>
  </si>
  <si>
    <t>LAL M-1,L-2</t>
  </si>
  <si>
    <t>LAL M-2,L-4,ASHA M -1</t>
  </si>
  <si>
    <t>HARDWARE(DEC-2023)</t>
  </si>
  <si>
    <t>NAIL 1.5"</t>
  </si>
  <si>
    <t>PLASTIC</t>
  </si>
  <si>
    <t>1 ROLL</t>
  </si>
  <si>
    <t>4" WOOD CUTTING BLED</t>
  </si>
  <si>
    <t>14" CUTTING WHEEL</t>
  </si>
  <si>
    <t>MIZANUR M -1,UTTAM L -3,LAL M -2,L-4</t>
  </si>
  <si>
    <t>KGS</t>
  </si>
  <si>
    <t>100 CFT -4536KGS</t>
  </si>
  <si>
    <t>20 BAG - 1296 KGS</t>
  </si>
  <si>
    <t>45 BAG - 2916 KGS</t>
  </si>
  <si>
    <t>LAL M -2,L-4</t>
  </si>
  <si>
    <t>LAL M -2,L-4,MIZANUR M -1</t>
  </si>
  <si>
    <t>SAND DEC - 2023</t>
  </si>
  <si>
    <t>WB19H1963</t>
  </si>
  <si>
    <t>WB19H0029</t>
  </si>
  <si>
    <t>LOMBA-16 FEET,CHOWRA-7.3 INCH,HEIGHT-5.10 INCH</t>
  </si>
  <si>
    <t xml:space="preserve">SLIVER SAND </t>
  </si>
  <si>
    <t>WB19H3034</t>
  </si>
  <si>
    <t>LOMBA-16 FEET,CHOWRA-7.3 INCH,HEIGHT-5.8 INCH</t>
  </si>
  <si>
    <t>LOMBA-16 FEET,CHOWRA-7.3 INCH,HEIGHT-5.9 INCH</t>
  </si>
  <si>
    <t>LOMBA-16 FEET,CHOWRA-7.3 INCH,HEIGHT-5.7 INCH</t>
  </si>
  <si>
    <t>WB19H1190</t>
  </si>
  <si>
    <t>NO</t>
  </si>
  <si>
    <t>LAL M -2,L-2,MIZANUR M - 1 , MALLICK M -3,L-3</t>
  </si>
  <si>
    <t>SAND JAN - 2024</t>
  </si>
  <si>
    <t>LAL M -2,L-2,MIZANUR M - 1(SABIR - 2 ATTENDENCE) , MALLICK M -3,L-3</t>
  </si>
  <si>
    <t>LAL M -2,L-2,MIZANUR M -1</t>
  </si>
  <si>
    <t>10 BAG</t>
  </si>
  <si>
    <t>LAL M -2,L-2,MIZANUR M -1,SARFUDDIN,JAINUL</t>
  </si>
  <si>
    <t>LAL M -2,L-2</t>
  </si>
  <si>
    <t>32 BAG</t>
  </si>
  <si>
    <t>HARDWARE(JAN-2024)</t>
  </si>
  <si>
    <t>6 KG</t>
  </si>
  <si>
    <t>CIRCULAR BOX</t>
  </si>
  <si>
    <t>2 PKT</t>
  </si>
  <si>
    <t>MIZANUR M-1,BAPON</t>
  </si>
  <si>
    <t>MIZANUR M-1,BAPON,SARFUDDIN</t>
  </si>
  <si>
    <t>MIZANUR M-1,BAPON,SARFUDDIN,JAINUL</t>
  </si>
  <si>
    <t>MIZANUR M-1,MALLICK M-2,L-2,LAL M-.5,BAPON,SARFUDDIN</t>
  </si>
  <si>
    <t>MIZANUR M-1, LAL M-2,MALLICK M-2,L-2,SARFUDDIN,BAPON</t>
  </si>
  <si>
    <t>20 BAG</t>
  </si>
  <si>
    <t>L.P</t>
  </si>
  <si>
    <t>MIZANUR M-1, LAL M-3,L-1,MALLICK M-2,L-2,SARFUDDIN,BAPON</t>
  </si>
  <si>
    <t>6MM</t>
  </si>
  <si>
    <t>20 PCS</t>
  </si>
  <si>
    <t>23 PCS</t>
  </si>
  <si>
    <t>37 PCS</t>
  </si>
  <si>
    <t>DALMIA</t>
  </si>
  <si>
    <t>MALLICK M-2,L-2,MIZANUR -1</t>
  </si>
  <si>
    <t>MIZANUR M-1, LAL M-3,L-1,MALLICK M-2,L-2</t>
  </si>
  <si>
    <t xml:space="preserve"> LAL M-3,L-1,MALLICK M-2,L-2</t>
  </si>
  <si>
    <t xml:space="preserve"> LAL M-3,L-1,BAPON</t>
  </si>
  <si>
    <t xml:space="preserve">PAPPU TO BARUIPUR </t>
  </si>
  <si>
    <t>195 BAG</t>
  </si>
  <si>
    <t xml:space="preserve">12 BAG </t>
  </si>
  <si>
    <t xml:space="preserve">STONE </t>
  </si>
  <si>
    <t xml:space="preserve">SAND </t>
  </si>
  <si>
    <t>TOTAL</t>
  </si>
  <si>
    <t>ASHA M-2,L-2</t>
  </si>
  <si>
    <t>SAMRAT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</si>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</sst>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7" workbookViewId="0">
      <selection activeCell="E17" sqref="E17"/>
    </sheetView>
  </sheetViews>
  <sheetFormatPr defaultRowHeight="14.4" x14ac:dyDescent="0.3"/>
  <cols>
    <col min="3" max="3" width="29.33203125" bestFit="1" customWidth="1"/>
    <col min="4" max="4" width="11.44140625" bestFit="1" customWidth="1"/>
    <col min="5" max="5" width="18.33203125" bestFit="1" customWidth="1"/>
    <col min="6" max="6" width="13.109375" bestFit="1" customWidth="1"/>
  </cols>
  <sheetData>
    <row r="1" spans="1:6" ht="25.2" x14ac:dyDescent="0.6">
      <c r="A1" s="32" t="s">
        <v>235</v>
      </c>
      <c r="B1" s="33"/>
      <c r="C1" s="33"/>
      <c r="D1" s="33"/>
      <c r="E1" s="33"/>
      <c r="F1" s="34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8" customFormat="1" x14ac:dyDescent="0.3">
      <c r="A3" s="3">
        <v>1</v>
      </c>
      <c r="B3" s="6">
        <v>44910</v>
      </c>
      <c r="C3" s="7" t="s">
        <v>70</v>
      </c>
      <c r="D3" s="3" t="s">
        <v>77</v>
      </c>
      <c r="E3" s="3">
        <v>20</v>
      </c>
      <c r="F3" s="3"/>
    </row>
    <row r="4" spans="1:6" ht="28.8" x14ac:dyDescent="0.3">
      <c r="A4" s="7">
        <v>2</v>
      </c>
      <c r="B4" s="5">
        <v>44911</v>
      </c>
      <c r="C4" s="9" t="s">
        <v>86</v>
      </c>
      <c r="D4" s="7" t="s">
        <v>85</v>
      </c>
      <c r="E4" s="7">
        <v>245</v>
      </c>
      <c r="F4" s="7"/>
    </row>
    <row r="5" spans="1:6" x14ac:dyDescent="0.3">
      <c r="A5" s="7">
        <v>3</v>
      </c>
      <c r="B5" s="5">
        <v>44969</v>
      </c>
      <c r="C5" s="9" t="s">
        <v>133</v>
      </c>
      <c r="D5" s="7"/>
      <c r="E5" s="7">
        <v>25</v>
      </c>
      <c r="F5" s="7"/>
    </row>
    <row r="6" spans="1:6" x14ac:dyDescent="0.3">
      <c r="A6" s="3">
        <v>4</v>
      </c>
      <c r="B6" s="4">
        <v>44990</v>
      </c>
      <c r="C6" s="3" t="s">
        <v>133</v>
      </c>
      <c r="D6" s="3" t="s">
        <v>85</v>
      </c>
      <c r="E6" s="3">
        <v>120</v>
      </c>
      <c r="F6" s="3" t="s">
        <v>195</v>
      </c>
    </row>
    <row r="7" spans="1:6" x14ac:dyDescent="0.3">
      <c r="A7" s="3">
        <v>5</v>
      </c>
      <c r="B7" s="4">
        <v>45026</v>
      </c>
      <c r="C7" s="3" t="s">
        <v>133</v>
      </c>
      <c r="D7" s="3" t="s">
        <v>77</v>
      </c>
      <c r="E7" s="3">
        <v>70</v>
      </c>
      <c r="F7" s="3" t="s">
        <v>236</v>
      </c>
    </row>
    <row r="8" spans="1:6" s="29" customFormat="1" ht="28.8" x14ac:dyDescent="0.3">
      <c r="A8" s="7">
        <v>6</v>
      </c>
      <c r="B8" s="6">
        <v>45085</v>
      </c>
      <c r="C8" s="28" t="s">
        <v>86</v>
      </c>
      <c r="D8" s="7" t="s">
        <v>85</v>
      </c>
      <c r="E8" s="7">
        <v>220</v>
      </c>
      <c r="F8" s="7"/>
    </row>
    <row r="9" spans="1:6" x14ac:dyDescent="0.3">
      <c r="A9" s="3">
        <v>7</v>
      </c>
      <c r="B9" s="4">
        <v>45127</v>
      </c>
      <c r="C9" s="3" t="s">
        <v>133</v>
      </c>
      <c r="D9" s="3" t="s">
        <v>317</v>
      </c>
      <c r="E9" s="3">
        <v>5</v>
      </c>
      <c r="F9" s="3"/>
    </row>
    <row r="10" spans="1:6" x14ac:dyDescent="0.3">
      <c r="A10" s="3">
        <v>8</v>
      </c>
      <c r="B10" s="4">
        <v>45128</v>
      </c>
      <c r="C10" s="3" t="s">
        <v>133</v>
      </c>
      <c r="D10" s="3" t="s">
        <v>317</v>
      </c>
      <c r="E10" s="3">
        <v>5</v>
      </c>
      <c r="F10" s="3"/>
    </row>
    <row r="11" spans="1:6" x14ac:dyDescent="0.3">
      <c r="A11" s="3">
        <v>9</v>
      </c>
      <c r="B11" s="4">
        <v>45129</v>
      </c>
      <c r="C11" s="3" t="s">
        <v>133</v>
      </c>
      <c r="D11" s="3" t="s">
        <v>85</v>
      </c>
      <c r="E11" s="3">
        <v>120</v>
      </c>
      <c r="F11" s="3" t="s">
        <v>319</v>
      </c>
    </row>
    <row r="12" spans="1:6" s="29" customFormat="1" ht="28.8" x14ac:dyDescent="0.3">
      <c r="A12" s="7">
        <v>10</v>
      </c>
      <c r="B12" s="6">
        <v>45207</v>
      </c>
      <c r="C12" s="28" t="s">
        <v>86</v>
      </c>
      <c r="D12" s="7" t="s">
        <v>77</v>
      </c>
      <c r="E12" s="7">
        <v>40</v>
      </c>
      <c r="F12" s="7"/>
    </row>
    <row r="13" spans="1:6" x14ac:dyDescent="0.3">
      <c r="A13" s="3">
        <v>11</v>
      </c>
      <c r="B13" s="4">
        <v>45211</v>
      </c>
      <c r="C13" s="3" t="s">
        <v>70</v>
      </c>
      <c r="D13" s="3" t="s">
        <v>85</v>
      </c>
      <c r="E13" s="3">
        <v>40</v>
      </c>
      <c r="F13" s="3" t="s">
        <v>236</v>
      </c>
    </row>
    <row r="14" spans="1:6" x14ac:dyDescent="0.3">
      <c r="A14" s="3">
        <v>12</v>
      </c>
      <c r="B14" s="4">
        <v>45236</v>
      </c>
      <c r="C14" s="3" t="s">
        <v>70</v>
      </c>
      <c r="D14" s="3" t="s">
        <v>85</v>
      </c>
      <c r="E14" s="3">
        <v>16</v>
      </c>
      <c r="F14" s="3"/>
    </row>
    <row r="15" spans="1:6" x14ac:dyDescent="0.3">
      <c r="A15" s="3">
        <v>13</v>
      </c>
      <c r="B15" s="4">
        <v>45278</v>
      </c>
      <c r="C15" s="3" t="s">
        <v>70</v>
      </c>
      <c r="D15" s="3" t="s">
        <v>85</v>
      </c>
      <c r="E15" s="3">
        <v>30</v>
      </c>
      <c r="F15" s="3" t="s">
        <v>29</v>
      </c>
    </row>
    <row r="16" spans="1:6" s="29" customFormat="1" ht="28.8" x14ac:dyDescent="0.3">
      <c r="A16" s="7">
        <v>14</v>
      </c>
      <c r="B16" s="6">
        <v>45293</v>
      </c>
      <c r="C16" s="28" t="s">
        <v>86</v>
      </c>
      <c r="D16" s="7" t="s">
        <v>85</v>
      </c>
      <c r="E16" s="7">
        <v>35</v>
      </c>
      <c r="F16" s="7" t="s">
        <v>29</v>
      </c>
    </row>
    <row r="17" spans="1:6" x14ac:dyDescent="0.3">
      <c r="A17" s="3">
        <v>15</v>
      </c>
      <c r="B17" s="4">
        <v>45310</v>
      </c>
      <c r="C17" s="3" t="s">
        <v>133</v>
      </c>
      <c r="D17" s="3" t="s">
        <v>85</v>
      </c>
      <c r="E17" s="3">
        <v>10</v>
      </c>
      <c r="F17" s="3" t="s">
        <v>436</v>
      </c>
    </row>
    <row r="18" spans="1:6" x14ac:dyDescent="0.3">
      <c r="A18" s="3">
        <v>16</v>
      </c>
      <c r="B18" s="4">
        <v>45311</v>
      </c>
      <c r="C18" s="3" t="s">
        <v>133</v>
      </c>
      <c r="D18" s="3" t="s">
        <v>442</v>
      </c>
      <c r="E18" s="3">
        <v>25</v>
      </c>
      <c r="F18" s="3"/>
    </row>
    <row r="19" spans="1:6" x14ac:dyDescent="0.3">
      <c r="A19" s="3">
        <v>17</v>
      </c>
      <c r="B19" s="4">
        <v>45313</v>
      </c>
      <c r="C19" s="3" t="s">
        <v>447</v>
      </c>
      <c r="D19" s="3" t="s">
        <v>442</v>
      </c>
      <c r="E19" s="3">
        <v>40</v>
      </c>
      <c r="F19" s="3" t="s">
        <v>29</v>
      </c>
    </row>
    <row r="20" spans="1:6" x14ac:dyDescent="0.3">
      <c r="A20" s="7"/>
      <c r="B20" s="7"/>
      <c r="C20" s="7"/>
      <c r="D20" s="7"/>
      <c r="E20" s="7"/>
      <c r="F20" s="7"/>
    </row>
    <row r="21" spans="1:6" x14ac:dyDescent="0.3">
      <c r="A21" s="7"/>
      <c r="B21" s="7"/>
      <c r="C21" s="7"/>
      <c r="D21" s="7"/>
      <c r="E21" s="7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7"/>
      <c r="B24" s="7"/>
      <c r="C24" s="7"/>
      <c r="D24" s="7"/>
      <c r="E24" s="7"/>
      <c r="F24" s="7"/>
    </row>
    <row r="25" spans="1:6" x14ac:dyDescent="0.3">
      <c r="A25" s="7"/>
      <c r="B25" s="7"/>
      <c r="C25" s="7"/>
      <c r="D25" s="7"/>
      <c r="E25" s="7"/>
      <c r="F25" s="7"/>
    </row>
    <row r="26" spans="1:6" x14ac:dyDescent="0.3">
      <c r="A26" s="7"/>
      <c r="B26" s="7"/>
      <c r="C26" s="7"/>
      <c r="D26" s="7"/>
      <c r="E26" s="7"/>
      <c r="F26" s="7"/>
    </row>
    <row r="27" spans="1:6" x14ac:dyDescent="0.3">
      <c r="A27" s="7"/>
      <c r="B27" s="7"/>
      <c r="C27" s="7"/>
      <c r="D27" s="7"/>
      <c r="E27" s="7"/>
      <c r="F27" s="7"/>
    </row>
    <row r="28" spans="1:6" x14ac:dyDescent="0.3">
      <c r="A28" s="7"/>
      <c r="B28" s="7"/>
      <c r="C28" s="7"/>
      <c r="D28" s="7"/>
      <c r="E28" s="7"/>
      <c r="F28" s="7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F21" sqref="F21"/>
    </sheetView>
  </sheetViews>
  <sheetFormatPr defaultRowHeight="14.4" x14ac:dyDescent="0.3"/>
  <cols>
    <col min="3" max="3" width="29.33203125" bestFit="1" customWidth="1"/>
    <col min="4" max="4" width="9.44140625" bestFit="1" customWidth="1"/>
    <col min="5" max="5" width="18.33203125" bestFit="1" customWidth="1"/>
  </cols>
  <sheetData>
    <row r="1" spans="1:8" ht="25.2" x14ac:dyDescent="0.6">
      <c r="A1" s="32" t="s">
        <v>128</v>
      </c>
      <c r="B1" s="33"/>
      <c r="C1" s="33"/>
      <c r="D1" s="33"/>
      <c r="E1" s="33"/>
      <c r="F1" s="34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8" x14ac:dyDescent="0.3">
      <c r="A3" s="3">
        <v>1</v>
      </c>
      <c r="B3" s="4">
        <v>44881</v>
      </c>
      <c r="C3" s="3" t="s">
        <v>133</v>
      </c>
      <c r="D3" s="3"/>
      <c r="E3" s="3" t="s">
        <v>131</v>
      </c>
      <c r="F3" s="3">
        <f>9550+625</f>
        <v>10175</v>
      </c>
    </row>
    <row r="4" spans="1:8" x14ac:dyDescent="0.3">
      <c r="A4" s="3">
        <v>2</v>
      </c>
      <c r="B4" s="4">
        <v>44887</v>
      </c>
      <c r="C4" s="3" t="s">
        <v>133</v>
      </c>
      <c r="D4" s="3"/>
      <c r="E4" s="3">
        <v>250</v>
      </c>
      <c r="F4" s="3">
        <v>250</v>
      </c>
    </row>
    <row r="5" spans="1:8" x14ac:dyDescent="0.3">
      <c r="A5" s="3">
        <v>3</v>
      </c>
      <c r="B5" s="4">
        <v>44910</v>
      </c>
      <c r="C5" s="3" t="s">
        <v>133</v>
      </c>
      <c r="D5" s="3"/>
      <c r="E5" s="3">
        <v>2950</v>
      </c>
      <c r="F5" s="3">
        <v>2950</v>
      </c>
    </row>
    <row r="6" spans="1:8" x14ac:dyDescent="0.3">
      <c r="A6" s="3">
        <v>4</v>
      </c>
      <c r="B6" s="4">
        <v>44990</v>
      </c>
      <c r="C6" s="3" t="s">
        <v>133</v>
      </c>
      <c r="D6" s="3"/>
      <c r="E6" s="3">
        <v>120</v>
      </c>
      <c r="F6" s="3">
        <v>120</v>
      </c>
    </row>
    <row r="7" spans="1:8" x14ac:dyDescent="0.3">
      <c r="A7" s="3">
        <v>5</v>
      </c>
      <c r="B7" s="4">
        <v>45294</v>
      </c>
      <c r="C7" s="3" t="s">
        <v>132</v>
      </c>
      <c r="D7" s="3"/>
      <c r="E7" s="3">
        <v>1908</v>
      </c>
      <c r="F7" s="3">
        <v>1908</v>
      </c>
      <c r="H7">
        <f>13495*8</f>
        <v>107960</v>
      </c>
    </row>
    <row r="8" spans="1:8" x14ac:dyDescent="0.3">
      <c r="A8" s="3"/>
      <c r="B8" s="3"/>
      <c r="C8" s="3"/>
      <c r="D8" s="3"/>
      <c r="E8" s="3"/>
      <c r="F8" s="3"/>
    </row>
    <row r="9" spans="1:8" x14ac:dyDescent="0.3">
      <c r="A9" s="3"/>
      <c r="B9" s="3"/>
      <c r="C9" s="3"/>
      <c r="D9" s="3"/>
      <c r="E9" s="3"/>
      <c r="F9" s="3"/>
    </row>
    <row r="10" spans="1:8" x14ac:dyDescent="0.3">
      <c r="A10" s="3"/>
      <c r="B10" s="3"/>
      <c r="C10" s="3"/>
      <c r="D10" s="3"/>
      <c r="E10" s="3"/>
      <c r="F10" s="3"/>
    </row>
    <row r="11" spans="1:8" x14ac:dyDescent="0.3">
      <c r="A11" s="3"/>
      <c r="B11" s="3"/>
      <c r="C11" s="3"/>
      <c r="D11" s="3"/>
      <c r="E11" s="3"/>
      <c r="F11" s="3"/>
    </row>
    <row r="12" spans="1:8" x14ac:dyDescent="0.3">
      <c r="A12" s="3"/>
      <c r="B12" s="3"/>
      <c r="C12" s="3"/>
      <c r="D12" s="3"/>
      <c r="E12" s="3"/>
      <c r="F12" s="3"/>
    </row>
    <row r="13" spans="1:8" x14ac:dyDescent="0.3">
      <c r="A13" s="3"/>
      <c r="B13" s="3"/>
      <c r="C13" s="3"/>
      <c r="D13" s="3"/>
      <c r="E13" s="3"/>
      <c r="F13" s="3"/>
    </row>
    <row r="14" spans="1:8" x14ac:dyDescent="0.3">
      <c r="A14" s="3"/>
      <c r="B14" s="3"/>
      <c r="C14" s="3"/>
      <c r="D14" s="3"/>
      <c r="E14" s="3"/>
      <c r="F14" s="3"/>
    </row>
    <row r="15" spans="1:8" x14ac:dyDescent="0.3">
      <c r="A15" s="3"/>
      <c r="B15" s="3"/>
      <c r="C15" s="3"/>
      <c r="D15" s="3"/>
      <c r="E15" s="3"/>
      <c r="F15" s="3"/>
    </row>
    <row r="16" spans="1:8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opLeftCell="A13" workbookViewId="0">
      <selection activeCell="J30" sqref="J30"/>
    </sheetView>
  </sheetViews>
  <sheetFormatPr defaultRowHeight="14.4" x14ac:dyDescent="0.3"/>
  <cols>
    <col min="2" max="2" width="8.44140625" bestFit="1" customWidth="1"/>
    <col min="3" max="3" width="29.33203125" bestFit="1" customWidth="1"/>
    <col min="6" max="6" width="18.33203125" bestFit="1" customWidth="1"/>
    <col min="7" max="7" width="10.88671875" bestFit="1" customWidth="1"/>
    <col min="8" max="8" width="17.33203125" customWidth="1"/>
  </cols>
  <sheetData>
    <row r="1" spans="1:13" ht="25.2" x14ac:dyDescent="0.6">
      <c r="A1" s="32" t="s">
        <v>121</v>
      </c>
      <c r="B1" s="33"/>
      <c r="C1" s="33"/>
      <c r="D1" s="33"/>
      <c r="E1" s="33"/>
      <c r="F1" s="33"/>
      <c r="G1" s="34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401</v>
      </c>
      <c r="F2" s="1" t="s">
        <v>4</v>
      </c>
      <c r="G2" s="1" t="s">
        <v>5</v>
      </c>
    </row>
    <row r="3" spans="1:13" x14ac:dyDescent="0.3">
      <c r="A3" s="3">
        <v>1</v>
      </c>
      <c r="B3" s="46">
        <v>44887</v>
      </c>
      <c r="C3" s="40" t="s">
        <v>44</v>
      </c>
      <c r="D3" s="3" t="s">
        <v>45</v>
      </c>
      <c r="E3" s="3">
        <v>189.6</v>
      </c>
      <c r="F3" s="3" t="s">
        <v>47</v>
      </c>
      <c r="G3" s="3"/>
    </row>
    <row r="4" spans="1:13" x14ac:dyDescent="0.3">
      <c r="A4" s="3">
        <v>2</v>
      </c>
      <c r="B4" s="47"/>
      <c r="C4" s="42"/>
      <c r="D4" s="3" t="s">
        <v>46</v>
      </c>
      <c r="E4" s="3">
        <v>207.4</v>
      </c>
      <c r="F4" s="3" t="s">
        <v>47</v>
      </c>
      <c r="G4" s="3"/>
    </row>
    <row r="5" spans="1:13" x14ac:dyDescent="0.3">
      <c r="A5" s="15">
        <v>3</v>
      </c>
      <c r="B5" s="13">
        <v>44889</v>
      </c>
      <c r="C5" s="12" t="s">
        <v>132</v>
      </c>
      <c r="D5" s="3" t="s">
        <v>74</v>
      </c>
      <c r="E5" s="3">
        <v>320.01</v>
      </c>
      <c r="F5" s="3" t="s">
        <v>41</v>
      </c>
      <c r="G5" s="15"/>
    </row>
    <row r="6" spans="1:13" x14ac:dyDescent="0.3">
      <c r="A6" s="40">
        <v>4</v>
      </c>
      <c r="B6" s="46">
        <v>44910</v>
      </c>
      <c r="C6" s="40" t="s">
        <v>70</v>
      </c>
      <c r="D6" s="3" t="s">
        <v>45</v>
      </c>
      <c r="E6" s="3">
        <v>237</v>
      </c>
      <c r="F6" s="3" t="s">
        <v>71</v>
      </c>
      <c r="G6" s="40" t="s">
        <v>76</v>
      </c>
    </row>
    <row r="7" spans="1:13" x14ac:dyDescent="0.3">
      <c r="A7" s="41"/>
      <c r="B7" s="48"/>
      <c r="C7" s="41"/>
      <c r="D7" s="3" t="s">
        <v>72</v>
      </c>
      <c r="E7" s="3">
        <v>466.65</v>
      </c>
      <c r="F7" s="3" t="s">
        <v>73</v>
      </c>
      <c r="G7" s="41"/>
    </row>
    <row r="8" spans="1:13" x14ac:dyDescent="0.3">
      <c r="A8" s="42"/>
      <c r="B8" s="47"/>
      <c r="C8" s="42"/>
      <c r="D8" s="3" t="s">
        <v>74</v>
      </c>
      <c r="E8" s="3">
        <v>320.04000000000002</v>
      </c>
      <c r="F8" s="3" t="s">
        <v>75</v>
      </c>
      <c r="G8" s="42"/>
    </row>
    <row r="9" spans="1:13" x14ac:dyDescent="0.3">
      <c r="A9" s="3">
        <v>5</v>
      </c>
      <c r="B9" s="4">
        <v>44957</v>
      </c>
      <c r="C9" s="3" t="s">
        <v>70</v>
      </c>
      <c r="D9" s="3" t="s">
        <v>74</v>
      </c>
      <c r="E9" s="3">
        <v>533.4</v>
      </c>
      <c r="F9" s="3" t="s">
        <v>122</v>
      </c>
      <c r="G9" s="3"/>
    </row>
    <row r="10" spans="1:13" x14ac:dyDescent="0.3">
      <c r="A10" s="40">
        <v>6</v>
      </c>
      <c r="B10" s="46">
        <v>44974</v>
      </c>
      <c r="C10" s="40" t="s">
        <v>82</v>
      </c>
      <c r="D10" s="3" t="s">
        <v>159</v>
      </c>
      <c r="E10" s="3">
        <v>533.4</v>
      </c>
      <c r="F10" s="3" t="s">
        <v>122</v>
      </c>
      <c r="G10" s="40" t="s">
        <v>162</v>
      </c>
    </row>
    <row r="11" spans="1:13" x14ac:dyDescent="0.3">
      <c r="A11" s="41"/>
      <c r="B11" s="48"/>
      <c r="C11" s="41"/>
      <c r="D11" s="3" t="s">
        <v>46</v>
      </c>
      <c r="E11" s="3">
        <v>518.5</v>
      </c>
      <c r="F11" s="3" t="s">
        <v>122</v>
      </c>
      <c r="G11" s="41"/>
    </row>
    <row r="12" spans="1:13" x14ac:dyDescent="0.3">
      <c r="A12" s="42"/>
      <c r="B12" s="47"/>
      <c r="C12" s="42"/>
      <c r="D12" s="3" t="s">
        <v>160</v>
      </c>
      <c r="E12" s="3">
        <v>331.8</v>
      </c>
      <c r="F12" s="3" t="s">
        <v>161</v>
      </c>
      <c r="G12" s="42"/>
    </row>
    <row r="13" spans="1:13" x14ac:dyDescent="0.3">
      <c r="A13" s="40">
        <v>7</v>
      </c>
      <c r="B13" s="46">
        <v>44988</v>
      </c>
      <c r="C13" s="40" t="s">
        <v>70</v>
      </c>
      <c r="D13" s="3" t="s">
        <v>74</v>
      </c>
      <c r="E13" s="3">
        <v>800.1</v>
      </c>
      <c r="F13" s="3" t="s">
        <v>183</v>
      </c>
      <c r="G13" s="40" t="s">
        <v>29</v>
      </c>
    </row>
    <row r="14" spans="1:13" x14ac:dyDescent="0.3">
      <c r="A14" s="41"/>
      <c r="B14" s="48"/>
      <c r="C14" s="41"/>
      <c r="D14" s="3" t="s">
        <v>160</v>
      </c>
      <c r="E14" s="3">
        <v>379.2</v>
      </c>
      <c r="F14" s="3" t="s">
        <v>184</v>
      </c>
      <c r="G14" s="41"/>
      <c r="M14">
        <v>4.82</v>
      </c>
    </row>
    <row r="15" spans="1:13" ht="15" thickBot="1" x14ac:dyDescent="0.35">
      <c r="A15" s="42"/>
      <c r="B15" s="47"/>
      <c r="C15" s="42"/>
      <c r="D15" s="3" t="s">
        <v>72</v>
      </c>
      <c r="E15" s="3">
        <v>155.55000000000001</v>
      </c>
      <c r="F15" s="3" t="s">
        <v>185</v>
      </c>
      <c r="G15" s="42"/>
    </row>
    <row r="16" spans="1:13" x14ac:dyDescent="0.3">
      <c r="A16" s="40">
        <v>8</v>
      </c>
      <c r="B16" s="46">
        <v>45077</v>
      </c>
      <c r="C16" s="40" t="s">
        <v>70</v>
      </c>
      <c r="D16" s="3" t="s">
        <v>46</v>
      </c>
      <c r="E16" s="3">
        <v>1037</v>
      </c>
      <c r="F16" s="3" t="s">
        <v>266</v>
      </c>
      <c r="G16" s="43" t="s">
        <v>29</v>
      </c>
      <c r="H16" s="35" t="s">
        <v>306</v>
      </c>
    </row>
    <row r="17" spans="1:9" x14ac:dyDescent="0.3">
      <c r="A17" s="42"/>
      <c r="B17" s="47"/>
      <c r="C17" s="42"/>
      <c r="D17" s="3" t="s">
        <v>160</v>
      </c>
      <c r="E17" s="3">
        <v>284.39999999999998</v>
      </c>
      <c r="F17" s="3" t="s">
        <v>267</v>
      </c>
      <c r="G17" s="45"/>
      <c r="H17" s="36"/>
    </row>
    <row r="18" spans="1:9" x14ac:dyDescent="0.3">
      <c r="A18" s="40">
        <v>9</v>
      </c>
      <c r="B18" s="38">
        <v>45103</v>
      </c>
      <c r="C18" s="39" t="s">
        <v>300</v>
      </c>
      <c r="D18" s="7" t="s">
        <v>160</v>
      </c>
      <c r="E18" s="7">
        <v>284.39999999999998</v>
      </c>
      <c r="F18" s="7" t="s">
        <v>267</v>
      </c>
      <c r="G18" s="43" t="s">
        <v>29</v>
      </c>
      <c r="H18" s="36"/>
    </row>
    <row r="19" spans="1:9" x14ac:dyDescent="0.3">
      <c r="A19" s="41"/>
      <c r="B19" s="38"/>
      <c r="C19" s="39"/>
      <c r="D19" s="7" t="s">
        <v>46</v>
      </c>
      <c r="E19" s="7">
        <v>259.25</v>
      </c>
      <c r="F19" s="7" t="s">
        <v>301</v>
      </c>
      <c r="G19" s="44"/>
      <c r="H19" s="36"/>
    </row>
    <row r="20" spans="1:9" ht="15" thickBot="1" x14ac:dyDescent="0.35">
      <c r="A20" s="42"/>
      <c r="B20" s="38"/>
      <c r="C20" s="39"/>
      <c r="D20" s="7" t="s">
        <v>74</v>
      </c>
      <c r="E20" s="7">
        <v>213.36</v>
      </c>
      <c r="F20" s="7" t="s">
        <v>302</v>
      </c>
      <c r="G20" s="45"/>
      <c r="H20" s="37"/>
      <c r="I20">
        <v>120000</v>
      </c>
    </row>
    <row r="21" spans="1:9" x14ac:dyDescent="0.3">
      <c r="A21" s="40">
        <v>10</v>
      </c>
      <c r="B21" s="46">
        <v>45192</v>
      </c>
      <c r="C21" s="40" t="s">
        <v>300</v>
      </c>
      <c r="D21" s="3" t="s">
        <v>160</v>
      </c>
      <c r="E21" s="3">
        <v>237</v>
      </c>
      <c r="F21" s="7" t="s">
        <v>301</v>
      </c>
      <c r="G21" s="40" t="s">
        <v>29</v>
      </c>
    </row>
    <row r="22" spans="1:9" x14ac:dyDescent="0.3">
      <c r="A22" s="41"/>
      <c r="B22" s="48"/>
      <c r="C22" s="41"/>
      <c r="D22" s="3" t="s">
        <v>46</v>
      </c>
      <c r="E22" s="3">
        <v>103.7</v>
      </c>
      <c r="F22" s="3" t="s">
        <v>239</v>
      </c>
      <c r="G22" s="41"/>
    </row>
    <row r="23" spans="1:9" x14ac:dyDescent="0.3">
      <c r="A23" s="41"/>
      <c r="B23" s="48"/>
      <c r="C23" s="41"/>
      <c r="D23" s="3" t="s">
        <v>74</v>
      </c>
      <c r="E23" s="3">
        <v>160.02000000000001</v>
      </c>
      <c r="F23" s="3" t="s">
        <v>185</v>
      </c>
      <c r="G23" s="41"/>
    </row>
    <row r="24" spans="1:9" x14ac:dyDescent="0.3">
      <c r="A24" s="42"/>
      <c r="B24" s="47"/>
      <c r="C24" s="42"/>
      <c r="D24" s="3" t="s">
        <v>367</v>
      </c>
      <c r="E24" s="3">
        <v>341.334</v>
      </c>
      <c r="F24" s="3" t="s">
        <v>267</v>
      </c>
      <c r="G24" s="42"/>
    </row>
    <row r="25" spans="1:9" x14ac:dyDescent="0.3">
      <c r="A25" s="40">
        <v>11</v>
      </c>
      <c r="B25" s="46">
        <v>45311</v>
      </c>
      <c r="C25" s="40" t="s">
        <v>300</v>
      </c>
      <c r="D25" s="3" t="s">
        <v>74</v>
      </c>
      <c r="E25" s="3">
        <f>10.667*20</f>
        <v>213.34</v>
      </c>
      <c r="F25" s="3" t="s">
        <v>439</v>
      </c>
      <c r="G25" s="40" t="s">
        <v>29</v>
      </c>
    </row>
    <row r="26" spans="1:9" x14ac:dyDescent="0.3">
      <c r="A26" s="41"/>
      <c r="B26" s="48"/>
      <c r="C26" s="41"/>
      <c r="D26" s="3" t="s">
        <v>45</v>
      </c>
      <c r="E26" s="3">
        <f>4.74*37</f>
        <v>175.38</v>
      </c>
      <c r="F26" s="3" t="s">
        <v>441</v>
      </c>
      <c r="G26" s="41"/>
    </row>
    <row r="27" spans="1:9" x14ac:dyDescent="0.3">
      <c r="A27" s="42"/>
      <c r="B27" s="47"/>
      <c r="C27" s="42"/>
      <c r="D27" s="7" t="s">
        <v>438</v>
      </c>
      <c r="E27" s="7">
        <f>2.672*23</f>
        <v>61.456000000000003</v>
      </c>
      <c r="F27" s="7" t="s">
        <v>440</v>
      </c>
      <c r="G27" s="42"/>
    </row>
    <row r="28" spans="1:9" x14ac:dyDescent="0.3">
      <c r="A28" s="7"/>
      <c r="B28" s="7"/>
      <c r="C28" s="7"/>
      <c r="D28" s="7"/>
      <c r="E28" s="7"/>
      <c r="F28" s="7"/>
      <c r="G28" s="7"/>
    </row>
    <row r="29" spans="1:9" x14ac:dyDescent="0.3">
      <c r="A29" s="7"/>
      <c r="B29" s="7"/>
      <c r="C29" s="7"/>
      <c r="D29" s="7"/>
      <c r="E29" s="7"/>
      <c r="F29" s="7"/>
      <c r="G29" s="7"/>
    </row>
    <row r="30" spans="1:9" x14ac:dyDescent="0.3">
      <c r="A30" s="7"/>
      <c r="B30" s="7"/>
      <c r="C30" s="7"/>
      <c r="D30" s="7"/>
      <c r="E30" s="7"/>
      <c r="F30" s="7"/>
      <c r="G30" s="7"/>
    </row>
    <row r="31" spans="1:9" x14ac:dyDescent="0.3">
      <c r="A31" s="7"/>
      <c r="B31" s="7"/>
      <c r="C31" s="7"/>
      <c r="D31" s="7"/>
      <c r="E31" s="7"/>
      <c r="F31" s="7"/>
      <c r="G31" s="7"/>
    </row>
  </sheetData>
  <autoFilter ref="A2:G24" xr:uid="{00000000-0009-0000-0000-000002000000}"/>
  <mergeCells count="32">
    <mergeCell ref="C25:C27"/>
    <mergeCell ref="B25:B27"/>
    <mergeCell ref="A25:A27"/>
    <mergeCell ref="G25:G27"/>
    <mergeCell ref="G21:G24"/>
    <mergeCell ref="C21:C24"/>
    <mergeCell ref="B21:B24"/>
    <mergeCell ref="A21:A24"/>
    <mergeCell ref="A1:G1"/>
    <mergeCell ref="C3:C4"/>
    <mergeCell ref="B3:B4"/>
    <mergeCell ref="A6:A8"/>
    <mergeCell ref="B6:B8"/>
    <mergeCell ref="C6:C8"/>
    <mergeCell ref="G6:G8"/>
    <mergeCell ref="B10:B12"/>
    <mergeCell ref="C10:C12"/>
    <mergeCell ref="G10:G12"/>
    <mergeCell ref="A10:A12"/>
    <mergeCell ref="C13:C15"/>
    <mergeCell ref="B13:B15"/>
    <mergeCell ref="A13:A15"/>
    <mergeCell ref="G13:G15"/>
    <mergeCell ref="H16:H20"/>
    <mergeCell ref="B18:B20"/>
    <mergeCell ref="C18:C20"/>
    <mergeCell ref="A18:A20"/>
    <mergeCell ref="G18:G20"/>
    <mergeCell ref="G16:G17"/>
    <mergeCell ref="C16:C17"/>
    <mergeCell ref="B16:B17"/>
    <mergeCell ref="A16:A17"/>
  </mergeCells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E10" sqref="E10"/>
    </sheetView>
  </sheetViews>
  <sheetFormatPr defaultRowHeight="14.4" x14ac:dyDescent="0.3"/>
  <cols>
    <col min="2" max="2" width="10.33203125" bestFit="1" customWidth="1"/>
    <col min="3" max="3" width="29.33203125" bestFit="1" customWidth="1"/>
    <col min="5" max="5" width="18.33203125" bestFit="1" customWidth="1"/>
    <col min="6" max="6" width="11.109375" bestFit="1" customWidth="1"/>
  </cols>
  <sheetData>
    <row r="1" spans="1:11" ht="25.2" x14ac:dyDescent="0.6">
      <c r="A1" s="32" t="s">
        <v>129</v>
      </c>
      <c r="B1" s="33"/>
      <c r="C1" s="33"/>
      <c r="D1" s="33"/>
      <c r="E1" s="33"/>
      <c r="F1" s="34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3">
      <c r="A3" s="3">
        <v>1</v>
      </c>
      <c r="B3" s="4">
        <v>44916</v>
      </c>
      <c r="C3" s="3" t="s">
        <v>133</v>
      </c>
      <c r="D3" s="16" t="s">
        <v>138</v>
      </c>
      <c r="E3" s="3" t="s">
        <v>139</v>
      </c>
      <c r="F3" s="3" t="s">
        <v>140</v>
      </c>
    </row>
    <row r="4" spans="1:11" x14ac:dyDescent="0.3">
      <c r="A4" s="3">
        <v>2</v>
      </c>
      <c r="B4" s="4">
        <v>44922</v>
      </c>
      <c r="C4" s="3" t="s">
        <v>133</v>
      </c>
      <c r="D4" s="3" t="s">
        <v>141</v>
      </c>
      <c r="E4" s="3" t="s">
        <v>142</v>
      </c>
      <c r="F4" s="3" t="s">
        <v>143</v>
      </c>
    </row>
    <row r="5" spans="1:11" x14ac:dyDescent="0.3">
      <c r="A5" s="3">
        <v>3</v>
      </c>
      <c r="B5" s="4">
        <v>44927</v>
      </c>
      <c r="C5" s="3" t="s">
        <v>133</v>
      </c>
      <c r="D5" s="3" t="s">
        <v>138</v>
      </c>
      <c r="E5" s="3" t="s">
        <v>144</v>
      </c>
      <c r="F5" s="3" t="s">
        <v>145</v>
      </c>
    </row>
    <row r="6" spans="1:11" x14ac:dyDescent="0.3">
      <c r="A6" s="3">
        <v>4</v>
      </c>
      <c r="B6" s="4">
        <v>45127</v>
      </c>
      <c r="C6" s="3" t="s">
        <v>133</v>
      </c>
      <c r="D6" s="3" t="s">
        <v>138</v>
      </c>
      <c r="E6" s="3" t="s">
        <v>403</v>
      </c>
      <c r="F6" s="3"/>
    </row>
    <row r="7" spans="1:11" x14ac:dyDescent="0.3">
      <c r="A7" s="3">
        <v>5</v>
      </c>
      <c r="B7" s="4">
        <v>45190</v>
      </c>
      <c r="C7" s="3" t="s">
        <v>133</v>
      </c>
      <c r="D7" s="3" t="s">
        <v>138</v>
      </c>
      <c r="E7" s="3" t="s">
        <v>403</v>
      </c>
      <c r="F7" s="3"/>
      <c r="K7" t="s">
        <v>149</v>
      </c>
    </row>
    <row r="8" spans="1:11" x14ac:dyDescent="0.3">
      <c r="A8" s="3">
        <v>6</v>
      </c>
      <c r="B8" s="4">
        <v>45196</v>
      </c>
      <c r="C8" s="3" t="s">
        <v>133</v>
      </c>
      <c r="D8" s="3" t="s">
        <v>138</v>
      </c>
      <c r="E8" s="3" t="s">
        <v>402</v>
      </c>
      <c r="F8" s="3"/>
    </row>
    <row r="9" spans="1:11" x14ac:dyDescent="0.3">
      <c r="A9" s="3">
        <v>7</v>
      </c>
      <c r="B9" s="4">
        <v>45208</v>
      </c>
      <c r="C9" s="3" t="s">
        <v>133</v>
      </c>
      <c r="D9" s="3" t="s">
        <v>138</v>
      </c>
      <c r="E9" s="3" t="s">
        <v>404</v>
      </c>
      <c r="F9" s="3"/>
    </row>
    <row r="10" spans="1:11" x14ac:dyDescent="0.3">
      <c r="A10" s="3">
        <v>8</v>
      </c>
      <c r="B10" s="4">
        <v>45227</v>
      </c>
      <c r="C10" s="3" t="s">
        <v>133</v>
      </c>
      <c r="D10" s="3" t="s">
        <v>138</v>
      </c>
      <c r="E10" s="3" t="s">
        <v>449</v>
      </c>
      <c r="F10" s="3"/>
    </row>
    <row r="11" spans="1:11" x14ac:dyDescent="0.3">
      <c r="A11" s="3">
        <v>9</v>
      </c>
      <c r="B11" s="4">
        <v>45236</v>
      </c>
      <c r="C11" s="3" t="s">
        <v>133</v>
      </c>
      <c r="D11" s="3" t="s">
        <v>138</v>
      </c>
      <c r="E11" s="3" t="s">
        <v>390</v>
      </c>
      <c r="F11" s="3"/>
    </row>
    <row r="12" spans="1:11" x14ac:dyDescent="0.3">
      <c r="A12" s="3">
        <v>10</v>
      </c>
      <c r="B12" s="4">
        <v>45295</v>
      </c>
      <c r="C12" s="3" t="s">
        <v>133</v>
      </c>
      <c r="D12" s="3" t="s">
        <v>138</v>
      </c>
      <c r="E12" s="3" t="s">
        <v>422</v>
      </c>
      <c r="F12" s="3"/>
    </row>
    <row r="13" spans="1:11" x14ac:dyDescent="0.3">
      <c r="A13" s="3">
        <v>11</v>
      </c>
      <c r="B13" s="4">
        <v>45299</v>
      </c>
      <c r="C13" s="3" t="s">
        <v>133</v>
      </c>
      <c r="D13" s="3" t="s">
        <v>138</v>
      </c>
      <c r="E13" s="3" t="s">
        <v>425</v>
      </c>
      <c r="F13" s="3"/>
    </row>
    <row r="14" spans="1:11" x14ac:dyDescent="0.3">
      <c r="A14" s="3"/>
      <c r="B14" s="4"/>
      <c r="C14" s="3"/>
      <c r="D14" s="3"/>
      <c r="E14" s="3"/>
      <c r="F14" s="3"/>
    </row>
    <row r="15" spans="1:11" x14ac:dyDescent="0.3">
      <c r="A15" s="3">
        <v>12</v>
      </c>
      <c r="B15" s="4">
        <v>45310</v>
      </c>
      <c r="C15" s="3" t="s">
        <v>133</v>
      </c>
      <c r="D15" s="3" t="s">
        <v>138</v>
      </c>
      <c r="E15" s="3" t="s">
        <v>435</v>
      </c>
      <c r="F15" s="3"/>
    </row>
    <row r="16" spans="1:11" x14ac:dyDescent="0.3">
      <c r="A16" s="3">
        <v>13</v>
      </c>
      <c r="B16" s="4">
        <v>45314</v>
      </c>
      <c r="C16" s="3" t="s">
        <v>133</v>
      </c>
      <c r="D16" s="3" t="s">
        <v>138</v>
      </c>
      <c r="E16" s="3" t="s">
        <v>448</v>
      </c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>
      <selection activeCell="F35" sqref="F35"/>
    </sheetView>
  </sheetViews>
  <sheetFormatPr defaultRowHeight="14.4" x14ac:dyDescent="0.3"/>
  <cols>
    <col min="2" max="2" width="9.88671875" bestFit="1" customWidth="1"/>
    <col min="3" max="3" width="29.33203125" bestFit="1" customWidth="1"/>
    <col min="4" max="4" width="12.6640625" bestFit="1" customWidth="1"/>
    <col min="5" max="5" width="64.33203125" bestFit="1" customWidth="1"/>
    <col min="6" max="6" width="13.6640625" bestFit="1" customWidth="1"/>
  </cols>
  <sheetData>
    <row r="1" spans="1:6" ht="25.2" x14ac:dyDescent="0.6">
      <c r="A1" s="32" t="s">
        <v>130</v>
      </c>
      <c r="B1" s="33"/>
      <c r="C1" s="33"/>
      <c r="D1" s="33"/>
      <c r="E1" s="33"/>
      <c r="F1" s="34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3">
        <v>1</v>
      </c>
      <c r="B3" s="4">
        <v>44911</v>
      </c>
      <c r="C3" s="3" t="s">
        <v>146</v>
      </c>
      <c r="D3" s="3"/>
      <c r="E3" s="3" t="s">
        <v>150</v>
      </c>
      <c r="F3" s="3" t="s">
        <v>147</v>
      </c>
    </row>
    <row r="4" spans="1:6" x14ac:dyDescent="0.3">
      <c r="A4" s="3">
        <v>2</v>
      </c>
      <c r="B4" s="4">
        <v>44914</v>
      </c>
      <c r="C4" s="3" t="s">
        <v>133</v>
      </c>
      <c r="D4" s="3"/>
      <c r="E4" s="3" t="s">
        <v>151</v>
      </c>
      <c r="F4" s="3" t="s">
        <v>148</v>
      </c>
    </row>
    <row r="5" spans="1:6" x14ac:dyDescent="0.3">
      <c r="A5" s="3">
        <v>3</v>
      </c>
      <c r="B5" s="4">
        <v>44922</v>
      </c>
      <c r="C5" s="3" t="s">
        <v>133</v>
      </c>
      <c r="D5" s="3"/>
      <c r="E5" s="3" t="s">
        <v>134</v>
      </c>
      <c r="F5" s="3" t="s">
        <v>135</v>
      </c>
    </row>
    <row r="6" spans="1:6" x14ac:dyDescent="0.3">
      <c r="A6" s="3">
        <v>4</v>
      </c>
      <c r="B6" s="4">
        <v>44926</v>
      </c>
      <c r="C6" s="3" t="s">
        <v>133</v>
      </c>
      <c r="D6" s="3"/>
      <c r="E6" s="3" t="s">
        <v>136</v>
      </c>
      <c r="F6" s="3" t="s">
        <v>137</v>
      </c>
    </row>
    <row r="7" spans="1:6" ht="20.399999999999999" x14ac:dyDescent="0.35">
      <c r="A7" s="49" t="s">
        <v>205</v>
      </c>
      <c r="B7" s="50"/>
      <c r="C7" s="50"/>
      <c r="D7" s="50"/>
      <c r="E7" s="50"/>
      <c r="F7" s="51"/>
    </row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3">
      <c r="A9" s="3">
        <v>1</v>
      </c>
      <c r="B9" s="4">
        <v>44996</v>
      </c>
      <c r="C9" s="3" t="s">
        <v>133</v>
      </c>
      <c r="D9" s="3"/>
      <c r="E9" s="3" t="s">
        <v>206</v>
      </c>
      <c r="F9" s="3" t="s">
        <v>147</v>
      </c>
    </row>
    <row r="10" spans="1:6" x14ac:dyDescent="0.3">
      <c r="A10" s="3">
        <v>2</v>
      </c>
      <c r="B10" s="4">
        <v>44998</v>
      </c>
      <c r="C10" s="3" t="s">
        <v>133</v>
      </c>
      <c r="D10" s="3"/>
      <c r="E10" s="3" t="s">
        <v>208</v>
      </c>
      <c r="F10" s="3" t="s">
        <v>148</v>
      </c>
    </row>
    <row r="11" spans="1:6" x14ac:dyDescent="0.3">
      <c r="A11" s="3">
        <v>3</v>
      </c>
      <c r="B11" s="4">
        <v>45003</v>
      </c>
      <c r="C11" s="3" t="s">
        <v>133</v>
      </c>
      <c r="D11" s="3"/>
      <c r="E11" s="3" t="s">
        <v>216</v>
      </c>
      <c r="F11" s="3"/>
    </row>
    <row r="12" spans="1:6" ht="20.399999999999999" x14ac:dyDescent="0.35">
      <c r="A12" s="49" t="s">
        <v>333</v>
      </c>
      <c r="B12" s="50"/>
      <c r="C12" s="50"/>
      <c r="D12" s="50"/>
      <c r="E12" s="50"/>
      <c r="F12" s="51"/>
    </row>
    <row r="13" spans="1: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3">
      <c r="A14" s="3">
        <v>1</v>
      </c>
      <c r="B14" s="4">
        <v>45146</v>
      </c>
      <c r="C14" s="3" t="s">
        <v>146</v>
      </c>
      <c r="D14" s="3"/>
      <c r="E14" s="3" t="s">
        <v>334</v>
      </c>
      <c r="F14" s="3" t="s">
        <v>335</v>
      </c>
    </row>
    <row r="15" spans="1:6" ht="20.399999999999999" x14ac:dyDescent="0.35">
      <c r="A15" s="49" t="s">
        <v>407</v>
      </c>
      <c r="B15" s="50"/>
      <c r="C15" s="50"/>
      <c r="D15" s="50"/>
      <c r="E15" s="50"/>
      <c r="F15" s="51"/>
    </row>
    <row r="16" spans="1:6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3">
      <c r="A17" s="3">
        <v>1</v>
      </c>
      <c r="B17" s="4">
        <v>45286</v>
      </c>
      <c r="C17" s="3" t="s">
        <v>146</v>
      </c>
      <c r="D17" s="3" t="s">
        <v>411</v>
      </c>
      <c r="E17" s="3" t="s">
        <v>414</v>
      </c>
      <c r="F17" s="3" t="s">
        <v>408</v>
      </c>
    </row>
    <row r="18" spans="1:6" x14ac:dyDescent="0.3">
      <c r="A18" s="3">
        <v>2</v>
      </c>
      <c r="B18" s="4">
        <v>45286</v>
      </c>
      <c r="C18" s="3" t="s">
        <v>146</v>
      </c>
      <c r="D18" s="3" t="s">
        <v>411</v>
      </c>
      <c r="E18" s="3" t="s">
        <v>410</v>
      </c>
      <c r="F18" s="3" t="s">
        <v>409</v>
      </c>
    </row>
    <row r="19" spans="1:6" x14ac:dyDescent="0.3">
      <c r="A19" s="3">
        <v>3</v>
      </c>
      <c r="B19" s="4">
        <v>45287</v>
      </c>
      <c r="C19" s="3" t="s">
        <v>146</v>
      </c>
      <c r="D19" s="3" t="s">
        <v>411</v>
      </c>
      <c r="E19" s="3" t="s">
        <v>413</v>
      </c>
      <c r="F19" s="3" t="s">
        <v>412</v>
      </c>
    </row>
    <row r="20" spans="1:6" x14ac:dyDescent="0.3">
      <c r="A20" s="3">
        <v>4</v>
      </c>
      <c r="B20" s="4">
        <v>45287</v>
      </c>
      <c r="C20" s="3" t="s">
        <v>146</v>
      </c>
      <c r="D20" s="3" t="s">
        <v>411</v>
      </c>
      <c r="E20" s="3" t="s">
        <v>414</v>
      </c>
      <c r="F20" s="3" t="s">
        <v>408</v>
      </c>
    </row>
    <row r="21" spans="1:6" x14ac:dyDescent="0.3">
      <c r="A21" s="3">
        <v>5</v>
      </c>
      <c r="B21" s="4">
        <v>45287</v>
      </c>
      <c r="C21" s="3" t="s">
        <v>146</v>
      </c>
      <c r="D21" s="3" t="s">
        <v>411</v>
      </c>
      <c r="E21" s="3" t="s">
        <v>410</v>
      </c>
      <c r="F21" s="3" t="s">
        <v>409</v>
      </c>
    </row>
    <row r="22" spans="1:6" x14ac:dyDescent="0.3">
      <c r="A22" s="3">
        <v>6</v>
      </c>
      <c r="B22" s="4">
        <v>45287</v>
      </c>
      <c r="C22" s="3" t="s">
        <v>146</v>
      </c>
      <c r="D22" s="3" t="s">
        <v>411</v>
      </c>
      <c r="E22" s="3" t="s">
        <v>415</v>
      </c>
      <c r="F22" s="3" t="s">
        <v>416</v>
      </c>
    </row>
    <row r="23" spans="1:6" x14ac:dyDescent="0.3">
      <c r="A23" s="3">
        <v>7</v>
      </c>
      <c r="B23" s="4">
        <v>45289</v>
      </c>
      <c r="C23" s="3" t="s">
        <v>146</v>
      </c>
      <c r="D23" s="3" t="s">
        <v>411</v>
      </c>
      <c r="E23" s="3" t="s">
        <v>414</v>
      </c>
      <c r="F23" s="3" t="s">
        <v>408</v>
      </c>
    </row>
    <row r="24" spans="1:6" x14ac:dyDescent="0.3">
      <c r="A24" s="3">
        <v>8</v>
      </c>
      <c r="B24" s="4">
        <v>45289</v>
      </c>
      <c r="C24" s="3" t="s">
        <v>146</v>
      </c>
      <c r="D24" s="3" t="s">
        <v>411</v>
      </c>
      <c r="E24" s="3" t="s">
        <v>414</v>
      </c>
      <c r="F24" s="3" t="s">
        <v>416</v>
      </c>
    </row>
    <row r="25" spans="1:6" x14ac:dyDescent="0.3">
      <c r="A25" s="3">
        <v>9</v>
      </c>
      <c r="B25" s="4">
        <v>45289</v>
      </c>
      <c r="C25" s="3" t="s">
        <v>146</v>
      </c>
      <c r="D25" s="3" t="s">
        <v>411</v>
      </c>
      <c r="E25" s="3" t="s">
        <v>415</v>
      </c>
      <c r="F25" s="3" t="s">
        <v>408</v>
      </c>
    </row>
    <row r="26" spans="1:6" x14ac:dyDescent="0.3">
      <c r="A26" s="3">
        <v>10</v>
      </c>
      <c r="B26" s="4">
        <v>45289</v>
      </c>
      <c r="C26" s="3" t="s">
        <v>146</v>
      </c>
      <c r="D26" s="3" t="s">
        <v>411</v>
      </c>
      <c r="E26" s="3" t="s">
        <v>414</v>
      </c>
      <c r="F26" s="3" t="s">
        <v>409</v>
      </c>
    </row>
    <row r="27" spans="1:6" x14ac:dyDescent="0.3">
      <c r="A27" s="3">
        <v>11</v>
      </c>
      <c r="B27" s="4">
        <v>45289</v>
      </c>
      <c r="C27" s="3" t="s">
        <v>146</v>
      </c>
      <c r="D27" s="3" t="s">
        <v>411</v>
      </c>
      <c r="E27" s="3" t="s">
        <v>410</v>
      </c>
      <c r="F27" s="3" t="s">
        <v>408</v>
      </c>
    </row>
    <row r="29" spans="1:6" ht="20.399999999999999" x14ac:dyDescent="0.35">
      <c r="A29" s="49" t="s">
        <v>419</v>
      </c>
      <c r="B29" s="50"/>
      <c r="C29" s="50"/>
      <c r="D29" s="50"/>
      <c r="E29" s="50"/>
      <c r="F29" s="51"/>
    </row>
    <row r="30" spans="1:6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</row>
    <row r="31" spans="1:6" x14ac:dyDescent="0.3">
      <c r="A31" s="3">
        <v>1</v>
      </c>
      <c r="B31" s="4">
        <v>44929</v>
      </c>
      <c r="C31" s="3" t="s">
        <v>146</v>
      </c>
      <c r="D31" s="3" t="s">
        <v>130</v>
      </c>
      <c r="E31" s="3">
        <v>40</v>
      </c>
      <c r="F31" s="3"/>
    </row>
    <row r="32" spans="1:6" x14ac:dyDescent="0.3">
      <c r="A32" s="3">
        <v>2</v>
      </c>
      <c r="B32" s="4">
        <v>45295</v>
      </c>
      <c r="C32" s="3" t="s">
        <v>146</v>
      </c>
      <c r="D32" s="3" t="s">
        <v>130</v>
      </c>
      <c r="E32" s="3">
        <v>80</v>
      </c>
      <c r="F32" s="3"/>
    </row>
    <row r="33" spans="1:6" x14ac:dyDescent="0.3">
      <c r="A33" s="3">
        <v>3</v>
      </c>
      <c r="B33" s="4">
        <v>45297</v>
      </c>
      <c r="C33" s="3" t="s">
        <v>146</v>
      </c>
      <c r="D33" s="3" t="s">
        <v>130</v>
      </c>
      <c r="E33" s="3">
        <v>30</v>
      </c>
      <c r="F33" s="3"/>
    </row>
    <row r="34" spans="1:6" x14ac:dyDescent="0.3">
      <c r="A34" s="3"/>
      <c r="B34" s="4"/>
      <c r="C34" s="3"/>
      <c r="D34" s="3"/>
      <c r="E34" s="3"/>
      <c r="F34" s="3"/>
    </row>
    <row r="35" spans="1:6" x14ac:dyDescent="0.3">
      <c r="A35" s="3">
        <v>4</v>
      </c>
      <c r="B35" s="4">
        <v>45308</v>
      </c>
      <c r="C35" s="3" t="s">
        <v>146</v>
      </c>
      <c r="D35" s="3" t="s">
        <v>130</v>
      </c>
      <c r="E35" s="3">
        <v>60</v>
      </c>
      <c r="F35" s="3"/>
    </row>
    <row r="36" spans="1:6" x14ac:dyDescent="0.3">
      <c r="A36" s="3">
        <v>5</v>
      </c>
      <c r="B36" s="4">
        <v>45309</v>
      </c>
      <c r="C36" s="3" t="s">
        <v>146</v>
      </c>
      <c r="D36" s="3" t="s">
        <v>130</v>
      </c>
      <c r="E36" s="3">
        <v>20</v>
      </c>
      <c r="F36" s="3"/>
    </row>
    <row r="37" spans="1:6" x14ac:dyDescent="0.3">
      <c r="A37" s="3">
        <v>6</v>
      </c>
      <c r="B37" s="4">
        <v>45312</v>
      </c>
      <c r="C37" s="3" t="s">
        <v>146</v>
      </c>
      <c r="D37" s="3" t="s">
        <v>130</v>
      </c>
      <c r="E37" s="3">
        <v>23</v>
      </c>
      <c r="F37" s="3"/>
    </row>
    <row r="38" spans="1:6" x14ac:dyDescent="0.3">
      <c r="A38" s="3">
        <v>7</v>
      </c>
      <c r="B38" s="4">
        <v>45314</v>
      </c>
      <c r="C38" s="3" t="s">
        <v>146</v>
      </c>
      <c r="D38" s="3" t="s">
        <v>130</v>
      </c>
      <c r="E38" s="3">
        <v>156</v>
      </c>
      <c r="F38" s="3"/>
    </row>
    <row r="39" spans="1:6" x14ac:dyDescent="0.3">
      <c r="A39" s="3">
        <v>8</v>
      </c>
      <c r="B39" s="4"/>
      <c r="C39" s="3"/>
      <c r="D39" s="3"/>
      <c r="E39" s="3"/>
      <c r="F39" s="3"/>
    </row>
    <row r="40" spans="1:6" x14ac:dyDescent="0.3">
      <c r="A40" s="3">
        <v>9</v>
      </c>
      <c r="B40" s="4"/>
      <c r="C40" s="3"/>
      <c r="D40" s="3"/>
      <c r="E40" s="3"/>
      <c r="F40" s="3"/>
    </row>
    <row r="41" spans="1:6" x14ac:dyDescent="0.3">
      <c r="A41" s="3">
        <v>10</v>
      </c>
      <c r="B41" s="4"/>
      <c r="C41" s="3"/>
      <c r="D41" s="3"/>
      <c r="E41" s="3"/>
      <c r="F41" s="3"/>
    </row>
    <row r="42" spans="1:6" x14ac:dyDescent="0.3">
      <c r="A42" s="3">
        <v>11</v>
      </c>
      <c r="B42" s="4"/>
      <c r="C42" s="3"/>
      <c r="D42" s="3"/>
      <c r="E42" s="3"/>
      <c r="F42" s="3"/>
    </row>
  </sheetData>
  <mergeCells count="5">
    <mergeCell ref="A1:F1"/>
    <mergeCell ref="A7:F7"/>
    <mergeCell ref="A12:F12"/>
    <mergeCell ref="A15:F15"/>
    <mergeCell ref="A29:F29"/>
  </mergeCells>
  <pageMargins left="0.7" right="0.7" top="0.75" bottom="0.75" header="0.3" footer="0.3"/>
  <pageSetup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4"/>
  <sheetViews>
    <sheetView topLeftCell="A25" workbookViewId="0">
      <selection activeCell="J119" sqref="J119"/>
    </sheetView>
  </sheetViews>
  <sheetFormatPr defaultRowHeight="14.4" x14ac:dyDescent="0.3"/>
  <cols>
    <col min="3" max="3" width="33.33203125" bestFit="1" customWidth="1"/>
    <col min="4" max="4" width="30.109375" bestFit="1" customWidth="1"/>
    <col min="5" max="5" width="18.33203125" bestFit="1" customWidth="1"/>
    <col min="6" max="6" width="12.109375" bestFit="1" customWidth="1"/>
    <col min="10" max="10" width="29.33203125" bestFit="1" customWidth="1"/>
    <col min="11" max="11" width="22.5546875" bestFit="1" customWidth="1"/>
    <col min="12" max="12" width="18.33203125" bestFit="1" customWidth="1"/>
  </cols>
  <sheetData>
    <row r="1" spans="1:13" ht="25.2" x14ac:dyDescent="0.6">
      <c r="A1" s="32" t="s">
        <v>6</v>
      </c>
      <c r="B1" s="33"/>
      <c r="C1" s="33"/>
      <c r="D1" s="33"/>
      <c r="E1" s="33"/>
      <c r="F1" s="34"/>
      <c r="H1" s="32" t="s">
        <v>6</v>
      </c>
      <c r="I1" s="33"/>
      <c r="J1" s="33"/>
      <c r="K1" s="33"/>
      <c r="L1" s="33"/>
      <c r="M1" s="34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1:13" x14ac:dyDescent="0.3">
      <c r="A3" s="40">
        <v>1</v>
      </c>
      <c r="B3" s="46">
        <v>44881</v>
      </c>
      <c r="C3" s="40" t="s">
        <v>7</v>
      </c>
      <c r="D3" s="3" t="s">
        <v>8</v>
      </c>
      <c r="E3" s="3" t="s">
        <v>9</v>
      </c>
      <c r="F3" s="40" t="s">
        <v>29</v>
      </c>
      <c r="H3" s="40">
        <v>1</v>
      </c>
      <c r="I3" s="46">
        <v>44891</v>
      </c>
      <c r="J3" s="40" t="s">
        <v>54</v>
      </c>
      <c r="K3" s="3" t="s">
        <v>55</v>
      </c>
      <c r="L3" s="3" t="s">
        <v>9</v>
      </c>
      <c r="M3" s="3"/>
    </row>
    <row r="4" spans="1:13" x14ac:dyDescent="0.3">
      <c r="A4" s="41"/>
      <c r="B4" s="48"/>
      <c r="C4" s="41"/>
      <c r="D4" s="3" t="s">
        <v>10</v>
      </c>
      <c r="E4" s="3" t="s">
        <v>11</v>
      </c>
      <c r="F4" s="41"/>
      <c r="H4" s="42"/>
      <c r="I4" s="47"/>
      <c r="J4" s="42"/>
      <c r="K4" s="3" t="s">
        <v>56</v>
      </c>
      <c r="L4" s="3" t="s">
        <v>9</v>
      </c>
      <c r="M4" s="3"/>
    </row>
    <row r="5" spans="1:13" x14ac:dyDescent="0.3">
      <c r="A5" s="41"/>
      <c r="B5" s="48"/>
      <c r="C5" s="41"/>
      <c r="D5" s="3" t="s">
        <v>12</v>
      </c>
      <c r="E5" s="3" t="s">
        <v>13</v>
      </c>
      <c r="F5" s="41"/>
      <c r="H5" s="40">
        <v>2</v>
      </c>
      <c r="I5" s="46">
        <v>44895</v>
      </c>
      <c r="J5" s="40" t="s">
        <v>54</v>
      </c>
      <c r="K5" s="3" t="s">
        <v>60</v>
      </c>
      <c r="L5" s="3" t="s">
        <v>9</v>
      </c>
      <c r="M5" s="3"/>
    </row>
    <row r="6" spans="1:13" x14ac:dyDescent="0.3">
      <c r="A6" s="41"/>
      <c r="B6" s="48"/>
      <c r="C6" s="41"/>
      <c r="D6" s="3" t="s">
        <v>14</v>
      </c>
      <c r="E6" s="3" t="s">
        <v>13</v>
      </c>
      <c r="F6" s="41"/>
      <c r="H6" s="41"/>
      <c r="I6" s="48"/>
      <c r="J6" s="41"/>
      <c r="K6" s="3" t="s">
        <v>61</v>
      </c>
      <c r="L6" s="3" t="s">
        <v>9</v>
      </c>
      <c r="M6" s="3"/>
    </row>
    <row r="7" spans="1:13" x14ac:dyDescent="0.3">
      <c r="A7" s="41"/>
      <c r="B7" s="48"/>
      <c r="C7" s="41"/>
      <c r="D7" s="3" t="s">
        <v>15</v>
      </c>
      <c r="E7" s="3" t="s">
        <v>9</v>
      </c>
      <c r="F7" s="41"/>
      <c r="H7" s="41"/>
      <c r="I7" s="48"/>
      <c r="J7" s="41"/>
      <c r="K7" s="3" t="s">
        <v>62</v>
      </c>
      <c r="L7" s="3" t="s">
        <v>9</v>
      </c>
      <c r="M7" s="3"/>
    </row>
    <row r="8" spans="1:13" x14ac:dyDescent="0.3">
      <c r="A8" s="41"/>
      <c r="B8" s="48"/>
      <c r="C8" s="41"/>
      <c r="D8" s="3" t="s">
        <v>16</v>
      </c>
      <c r="E8" s="3" t="s">
        <v>9</v>
      </c>
      <c r="F8" s="41"/>
      <c r="H8" s="41"/>
      <c r="I8" s="48"/>
      <c r="J8" s="41"/>
      <c r="K8" s="3" t="s">
        <v>63</v>
      </c>
      <c r="L8" s="3" t="s">
        <v>9</v>
      </c>
      <c r="M8" s="3"/>
    </row>
    <row r="9" spans="1:13" x14ac:dyDescent="0.3">
      <c r="A9" s="41"/>
      <c r="B9" s="48"/>
      <c r="C9" s="41"/>
      <c r="D9" s="3" t="s">
        <v>17</v>
      </c>
      <c r="E9" s="3" t="s">
        <v>18</v>
      </c>
      <c r="F9" s="41"/>
      <c r="H9" s="41"/>
      <c r="I9" s="48"/>
      <c r="J9" s="41"/>
      <c r="K9" s="3" t="s">
        <v>64</v>
      </c>
      <c r="L9" s="3" t="s">
        <v>13</v>
      </c>
      <c r="M9" s="3"/>
    </row>
    <row r="10" spans="1:13" x14ac:dyDescent="0.3">
      <c r="A10" s="41"/>
      <c r="B10" s="48"/>
      <c r="C10" s="41"/>
      <c r="D10" s="3" t="s">
        <v>19</v>
      </c>
      <c r="E10" s="3" t="s">
        <v>13</v>
      </c>
      <c r="F10" s="41"/>
      <c r="H10" s="41"/>
      <c r="I10" s="48"/>
      <c r="J10" s="41"/>
      <c r="K10" s="3" t="s">
        <v>65</v>
      </c>
      <c r="L10" s="3" t="s">
        <v>9</v>
      </c>
      <c r="M10" s="3"/>
    </row>
    <row r="11" spans="1:13" x14ac:dyDescent="0.3">
      <c r="A11" s="41"/>
      <c r="B11" s="48"/>
      <c r="C11" s="41"/>
      <c r="D11" s="3" t="s">
        <v>20</v>
      </c>
      <c r="E11" s="3" t="s">
        <v>21</v>
      </c>
      <c r="F11" s="41"/>
      <c r="H11" s="41"/>
      <c r="I11" s="48"/>
      <c r="J11" s="41"/>
      <c r="K11" s="3" t="s">
        <v>66</v>
      </c>
      <c r="L11" s="3" t="s">
        <v>9</v>
      </c>
      <c r="M11" s="3"/>
    </row>
    <row r="12" spans="1:13" x14ac:dyDescent="0.3">
      <c r="A12" s="41"/>
      <c r="B12" s="48"/>
      <c r="C12" s="41"/>
      <c r="D12" s="3" t="s">
        <v>22</v>
      </c>
      <c r="E12" s="3" t="s">
        <v>21</v>
      </c>
      <c r="F12" s="41"/>
      <c r="H12" s="42"/>
      <c r="I12" s="47"/>
      <c r="J12" s="42"/>
      <c r="K12" s="3" t="s">
        <v>67</v>
      </c>
      <c r="L12" s="3"/>
      <c r="M12" s="3"/>
    </row>
    <row r="13" spans="1:13" x14ac:dyDescent="0.3">
      <c r="A13" s="41"/>
      <c r="B13" s="48"/>
      <c r="C13" s="41"/>
      <c r="D13" s="3" t="s">
        <v>23</v>
      </c>
      <c r="E13" s="3" t="s">
        <v>21</v>
      </c>
      <c r="F13" s="41"/>
      <c r="H13" s="3"/>
      <c r="I13" s="3"/>
      <c r="J13" s="3"/>
      <c r="K13" s="3"/>
      <c r="L13" s="3"/>
      <c r="M13" s="3"/>
    </row>
    <row r="14" spans="1:13" x14ac:dyDescent="0.3">
      <c r="A14" s="41"/>
      <c r="B14" s="48"/>
      <c r="C14" s="41"/>
      <c r="D14" s="3" t="s">
        <v>24</v>
      </c>
      <c r="E14" s="3" t="s">
        <v>13</v>
      </c>
      <c r="F14" s="41"/>
    </row>
    <row r="15" spans="1:13" x14ac:dyDescent="0.3">
      <c r="A15" s="41"/>
      <c r="B15" s="48"/>
      <c r="C15" s="41"/>
      <c r="D15" s="3" t="s">
        <v>25</v>
      </c>
      <c r="E15" s="3" t="s">
        <v>26</v>
      </c>
      <c r="F15" s="41"/>
    </row>
    <row r="16" spans="1:13" x14ac:dyDescent="0.3">
      <c r="A16" s="42"/>
      <c r="B16" s="47"/>
      <c r="C16" s="42"/>
      <c r="D16" s="3" t="s">
        <v>28</v>
      </c>
      <c r="E16" s="3" t="s">
        <v>27</v>
      </c>
      <c r="F16" s="42"/>
    </row>
    <row r="17" spans="1:6" x14ac:dyDescent="0.3">
      <c r="A17" s="40">
        <v>2</v>
      </c>
      <c r="B17" s="46">
        <v>44883</v>
      </c>
      <c r="C17" s="40" t="s">
        <v>7</v>
      </c>
      <c r="D17" s="3" t="s">
        <v>25</v>
      </c>
      <c r="E17" s="3" t="s">
        <v>30</v>
      </c>
      <c r="F17" s="3"/>
    </row>
    <row r="18" spans="1:6" x14ac:dyDescent="0.3">
      <c r="A18" s="41"/>
      <c r="B18" s="48"/>
      <c r="C18" s="41"/>
      <c r="D18" s="3" t="s">
        <v>31</v>
      </c>
      <c r="E18" s="3" t="s">
        <v>13</v>
      </c>
      <c r="F18" s="3"/>
    </row>
    <row r="19" spans="1:6" x14ac:dyDescent="0.3">
      <c r="A19" s="41"/>
      <c r="B19" s="48"/>
      <c r="C19" s="41"/>
      <c r="D19" s="3" t="s">
        <v>32</v>
      </c>
      <c r="E19" s="3" t="s">
        <v>9</v>
      </c>
      <c r="F19" s="3"/>
    </row>
    <row r="20" spans="1:6" x14ac:dyDescent="0.3">
      <c r="A20" s="41"/>
      <c r="B20" s="48"/>
      <c r="C20" s="41"/>
      <c r="D20" s="3" t="s">
        <v>33</v>
      </c>
      <c r="E20" s="3" t="s">
        <v>26</v>
      </c>
      <c r="F20" s="3"/>
    </row>
    <row r="21" spans="1:6" x14ac:dyDescent="0.3">
      <c r="A21" s="42"/>
      <c r="B21" s="47"/>
      <c r="C21" s="42"/>
      <c r="D21" s="3" t="s">
        <v>34</v>
      </c>
      <c r="E21" s="3" t="s">
        <v>9</v>
      </c>
      <c r="F21" s="3"/>
    </row>
    <row r="22" spans="1:6" x14ac:dyDescent="0.3">
      <c r="A22" s="40">
        <v>3</v>
      </c>
      <c r="B22" s="46">
        <v>44886</v>
      </c>
      <c r="C22" s="40" t="s">
        <v>7</v>
      </c>
      <c r="D22" s="3" t="s">
        <v>35</v>
      </c>
      <c r="E22" s="3" t="s">
        <v>36</v>
      </c>
      <c r="F22" s="3"/>
    </row>
    <row r="23" spans="1:6" x14ac:dyDescent="0.3">
      <c r="A23" s="41"/>
      <c r="B23" s="48"/>
      <c r="C23" s="41"/>
      <c r="D23" s="3" t="s">
        <v>37</v>
      </c>
      <c r="E23" s="3" t="s">
        <v>9</v>
      </c>
      <c r="F23" s="3"/>
    </row>
    <row r="24" spans="1:6" x14ac:dyDescent="0.3">
      <c r="A24" s="41"/>
      <c r="B24" s="48"/>
      <c r="C24" s="41"/>
      <c r="D24" s="3" t="s">
        <v>38</v>
      </c>
      <c r="E24" s="3" t="s">
        <v>39</v>
      </c>
      <c r="F24" s="3"/>
    </row>
    <row r="25" spans="1:6" x14ac:dyDescent="0.3">
      <c r="A25" s="41"/>
      <c r="B25" s="48"/>
      <c r="C25" s="41"/>
      <c r="D25" s="3" t="s">
        <v>40</v>
      </c>
      <c r="E25" s="3" t="s">
        <v>41</v>
      </c>
      <c r="F25" s="3"/>
    </row>
    <row r="26" spans="1:6" x14ac:dyDescent="0.3">
      <c r="A26" s="41"/>
      <c r="B26" s="48"/>
      <c r="C26" s="41"/>
      <c r="D26" s="3" t="s">
        <v>42</v>
      </c>
      <c r="E26" s="3" t="s">
        <v>9</v>
      </c>
      <c r="F26" s="3"/>
    </row>
    <row r="27" spans="1:6" x14ac:dyDescent="0.3">
      <c r="A27" s="42"/>
      <c r="B27" s="47"/>
      <c r="C27" s="42"/>
      <c r="D27" s="3" t="s">
        <v>43</v>
      </c>
      <c r="E27" s="3" t="s">
        <v>11</v>
      </c>
      <c r="F27" s="3"/>
    </row>
    <row r="28" spans="1:6" x14ac:dyDescent="0.3">
      <c r="A28" s="40">
        <v>4</v>
      </c>
      <c r="B28" s="46">
        <v>44887</v>
      </c>
      <c r="C28" s="40" t="s">
        <v>7</v>
      </c>
      <c r="D28" s="3" t="s">
        <v>48</v>
      </c>
      <c r="E28" s="3" t="s">
        <v>9</v>
      </c>
      <c r="F28" s="3"/>
    </row>
    <row r="29" spans="1:6" x14ac:dyDescent="0.3">
      <c r="A29" s="41"/>
      <c r="B29" s="48"/>
      <c r="C29" s="41"/>
      <c r="D29" s="3" t="s">
        <v>49</v>
      </c>
      <c r="E29" s="3" t="s">
        <v>41</v>
      </c>
      <c r="F29" s="3"/>
    </row>
    <row r="30" spans="1:6" x14ac:dyDescent="0.3">
      <c r="A30" s="41"/>
      <c r="B30" s="48"/>
      <c r="C30" s="41"/>
      <c r="D30" s="3" t="s">
        <v>50</v>
      </c>
      <c r="E30" s="3" t="s">
        <v>9</v>
      </c>
      <c r="F30" s="3"/>
    </row>
    <row r="31" spans="1:6" x14ac:dyDescent="0.3">
      <c r="A31" s="42"/>
      <c r="B31" s="47"/>
      <c r="C31" s="42"/>
      <c r="D31" s="3" t="s">
        <v>51</v>
      </c>
      <c r="E31" s="3" t="s">
        <v>9</v>
      </c>
      <c r="F31" s="3"/>
    </row>
    <row r="32" spans="1:6" x14ac:dyDescent="0.3">
      <c r="A32" s="40">
        <v>5</v>
      </c>
      <c r="B32" s="46">
        <v>44888</v>
      </c>
      <c r="C32" s="3" t="s">
        <v>52</v>
      </c>
      <c r="D32" s="3" t="s">
        <v>51</v>
      </c>
      <c r="E32" s="3" t="s">
        <v>53</v>
      </c>
      <c r="F32" s="3"/>
    </row>
    <row r="33" spans="1:6" x14ac:dyDescent="0.3">
      <c r="A33" s="42"/>
      <c r="B33" s="47"/>
      <c r="C33" s="3" t="s">
        <v>7</v>
      </c>
      <c r="D33" s="3" t="s">
        <v>43</v>
      </c>
      <c r="E33" s="3" t="s">
        <v>11</v>
      </c>
      <c r="F33" s="3"/>
    </row>
    <row r="34" spans="1:6" x14ac:dyDescent="0.3">
      <c r="A34" s="40">
        <v>6</v>
      </c>
      <c r="B34" s="46">
        <v>44895</v>
      </c>
      <c r="C34" s="3" t="s">
        <v>7</v>
      </c>
      <c r="D34" s="3" t="s">
        <v>57</v>
      </c>
      <c r="E34" s="3" t="s">
        <v>58</v>
      </c>
      <c r="F34" s="3"/>
    </row>
    <row r="35" spans="1:6" x14ac:dyDescent="0.3">
      <c r="A35" s="42"/>
      <c r="B35" s="47"/>
      <c r="C35" s="3" t="s">
        <v>52</v>
      </c>
      <c r="D35" s="3" t="s">
        <v>59</v>
      </c>
      <c r="E35" s="3" t="s">
        <v>9</v>
      </c>
      <c r="F35" s="3"/>
    </row>
    <row r="36" spans="1:6" ht="15" thickBot="1" x14ac:dyDescent="0.35">
      <c r="A36" s="52"/>
      <c r="B36" s="53"/>
      <c r="C36" s="53"/>
      <c r="D36" s="53"/>
      <c r="E36" s="53"/>
      <c r="F36" s="54"/>
    </row>
    <row r="37" spans="1:6" ht="25.2" x14ac:dyDescent="0.6">
      <c r="A37" s="32" t="s">
        <v>98</v>
      </c>
      <c r="B37" s="33"/>
      <c r="C37" s="33"/>
      <c r="D37" s="33"/>
      <c r="E37" s="33"/>
      <c r="F37" s="34"/>
    </row>
    <row r="38" spans="1:6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3">
      <c r="A39" s="3">
        <v>1</v>
      </c>
      <c r="B39" s="4">
        <v>44904</v>
      </c>
      <c r="C39" s="3" t="s">
        <v>52</v>
      </c>
      <c r="D39" s="3" t="s">
        <v>68</v>
      </c>
      <c r="E39" s="3" t="s">
        <v>69</v>
      </c>
      <c r="F39" s="3"/>
    </row>
    <row r="40" spans="1:6" x14ac:dyDescent="0.3">
      <c r="A40" s="40">
        <v>2</v>
      </c>
      <c r="B40" s="46">
        <v>44910</v>
      </c>
      <c r="C40" s="40" t="s">
        <v>52</v>
      </c>
      <c r="D40" s="3" t="s">
        <v>78</v>
      </c>
      <c r="E40" s="3" t="s">
        <v>79</v>
      </c>
      <c r="F40" s="3"/>
    </row>
    <row r="41" spans="1:6" x14ac:dyDescent="0.3">
      <c r="A41" s="42"/>
      <c r="B41" s="47"/>
      <c r="C41" s="42"/>
      <c r="D41" s="3" t="s">
        <v>80</v>
      </c>
      <c r="E41" s="3" t="s">
        <v>81</v>
      </c>
      <c r="F41" s="3"/>
    </row>
    <row r="42" spans="1:6" x14ac:dyDescent="0.3">
      <c r="A42" s="40">
        <v>3</v>
      </c>
      <c r="B42" s="46">
        <v>44911</v>
      </c>
      <c r="C42" s="40" t="s">
        <v>82</v>
      </c>
      <c r="D42" s="3" t="s">
        <v>55</v>
      </c>
      <c r="E42" s="3" t="s">
        <v>13</v>
      </c>
      <c r="F42" s="3"/>
    </row>
    <row r="43" spans="1:6" x14ac:dyDescent="0.3">
      <c r="A43" s="42"/>
      <c r="B43" s="47"/>
      <c r="C43" s="42"/>
      <c r="D43" s="3" t="s">
        <v>83</v>
      </c>
      <c r="E43" s="3" t="s">
        <v>84</v>
      </c>
      <c r="F43" s="3"/>
    </row>
    <row r="44" spans="1:6" x14ac:dyDescent="0.3">
      <c r="A44" s="40">
        <v>4</v>
      </c>
      <c r="B44" s="46">
        <v>44926</v>
      </c>
      <c r="C44" s="3" t="s">
        <v>87</v>
      </c>
      <c r="D44" s="3" t="s">
        <v>88</v>
      </c>
      <c r="E44" s="3" t="s">
        <v>21</v>
      </c>
      <c r="F44" s="3"/>
    </row>
    <row r="45" spans="1:6" x14ac:dyDescent="0.3">
      <c r="A45" s="42"/>
      <c r="B45" s="47"/>
      <c r="C45" s="3" t="s">
        <v>89</v>
      </c>
      <c r="D45" s="3" t="s">
        <v>90</v>
      </c>
      <c r="E45" s="3" t="s">
        <v>91</v>
      </c>
      <c r="F45" s="3"/>
    </row>
    <row r="46" spans="1:6" ht="15" thickBot="1" x14ac:dyDescent="0.35"/>
    <row r="47" spans="1:6" ht="25.2" x14ac:dyDescent="0.6">
      <c r="A47" s="32" t="s">
        <v>99</v>
      </c>
      <c r="B47" s="33"/>
      <c r="C47" s="33"/>
      <c r="D47" s="33"/>
      <c r="E47" s="33"/>
      <c r="F47" s="34"/>
    </row>
    <row r="48" spans="1:6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</row>
    <row r="49" spans="1:10" x14ac:dyDescent="0.3">
      <c r="A49" s="3">
        <v>1</v>
      </c>
      <c r="B49" s="4">
        <v>44931</v>
      </c>
      <c r="C49" s="3" t="s">
        <v>100</v>
      </c>
      <c r="D49" s="3"/>
      <c r="E49" s="3" t="s">
        <v>102</v>
      </c>
      <c r="F49" s="3" t="s">
        <v>101</v>
      </c>
    </row>
    <row r="50" spans="1:10" x14ac:dyDescent="0.3">
      <c r="A50" s="3">
        <v>2</v>
      </c>
      <c r="B50" s="4">
        <v>44935</v>
      </c>
      <c r="C50" s="3" t="s">
        <v>82</v>
      </c>
      <c r="D50" s="3" t="s">
        <v>104</v>
      </c>
      <c r="E50" s="3" t="s">
        <v>11</v>
      </c>
      <c r="F50" s="3"/>
    </row>
    <row r="51" spans="1:10" x14ac:dyDescent="0.3">
      <c r="A51" s="40">
        <v>3</v>
      </c>
      <c r="B51" s="46">
        <v>44957</v>
      </c>
      <c r="C51" s="40" t="s">
        <v>82</v>
      </c>
      <c r="D51" s="3" t="s">
        <v>123</v>
      </c>
      <c r="E51" s="3" t="s">
        <v>30</v>
      </c>
      <c r="F51" s="3"/>
    </row>
    <row r="52" spans="1:10" ht="15" thickBot="1" x14ac:dyDescent="0.35">
      <c r="A52" s="42"/>
      <c r="B52" s="47"/>
      <c r="C52" s="42"/>
      <c r="D52" s="3" t="s">
        <v>124</v>
      </c>
      <c r="E52" s="3" t="s">
        <v>30</v>
      </c>
      <c r="F52" s="3"/>
    </row>
    <row r="53" spans="1:10" ht="25.2" x14ac:dyDescent="0.6">
      <c r="A53" s="32" t="s">
        <v>186</v>
      </c>
      <c r="B53" s="33"/>
      <c r="C53" s="33"/>
      <c r="D53" s="33"/>
      <c r="E53" s="33"/>
      <c r="F53" s="34"/>
    </row>
    <row r="54" spans="1:10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</row>
    <row r="55" spans="1:10" x14ac:dyDescent="0.3">
      <c r="A55" s="40">
        <v>1</v>
      </c>
      <c r="B55" s="46">
        <v>44988</v>
      </c>
      <c r="C55" s="40" t="s">
        <v>82</v>
      </c>
      <c r="D55" s="3" t="s">
        <v>187</v>
      </c>
      <c r="E55" s="3" t="s">
        <v>26</v>
      </c>
      <c r="F55" s="2"/>
    </row>
    <row r="56" spans="1:10" x14ac:dyDescent="0.3">
      <c r="A56" s="41"/>
      <c r="B56" s="48"/>
      <c r="C56" s="41"/>
      <c r="D56" s="3" t="s">
        <v>188</v>
      </c>
      <c r="E56" s="3">
        <v>1</v>
      </c>
      <c r="F56" s="3"/>
    </row>
    <row r="57" spans="1:10" x14ac:dyDescent="0.3">
      <c r="A57" s="41"/>
      <c r="B57" s="48"/>
      <c r="C57" s="41"/>
      <c r="D57" s="3" t="s">
        <v>189</v>
      </c>
      <c r="E57" s="3">
        <v>1</v>
      </c>
      <c r="F57" s="3"/>
    </row>
    <row r="58" spans="1:10" x14ac:dyDescent="0.3">
      <c r="A58" s="42"/>
      <c r="B58" s="47"/>
      <c r="C58" s="42"/>
      <c r="D58" s="3" t="s">
        <v>190</v>
      </c>
      <c r="E58" s="3">
        <v>1</v>
      </c>
      <c r="F58" s="3"/>
    </row>
    <row r="59" spans="1:10" x14ac:dyDescent="0.3">
      <c r="A59" s="40">
        <v>2</v>
      </c>
      <c r="B59" s="46">
        <v>44989</v>
      </c>
      <c r="C59" s="40" t="s">
        <v>82</v>
      </c>
      <c r="D59" s="3" t="s">
        <v>191</v>
      </c>
      <c r="E59" s="3"/>
      <c r="F59" s="3"/>
    </row>
    <row r="60" spans="1:10" x14ac:dyDescent="0.3">
      <c r="A60" s="41"/>
      <c r="B60" s="48"/>
      <c r="C60" s="41"/>
      <c r="D60" s="3" t="s">
        <v>192</v>
      </c>
      <c r="E60" s="3" t="s">
        <v>9</v>
      </c>
      <c r="F60" s="3"/>
    </row>
    <row r="61" spans="1:10" x14ac:dyDescent="0.3">
      <c r="A61" s="41"/>
      <c r="B61" s="48"/>
      <c r="C61" s="41"/>
      <c r="D61" s="3" t="s">
        <v>193</v>
      </c>
      <c r="E61" s="3" t="s">
        <v>9</v>
      </c>
      <c r="F61" s="3"/>
    </row>
    <row r="62" spans="1:10" x14ac:dyDescent="0.3">
      <c r="A62" s="42"/>
      <c r="B62" s="47"/>
      <c r="C62" s="42"/>
      <c r="D62" s="3" t="s">
        <v>194</v>
      </c>
      <c r="E62" s="3" t="s">
        <v>9</v>
      </c>
      <c r="F62" s="3"/>
      <c r="J62" t="s">
        <v>224</v>
      </c>
    </row>
    <row r="63" spans="1:10" x14ac:dyDescent="0.3">
      <c r="A63" s="40">
        <v>3</v>
      </c>
      <c r="B63" s="46">
        <v>44990</v>
      </c>
      <c r="C63" s="40" t="s">
        <v>197</v>
      </c>
      <c r="D63" s="3" t="s">
        <v>198</v>
      </c>
      <c r="E63" s="3" t="s">
        <v>199</v>
      </c>
      <c r="F63" s="3"/>
    </row>
    <row r="64" spans="1:10" x14ac:dyDescent="0.3">
      <c r="A64" s="42"/>
      <c r="B64" s="47"/>
      <c r="C64" s="42"/>
      <c r="D64" s="3" t="s">
        <v>200</v>
      </c>
      <c r="E64" s="3" t="s">
        <v>201</v>
      </c>
      <c r="F64" s="3"/>
    </row>
    <row r="65" spans="1:6" x14ac:dyDescent="0.3">
      <c r="A65" s="40">
        <v>4</v>
      </c>
      <c r="B65" s="46">
        <v>45002</v>
      </c>
      <c r="C65" s="40" t="s">
        <v>197</v>
      </c>
      <c r="D65" s="3" t="s">
        <v>212</v>
      </c>
      <c r="E65" s="3" t="s">
        <v>13</v>
      </c>
      <c r="F65" s="3"/>
    </row>
    <row r="66" spans="1:6" x14ac:dyDescent="0.3">
      <c r="A66" s="41"/>
      <c r="B66" s="48"/>
      <c r="C66" s="41"/>
      <c r="D66" s="3" t="s">
        <v>213</v>
      </c>
      <c r="E66" s="3" t="s">
        <v>21</v>
      </c>
      <c r="F66" s="3"/>
    </row>
    <row r="67" spans="1:6" x14ac:dyDescent="0.3">
      <c r="A67" s="42"/>
      <c r="B67" s="47"/>
      <c r="C67" s="42"/>
      <c r="D67" s="3" t="s">
        <v>198</v>
      </c>
      <c r="E67" s="3" t="s">
        <v>214</v>
      </c>
      <c r="F67" s="3"/>
    </row>
    <row r="68" spans="1:6" x14ac:dyDescent="0.3">
      <c r="A68" s="40">
        <v>5</v>
      </c>
      <c r="B68" s="46">
        <v>45005</v>
      </c>
      <c r="C68" s="40" t="s">
        <v>197</v>
      </c>
      <c r="D68" s="3" t="s">
        <v>217</v>
      </c>
      <c r="E68" s="3" t="s">
        <v>218</v>
      </c>
      <c r="F68" s="3"/>
    </row>
    <row r="69" spans="1:6" x14ac:dyDescent="0.3">
      <c r="A69" s="41"/>
      <c r="B69" s="48"/>
      <c r="C69" s="41"/>
      <c r="D69" s="3" t="s">
        <v>200</v>
      </c>
      <c r="E69" s="3" t="s">
        <v>219</v>
      </c>
      <c r="F69" s="3"/>
    </row>
    <row r="70" spans="1:6" ht="15" thickBot="1" x14ac:dyDescent="0.35">
      <c r="A70" s="42"/>
      <c r="B70" s="47"/>
      <c r="C70" s="42"/>
      <c r="D70" s="3" t="s">
        <v>220</v>
      </c>
      <c r="E70" s="3" t="s">
        <v>221</v>
      </c>
      <c r="F70" s="3"/>
    </row>
    <row r="71" spans="1:6" ht="25.2" x14ac:dyDescent="0.6">
      <c r="A71" s="32" t="s">
        <v>237</v>
      </c>
      <c r="B71" s="33"/>
      <c r="C71" s="33"/>
      <c r="D71" s="33"/>
      <c r="E71" s="33"/>
      <c r="F71" s="34"/>
    </row>
    <row r="72" spans="1:6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6" x14ac:dyDescent="0.3">
      <c r="A73" s="40">
        <v>1</v>
      </c>
      <c r="B73" s="46">
        <v>45026</v>
      </c>
      <c r="C73" s="40" t="s">
        <v>82</v>
      </c>
      <c r="D73" s="3" t="s">
        <v>238</v>
      </c>
      <c r="E73" s="3" t="s">
        <v>239</v>
      </c>
      <c r="F73" s="3"/>
    </row>
    <row r="74" spans="1:6" x14ac:dyDescent="0.3">
      <c r="A74" s="42"/>
      <c r="B74" s="47"/>
      <c r="C74" s="42"/>
      <c r="D74" s="3" t="s">
        <v>240</v>
      </c>
      <c r="E74" s="3" t="s">
        <v>11</v>
      </c>
      <c r="F74" s="3"/>
    </row>
    <row r="75" spans="1:6" x14ac:dyDescent="0.3">
      <c r="A75" s="3">
        <v>2</v>
      </c>
      <c r="B75" s="4">
        <v>45030</v>
      </c>
      <c r="C75" s="3" t="s">
        <v>146</v>
      </c>
      <c r="D75" s="3" t="s">
        <v>246</v>
      </c>
      <c r="E75" s="3" t="s">
        <v>199</v>
      </c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ht="15" thickBot="1" x14ac:dyDescent="0.35"/>
    <row r="80" spans="1:6" ht="25.2" x14ac:dyDescent="0.6">
      <c r="A80" s="32" t="s">
        <v>269</v>
      </c>
      <c r="B80" s="33"/>
      <c r="C80" s="33"/>
      <c r="D80" s="33"/>
      <c r="E80" s="33"/>
      <c r="F80" s="34"/>
    </row>
    <row r="81" spans="1:13" x14ac:dyDescent="0.3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13" x14ac:dyDescent="0.3">
      <c r="A82" s="7">
        <v>1</v>
      </c>
      <c r="B82" s="6">
        <v>45080</v>
      </c>
      <c r="C82" s="7" t="s">
        <v>146</v>
      </c>
      <c r="D82" s="7" t="s">
        <v>273</v>
      </c>
      <c r="E82" s="3" t="s">
        <v>274</v>
      </c>
      <c r="F82" s="3"/>
    </row>
    <row r="83" spans="1:13" x14ac:dyDescent="0.3">
      <c r="A83" s="7">
        <v>2</v>
      </c>
      <c r="B83" s="6">
        <v>45085</v>
      </c>
      <c r="C83" s="7" t="s">
        <v>278</v>
      </c>
      <c r="D83" s="3" t="s">
        <v>40</v>
      </c>
      <c r="E83" s="3" t="s">
        <v>279</v>
      </c>
      <c r="F83" s="3"/>
    </row>
    <row r="84" spans="1:13" x14ac:dyDescent="0.3">
      <c r="A84" s="3">
        <v>3</v>
      </c>
      <c r="B84" s="4">
        <v>45085</v>
      </c>
      <c r="C84" s="3" t="s">
        <v>146</v>
      </c>
      <c r="D84" s="3" t="s">
        <v>280</v>
      </c>
      <c r="E84" s="3" t="s">
        <v>281</v>
      </c>
      <c r="F84" s="3"/>
    </row>
    <row r="85" spans="1:13" x14ac:dyDescent="0.3">
      <c r="A85" s="40">
        <v>4</v>
      </c>
      <c r="B85" s="46">
        <v>45095</v>
      </c>
      <c r="C85" s="40" t="s">
        <v>146</v>
      </c>
      <c r="D85" s="3" t="s">
        <v>291</v>
      </c>
      <c r="E85" s="3" t="s">
        <v>11</v>
      </c>
      <c r="F85" s="3"/>
    </row>
    <row r="86" spans="1:13" x14ac:dyDescent="0.3">
      <c r="A86" s="42"/>
      <c r="B86" s="47"/>
      <c r="C86" s="42"/>
      <c r="D86" s="3" t="s">
        <v>292</v>
      </c>
      <c r="E86" s="3" t="s">
        <v>9</v>
      </c>
      <c r="F86" s="3"/>
    </row>
    <row r="87" spans="1:13" x14ac:dyDescent="0.3">
      <c r="A87" s="3">
        <v>5</v>
      </c>
      <c r="B87" s="4">
        <v>45104</v>
      </c>
      <c r="C87" s="3" t="s">
        <v>146</v>
      </c>
      <c r="D87" s="3" t="s">
        <v>304</v>
      </c>
      <c r="E87" s="3" t="s">
        <v>9</v>
      </c>
      <c r="F87" s="3"/>
    </row>
    <row r="88" spans="1:13" ht="15" thickBot="1" x14ac:dyDescent="0.35"/>
    <row r="89" spans="1:13" ht="25.2" x14ac:dyDescent="0.6">
      <c r="A89" s="32" t="s">
        <v>341</v>
      </c>
      <c r="B89" s="33"/>
      <c r="C89" s="33"/>
      <c r="D89" s="33"/>
      <c r="E89" s="33"/>
      <c r="F89" s="34"/>
      <c r="H89" s="32" t="s">
        <v>341</v>
      </c>
      <c r="I89" s="33"/>
      <c r="J89" s="33"/>
      <c r="K89" s="33"/>
      <c r="L89" s="33"/>
      <c r="M89" s="34"/>
    </row>
    <row r="90" spans="1:13" x14ac:dyDescent="0.3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H90" s="1" t="s">
        <v>0</v>
      </c>
      <c r="I90" s="1" t="s">
        <v>1</v>
      </c>
      <c r="J90" s="1" t="s">
        <v>2</v>
      </c>
      <c r="K90" s="1" t="s">
        <v>3</v>
      </c>
      <c r="L90" s="1" t="s">
        <v>4</v>
      </c>
      <c r="M90" s="1" t="s">
        <v>5</v>
      </c>
    </row>
    <row r="91" spans="1:13" x14ac:dyDescent="0.3">
      <c r="A91" s="40">
        <v>1</v>
      </c>
      <c r="B91" s="46">
        <v>45157</v>
      </c>
      <c r="C91" s="40" t="s">
        <v>342</v>
      </c>
      <c r="D91" s="7" t="s">
        <v>343</v>
      </c>
      <c r="E91" s="3" t="s">
        <v>9</v>
      </c>
      <c r="F91" s="3"/>
      <c r="H91" s="40">
        <v>1</v>
      </c>
      <c r="I91" s="46">
        <v>45160</v>
      </c>
      <c r="J91" s="40" t="s">
        <v>349</v>
      </c>
      <c r="K91" s="7" t="s">
        <v>351</v>
      </c>
      <c r="L91" s="3" t="s">
        <v>30</v>
      </c>
      <c r="M91" s="3"/>
    </row>
    <row r="92" spans="1:13" x14ac:dyDescent="0.3">
      <c r="A92" s="41"/>
      <c r="B92" s="48"/>
      <c r="C92" s="41"/>
      <c r="D92" s="3" t="s">
        <v>344</v>
      </c>
      <c r="E92" s="3" t="s">
        <v>9</v>
      </c>
      <c r="F92" s="3"/>
      <c r="H92" s="41"/>
      <c r="I92" s="48"/>
      <c r="J92" s="41"/>
      <c r="K92" s="3" t="s">
        <v>350</v>
      </c>
      <c r="L92" s="3" t="s">
        <v>26</v>
      </c>
      <c r="M92" s="3"/>
    </row>
    <row r="93" spans="1:13" x14ac:dyDescent="0.3">
      <c r="A93" s="41"/>
      <c r="B93" s="48"/>
      <c r="C93" s="41"/>
      <c r="D93" s="3" t="s">
        <v>345</v>
      </c>
      <c r="E93" s="3" t="s">
        <v>346</v>
      </c>
      <c r="F93" s="3"/>
      <c r="H93" s="41"/>
      <c r="I93" s="48"/>
      <c r="J93" s="41"/>
      <c r="K93" s="3" t="s">
        <v>352</v>
      </c>
      <c r="L93" s="3" t="s">
        <v>11</v>
      </c>
      <c r="M93" s="3"/>
    </row>
    <row r="94" spans="1:13" x14ac:dyDescent="0.3">
      <c r="A94" s="42"/>
      <c r="B94" s="47"/>
      <c r="C94" s="42"/>
      <c r="D94" s="3" t="s">
        <v>347</v>
      </c>
      <c r="E94" s="3" t="s">
        <v>348</v>
      </c>
      <c r="F94" s="3"/>
      <c r="H94" s="41"/>
      <c r="I94" s="48"/>
      <c r="J94" s="41"/>
      <c r="K94" s="3" t="s">
        <v>353</v>
      </c>
      <c r="L94" s="3" t="s">
        <v>9</v>
      </c>
      <c r="M94" s="3"/>
    </row>
    <row r="95" spans="1:13" x14ac:dyDescent="0.3">
      <c r="A95" s="3"/>
      <c r="B95" s="3"/>
      <c r="C95" s="3"/>
      <c r="D95" s="3"/>
      <c r="E95" s="3"/>
      <c r="F95" s="3"/>
      <c r="H95" s="41"/>
      <c r="I95" s="48"/>
      <c r="J95" s="41"/>
      <c r="K95" s="3" t="s">
        <v>354</v>
      </c>
      <c r="L95" s="3" t="s">
        <v>9</v>
      </c>
      <c r="M95" s="3"/>
    </row>
    <row r="96" spans="1:13" x14ac:dyDescent="0.3">
      <c r="A96" s="3"/>
      <c r="B96" s="3"/>
      <c r="C96" s="3"/>
      <c r="D96" s="3"/>
      <c r="E96" s="3"/>
      <c r="F96" s="3"/>
      <c r="H96" s="42"/>
      <c r="I96" s="47"/>
      <c r="J96" s="42"/>
      <c r="K96" s="3" t="s">
        <v>355</v>
      </c>
      <c r="L96" s="3" t="s">
        <v>36</v>
      </c>
      <c r="M96" s="3"/>
    </row>
    <row r="97" spans="1:13" x14ac:dyDescent="0.3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</row>
    <row r="98" spans="1:13" x14ac:dyDescent="0.3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</row>
    <row r="99" spans="1:13" ht="15" thickBot="1" x14ac:dyDescent="0.35"/>
    <row r="100" spans="1:13" ht="25.2" x14ac:dyDescent="0.6">
      <c r="A100" s="32" t="s">
        <v>361</v>
      </c>
      <c r="B100" s="33"/>
      <c r="C100" s="33"/>
      <c r="D100" s="33"/>
      <c r="E100" s="33"/>
      <c r="F100" s="34"/>
    </row>
    <row r="101" spans="1:13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</row>
    <row r="102" spans="1:13" x14ac:dyDescent="0.3">
      <c r="A102" s="3">
        <v>1</v>
      </c>
      <c r="B102" s="4">
        <v>45182</v>
      </c>
      <c r="C102" s="3" t="s">
        <v>133</v>
      </c>
      <c r="D102" s="3" t="s">
        <v>362</v>
      </c>
      <c r="E102" s="3" t="s">
        <v>13</v>
      </c>
      <c r="F102" s="3"/>
    </row>
    <row r="103" spans="1:13" x14ac:dyDescent="0.3">
      <c r="A103" s="40">
        <v>2</v>
      </c>
      <c r="B103" s="46">
        <v>45190</v>
      </c>
      <c r="C103" s="40" t="s">
        <v>133</v>
      </c>
      <c r="D103" s="3" t="s">
        <v>364</v>
      </c>
      <c r="E103" s="3" t="s">
        <v>219</v>
      </c>
      <c r="F103" s="3"/>
    </row>
    <row r="104" spans="1:13" x14ac:dyDescent="0.3">
      <c r="A104" s="42"/>
      <c r="B104" s="47"/>
      <c r="C104" s="42"/>
      <c r="D104" s="3" t="s">
        <v>365</v>
      </c>
      <c r="E104" s="3" t="s">
        <v>201</v>
      </c>
      <c r="F104" s="3"/>
    </row>
    <row r="105" spans="1:13" x14ac:dyDescent="0.3">
      <c r="A105" s="40">
        <v>3</v>
      </c>
      <c r="B105" s="46">
        <v>45192</v>
      </c>
      <c r="C105" s="40" t="s">
        <v>82</v>
      </c>
      <c r="D105" s="3" t="s">
        <v>368</v>
      </c>
      <c r="E105" s="3" t="s">
        <v>13</v>
      </c>
      <c r="F105" s="40" t="s">
        <v>29</v>
      </c>
    </row>
    <row r="106" spans="1:13" x14ac:dyDescent="0.3">
      <c r="A106" s="41"/>
      <c r="B106" s="48"/>
      <c r="C106" s="41"/>
      <c r="D106" s="3" t="s">
        <v>369</v>
      </c>
      <c r="E106" s="3" t="s">
        <v>370</v>
      </c>
      <c r="F106" s="41"/>
    </row>
    <row r="107" spans="1:13" x14ac:dyDescent="0.3">
      <c r="A107" s="41"/>
      <c r="B107" s="48"/>
      <c r="C107" s="41"/>
      <c r="D107" s="3" t="s">
        <v>371</v>
      </c>
      <c r="E107" s="3" t="s">
        <v>219</v>
      </c>
      <c r="F107" s="41"/>
    </row>
    <row r="108" spans="1:13" x14ac:dyDescent="0.3">
      <c r="A108" s="42"/>
      <c r="B108" s="47"/>
      <c r="C108" s="42"/>
      <c r="D108" s="3" t="s">
        <v>273</v>
      </c>
      <c r="E108" s="3" t="s">
        <v>372</v>
      </c>
      <c r="F108" s="42"/>
    </row>
    <row r="109" spans="1:13" x14ac:dyDescent="0.3">
      <c r="A109" s="3">
        <v>4</v>
      </c>
      <c r="B109" s="4">
        <v>45198</v>
      </c>
      <c r="C109" s="3" t="s">
        <v>133</v>
      </c>
      <c r="D109" s="3" t="s">
        <v>378</v>
      </c>
      <c r="E109" s="3" t="s">
        <v>9</v>
      </c>
      <c r="F109" s="3"/>
    </row>
    <row r="110" spans="1:13" x14ac:dyDescent="0.3">
      <c r="A110" s="3"/>
      <c r="B110" s="3"/>
      <c r="C110" s="3"/>
      <c r="D110" s="3"/>
      <c r="E110" s="3"/>
      <c r="F110" s="3"/>
    </row>
    <row r="111" spans="1:13" x14ac:dyDescent="0.3">
      <c r="A111" s="3"/>
      <c r="B111" s="3"/>
      <c r="C111" s="3"/>
      <c r="D111" s="3"/>
      <c r="E111" s="3"/>
      <c r="F111" s="3"/>
    </row>
    <row r="112" spans="1:13" ht="15" thickBot="1" x14ac:dyDescent="0.35"/>
    <row r="113" spans="1:6" ht="25.2" x14ac:dyDescent="0.6">
      <c r="A113" s="32" t="s">
        <v>361</v>
      </c>
      <c r="B113" s="33"/>
      <c r="C113" s="33"/>
      <c r="D113" s="33"/>
      <c r="E113" s="33"/>
      <c r="F113" s="34"/>
    </row>
    <row r="114" spans="1:6" x14ac:dyDescent="0.3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</row>
    <row r="115" spans="1:6" x14ac:dyDescent="0.3">
      <c r="A115" s="3">
        <v>1</v>
      </c>
      <c r="B115" s="4">
        <v>45219</v>
      </c>
      <c r="C115" s="3" t="s">
        <v>386</v>
      </c>
      <c r="D115" s="3" t="s">
        <v>388</v>
      </c>
      <c r="E115" s="3" t="s">
        <v>387</v>
      </c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ht="15" thickBot="1" x14ac:dyDescent="0.35"/>
    <row r="119" spans="1:6" ht="25.2" x14ac:dyDescent="0.6">
      <c r="A119" s="32" t="s">
        <v>394</v>
      </c>
      <c r="B119" s="33"/>
      <c r="C119" s="33"/>
      <c r="D119" s="33"/>
      <c r="E119" s="33"/>
      <c r="F119" s="34"/>
    </row>
    <row r="120" spans="1:6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</row>
    <row r="121" spans="1:6" x14ac:dyDescent="0.3">
      <c r="A121" s="40">
        <v>1</v>
      </c>
      <c r="B121" s="46">
        <v>45278</v>
      </c>
      <c r="C121" s="40" t="s">
        <v>70</v>
      </c>
      <c r="D121" s="3" t="s">
        <v>395</v>
      </c>
      <c r="E121" s="3" t="s">
        <v>372</v>
      </c>
      <c r="F121" s="3"/>
    </row>
    <row r="122" spans="1:6" x14ac:dyDescent="0.3">
      <c r="A122" s="41"/>
      <c r="B122" s="48"/>
      <c r="C122" s="41"/>
      <c r="D122" s="3" t="s">
        <v>396</v>
      </c>
      <c r="E122" s="3" t="s">
        <v>397</v>
      </c>
      <c r="F122" s="3"/>
    </row>
    <row r="123" spans="1:6" x14ac:dyDescent="0.3">
      <c r="A123" s="41"/>
      <c r="B123" s="48"/>
      <c r="C123" s="41"/>
      <c r="D123" s="3" t="s">
        <v>398</v>
      </c>
      <c r="E123" s="3" t="s">
        <v>13</v>
      </c>
      <c r="F123" s="3"/>
    </row>
    <row r="124" spans="1:6" x14ac:dyDescent="0.3">
      <c r="A124" s="42"/>
      <c r="B124" s="47"/>
      <c r="C124" s="42"/>
      <c r="D124" s="3" t="s">
        <v>399</v>
      </c>
      <c r="E124" s="3" t="s">
        <v>13</v>
      </c>
      <c r="F124" s="3"/>
    </row>
    <row r="125" spans="1:6" ht="15" thickBot="1" x14ac:dyDescent="0.35">
      <c r="A125" s="3"/>
      <c r="B125" s="3"/>
      <c r="C125" s="3"/>
      <c r="D125" s="3"/>
      <c r="E125" s="3"/>
      <c r="F125" s="3"/>
    </row>
    <row r="126" spans="1:6" ht="25.2" x14ac:dyDescent="0.6">
      <c r="A126" s="32" t="s">
        <v>426</v>
      </c>
      <c r="B126" s="33"/>
      <c r="C126" s="33"/>
      <c r="D126" s="33"/>
      <c r="E126" s="33"/>
      <c r="F126" s="34"/>
    </row>
    <row r="127" spans="1:6" x14ac:dyDescent="0.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</row>
    <row r="128" spans="1:6" x14ac:dyDescent="0.3">
      <c r="A128" s="40">
        <v>1</v>
      </c>
      <c r="B128" s="46">
        <v>45302</v>
      </c>
      <c r="C128" s="40" t="s">
        <v>70</v>
      </c>
      <c r="D128" s="3" t="s">
        <v>198</v>
      </c>
      <c r="E128" s="3" t="s">
        <v>427</v>
      </c>
      <c r="F128" s="3"/>
    </row>
    <row r="129" spans="1:6" x14ac:dyDescent="0.3">
      <c r="A129" s="42"/>
      <c r="B129" s="47"/>
      <c r="C129" s="42"/>
      <c r="D129" s="3" t="s">
        <v>428</v>
      </c>
      <c r="E129" s="3" t="s">
        <v>429</v>
      </c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</sheetData>
  <mergeCells count="88">
    <mergeCell ref="C105:C108"/>
    <mergeCell ref="B105:B108"/>
    <mergeCell ref="A105:A108"/>
    <mergeCell ref="F105:F108"/>
    <mergeCell ref="C103:C104"/>
    <mergeCell ref="B103:B104"/>
    <mergeCell ref="A103:A104"/>
    <mergeCell ref="H89:M89"/>
    <mergeCell ref="J91:J96"/>
    <mergeCell ref="I91:I96"/>
    <mergeCell ref="H91:H96"/>
    <mergeCell ref="C85:C86"/>
    <mergeCell ref="A89:F89"/>
    <mergeCell ref="B91:B94"/>
    <mergeCell ref="C91:C94"/>
    <mergeCell ref="A91:A94"/>
    <mergeCell ref="B85:B86"/>
    <mergeCell ref="A85:A86"/>
    <mergeCell ref="C68:C70"/>
    <mergeCell ref="B68:B70"/>
    <mergeCell ref="A68:A70"/>
    <mergeCell ref="A80:F80"/>
    <mergeCell ref="A71:F71"/>
    <mergeCell ref="C73:C74"/>
    <mergeCell ref="B73:B74"/>
    <mergeCell ref="A73:A74"/>
    <mergeCell ref="C59:C62"/>
    <mergeCell ref="B59:B62"/>
    <mergeCell ref="A59:A62"/>
    <mergeCell ref="C55:C58"/>
    <mergeCell ref="B55:B58"/>
    <mergeCell ref="A55:A58"/>
    <mergeCell ref="A65:A67"/>
    <mergeCell ref="C63:C64"/>
    <mergeCell ref="B63:B64"/>
    <mergeCell ref="A63:A64"/>
    <mergeCell ref="C65:C67"/>
    <mergeCell ref="B65:B67"/>
    <mergeCell ref="H1:M1"/>
    <mergeCell ref="J3:J4"/>
    <mergeCell ref="I3:I4"/>
    <mergeCell ref="H3:H4"/>
    <mergeCell ref="A1:F1"/>
    <mergeCell ref="F3:F16"/>
    <mergeCell ref="C3:C16"/>
    <mergeCell ref="B3:B16"/>
    <mergeCell ref="A3:A16"/>
    <mergeCell ref="H5:H12"/>
    <mergeCell ref="B34:B35"/>
    <mergeCell ref="A34:A35"/>
    <mergeCell ref="J5:J12"/>
    <mergeCell ref="I5:I12"/>
    <mergeCell ref="A36:F36"/>
    <mergeCell ref="A28:A31"/>
    <mergeCell ref="B32:B33"/>
    <mergeCell ref="A32:A33"/>
    <mergeCell ref="C17:C21"/>
    <mergeCell ref="B17:B21"/>
    <mergeCell ref="A17:A21"/>
    <mergeCell ref="C22:C27"/>
    <mergeCell ref="B22:B27"/>
    <mergeCell ref="A22:A27"/>
    <mergeCell ref="C28:C31"/>
    <mergeCell ref="B28:B31"/>
    <mergeCell ref="A113:F113"/>
    <mergeCell ref="A100:F100"/>
    <mergeCell ref="A37:F37"/>
    <mergeCell ref="C40:C41"/>
    <mergeCell ref="B40:B41"/>
    <mergeCell ref="A40:A41"/>
    <mergeCell ref="C51:C52"/>
    <mergeCell ref="B51:B52"/>
    <mergeCell ref="A51:A52"/>
    <mergeCell ref="B44:B45"/>
    <mergeCell ref="A44:A45"/>
    <mergeCell ref="A47:F47"/>
    <mergeCell ref="A42:A43"/>
    <mergeCell ref="B42:B43"/>
    <mergeCell ref="C42:C43"/>
    <mergeCell ref="A53:F53"/>
    <mergeCell ref="A126:F126"/>
    <mergeCell ref="C128:C129"/>
    <mergeCell ref="B128:B129"/>
    <mergeCell ref="A128:A129"/>
    <mergeCell ref="A119:F119"/>
    <mergeCell ref="C121:C124"/>
    <mergeCell ref="B121:B124"/>
    <mergeCell ref="A121:A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41"/>
  <sheetViews>
    <sheetView topLeftCell="A269" workbookViewId="0">
      <selection activeCell="H328" sqref="H328"/>
    </sheetView>
  </sheetViews>
  <sheetFormatPr defaultRowHeight="14.4" x14ac:dyDescent="0.3"/>
  <cols>
    <col min="3" max="3" width="25.88671875" customWidth="1"/>
    <col min="5" max="5" width="67.88671875" style="24" bestFit="1" customWidth="1"/>
    <col min="7" max="7" width="10.6640625" bestFit="1" customWidth="1"/>
  </cols>
  <sheetData>
    <row r="1" spans="1:6" ht="15" thickBot="1" x14ac:dyDescent="0.35">
      <c r="A1" s="55" t="s">
        <v>95</v>
      </c>
      <c r="B1" s="56"/>
      <c r="C1" s="56"/>
      <c r="D1" s="57"/>
    </row>
    <row r="2" spans="1:6" x14ac:dyDescent="0.3">
      <c r="A2" s="10" t="s">
        <v>92</v>
      </c>
      <c r="B2" s="10" t="s">
        <v>1</v>
      </c>
      <c r="C2" s="10" t="s">
        <v>93</v>
      </c>
      <c r="D2" s="14" t="s">
        <v>94</v>
      </c>
      <c r="E2" s="25"/>
      <c r="F2" s="3"/>
    </row>
    <row r="3" spans="1:6" x14ac:dyDescent="0.3">
      <c r="A3" s="3">
        <v>1</v>
      </c>
      <c r="B3" s="4">
        <v>44928</v>
      </c>
      <c r="C3" s="3" t="s">
        <v>96</v>
      </c>
      <c r="D3" s="11">
        <v>1</v>
      </c>
      <c r="E3" s="25"/>
      <c r="F3" s="3"/>
    </row>
    <row r="4" spans="1:6" x14ac:dyDescent="0.3">
      <c r="A4" s="3">
        <v>2</v>
      </c>
      <c r="B4" s="4">
        <v>44929</v>
      </c>
      <c r="C4" s="3" t="s">
        <v>96</v>
      </c>
      <c r="D4" s="11">
        <v>1</v>
      </c>
      <c r="E4" s="25"/>
      <c r="F4" s="3"/>
    </row>
    <row r="5" spans="1:6" x14ac:dyDescent="0.3">
      <c r="A5" s="3">
        <v>3</v>
      </c>
      <c r="B5" s="4">
        <v>44930</v>
      </c>
      <c r="C5" s="3" t="s">
        <v>97</v>
      </c>
      <c r="D5" s="11">
        <v>2</v>
      </c>
      <c r="E5" s="25"/>
      <c r="F5" s="3"/>
    </row>
    <row r="6" spans="1:6" x14ac:dyDescent="0.3">
      <c r="A6" s="3">
        <v>4</v>
      </c>
      <c r="B6" s="4">
        <v>44931</v>
      </c>
      <c r="C6" s="3" t="s">
        <v>96</v>
      </c>
      <c r="D6" s="11">
        <v>1</v>
      </c>
      <c r="E6" s="25"/>
      <c r="F6" s="3"/>
    </row>
    <row r="7" spans="1:6" x14ac:dyDescent="0.3">
      <c r="A7" s="3">
        <v>5</v>
      </c>
      <c r="B7" s="4">
        <v>44932</v>
      </c>
      <c r="C7" s="3" t="s">
        <v>97</v>
      </c>
      <c r="D7" s="11">
        <v>2</v>
      </c>
      <c r="E7" s="25"/>
      <c r="F7" s="3"/>
    </row>
    <row r="8" spans="1:6" x14ac:dyDescent="0.3">
      <c r="A8" s="3">
        <v>6</v>
      </c>
      <c r="B8" s="4">
        <v>44933</v>
      </c>
      <c r="C8" s="3" t="s">
        <v>97</v>
      </c>
      <c r="D8" s="11">
        <v>2</v>
      </c>
      <c r="E8" s="25" t="s">
        <v>103</v>
      </c>
      <c r="F8" s="3">
        <v>3</v>
      </c>
    </row>
    <row r="9" spans="1:6" x14ac:dyDescent="0.3">
      <c r="A9" s="3">
        <v>7</v>
      </c>
      <c r="B9" s="4">
        <v>44935</v>
      </c>
      <c r="C9" s="3" t="s">
        <v>96</v>
      </c>
      <c r="D9" s="11">
        <v>1</v>
      </c>
      <c r="E9" s="25"/>
      <c r="F9" s="3"/>
    </row>
    <row r="10" spans="1:6" x14ac:dyDescent="0.3">
      <c r="A10" s="3">
        <v>8</v>
      </c>
      <c r="B10" s="4">
        <v>44936</v>
      </c>
      <c r="C10" s="3"/>
      <c r="D10" s="11"/>
      <c r="E10" s="25" t="s">
        <v>103</v>
      </c>
      <c r="F10" s="3">
        <v>3</v>
      </c>
    </row>
    <row r="11" spans="1:6" x14ac:dyDescent="0.3">
      <c r="A11" s="3">
        <v>9</v>
      </c>
      <c r="B11" s="4">
        <v>44937</v>
      </c>
      <c r="C11" s="3"/>
      <c r="D11" s="11"/>
      <c r="E11" s="25" t="s">
        <v>105</v>
      </c>
      <c r="F11" s="3">
        <v>4</v>
      </c>
    </row>
    <row r="12" spans="1:6" x14ac:dyDescent="0.3">
      <c r="A12" s="3">
        <v>10</v>
      </c>
      <c r="B12" s="4">
        <v>44938</v>
      </c>
      <c r="C12" s="3"/>
      <c r="D12" s="11"/>
      <c r="E12" s="25" t="s">
        <v>105</v>
      </c>
      <c r="F12" s="3">
        <v>4</v>
      </c>
    </row>
    <row r="13" spans="1:6" x14ac:dyDescent="0.3">
      <c r="A13" s="3">
        <v>11</v>
      </c>
      <c r="B13" s="4">
        <v>44939</v>
      </c>
      <c r="C13" s="3" t="s">
        <v>106</v>
      </c>
      <c r="D13" s="11">
        <v>4</v>
      </c>
      <c r="E13" s="25" t="s">
        <v>105</v>
      </c>
      <c r="F13" s="3">
        <v>4</v>
      </c>
    </row>
    <row r="14" spans="1:6" x14ac:dyDescent="0.3">
      <c r="A14" s="3">
        <v>12</v>
      </c>
      <c r="B14" s="4">
        <v>44940</v>
      </c>
      <c r="C14" s="3" t="s">
        <v>106</v>
      </c>
      <c r="D14" s="11">
        <v>4</v>
      </c>
      <c r="E14" s="25" t="s">
        <v>105</v>
      </c>
      <c r="F14" s="3">
        <v>4</v>
      </c>
    </row>
    <row r="15" spans="1:6" x14ac:dyDescent="0.3">
      <c r="A15" s="3">
        <v>13</v>
      </c>
      <c r="B15" s="4">
        <v>44941</v>
      </c>
      <c r="C15" s="3"/>
      <c r="D15" s="11"/>
      <c r="E15" s="25" t="s">
        <v>107</v>
      </c>
      <c r="F15" s="3">
        <v>2</v>
      </c>
    </row>
    <row r="16" spans="1:6" x14ac:dyDescent="0.3">
      <c r="A16" s="3">
        <v>14</v>
      </c>
      <c r="B16" s="4">
        <v>44942</v>
      </c>
      <c r="C16" s="3" t="s">
        <v>108</v>
      </c>
      <c r="D16" s="11">
        <v>3</v>
      </c>
      <c r="E16" s="25" t="s">
        <v>109</v>
      </c>
      <c r="F16" s="3">
        <v>2</v>
      </c>
    </row>
    <row r="17" spans="1:6" x14ac:dyDescent="0.3">
      <c r="A17" s="3">
        <v>15</v>
      </c>
      <c r="B17" s="4">
        <v>44943</v>
      </c>
      <c r="C17" s="3" t="s">
        <v>110</v>
      </c>
      <c r="D17" s="11">
        <v>13</v>
      </c>
      <c r="E17" s="25"/>
      <c r="F17" s="3"/>
    </row>
    <row r="18" spans="1:6" x14ac:dyDescent="0.3">
      <c r="A18" s="3">
        <v>16</v>
      </c>
      <c r="B18" s="4">
        <v>44944</v>
      </c>
      <c r="C18" s="3" t="s">
        <v>111</v>
      </c>
      <c r="D18" s="11">
        <v>4</v>
      </c>
      <c r="E18" s="25" t="s">
        <v>109</v>
      </c>
      <c r="F18" s="3">
        <v>2</v>
      </c>
    </row>
    <row r="19" spans="1:6" x14ac:dyDescent="0.3">
      <c r="A19" s="3">
        <v>17</v>
      </c>
      <c r="B19" s="4">
        <v>44945</v>
      </c>
      <c r="C19" s="3" t="s">
        <v>112</v>
      </c>
      <c r="D19" s="11">
        <v>1</v>
      </c>
      <c r="E19" s="25" t="s">
        <v>113</v>
      </c>
      <c r="F19" s="3">
        <v>2</v>
      </c>
    </row>
    <row r="20" spans="1:6" x14ac:dyDescent="0.3">
      <c r="A20" s="3">
        <v>18</v>
      </c>
      <c r="B20" s="4">
        <v>44946</v>
      </c>
      <c r="C20" s="3" t="s">
        <v>114</v>
      </c>
      <c r="D20" s="11">
        <v>4</v>
      </c>
      <c r="E20" s="25" t="s">
        <v>113</v>
      </c>
      <c r="F20" s="3">
        <v>2</v>
      </c>
    </row>
    <row r="21" spans="1:6" x14ac:dyDescent="0.3">
      <c r="A21" s="3">
        <v>19</v>
      </c>
      <c r="B21" s="4">
        <v>44947</v>
      </c>
      <c r="C21" s="3" t="s">
        <v>115</v>
      </c>
      <c r="D21" s="11">
        <v>5</v>
      </c>
      <c r="E21" s="25" t="s">
        <v>113</v>
      </c>
      <c r="F21" s="3">
        <v>2</v>
      </c>
    </row>
    <row r="22" spans="1:6" x14ac:dyDescent="0.3">
      <c r="A22" s="3">
        <v>20</v>
      </c>
      <c r="B22" s="4">
        <v>44948</v>
      </c>
      <c r="C22" s="3" t="s">
        <v>115</v>
      </c>
      <c r="D22" s="11">
        <v>5</v>
      </c>
      <c r="E22" s="25" t="s">
        <v>116</v>
      </c>
      <c r="F22" s="3">
        <v>1</v>
      </c>
    </row>
    <row r="23" spans="1:6" x14ac:dyDescent="0.3">
      <c r="A23" s="3">
        <v>21</v>
      </c>
      <c r="B23" s="4">
        <v>44949</v>
      </c>
      <c r="C23" s="3" t="s">
        <v>117</v>
      </c>
      <c r="D23" s="11">
        <v>1</v>
      </c>
      <c r="E23" s="25" t="s">
        <v>116</v>
      </c>
      <c r="F23" s="3">
        <v>1</v>
      </c>
    </row>
    <row r="24" spans="1:6" x14ac:dyDescent="0.3">
      <c r="A24" s="3">
        <v>22</v>
      </c>
      <c r="B24" s="4">
        <v>44950</v>
      </c>
      <c r="C24" s="3" t="s">
        <v>117</v>
      </c>
      <c r="D24" s="11">
        <v>1</v>
      </c>
      <c r="E24" s="25" t="s">
        <v>116</v>
      </c>
      <c r="F24" s="3">
        <v>1</v>
      </c>
    </row>
    <row r="25" spans="1:6" x14ac:dyDescent="0.3">
      <c r="A25" s="3">
        <v>23</v>
      </c>
      <c r="B25" s="4">
        <v>44951</v>
      </c>
      <c r="C25" s="3" t="s">
        <v>118</v>
      </c>
      <c r="D25" s="11">
        <v>2</v>
      </c>
      <c r="E25" s="25" t="s">
        <v>116</v>
      </c>
      <c r="F25" s="3">
        <v>1</v>
      </c>
    </row>
    <row r="26" spans="1:6" x14ac:dyDescent="0.3">
      <c r="A26" s="3">
        <v>24</v>
      </c>
      <c r="B26" s="4">
        <v>44953</v>
      </c>
      <c r="C26" s="3" t="s">
        <v>118</v>
      </c>
      <c r="D26" s="11">
        <v>2</v>
      </c>
      <c r="E26" s="25" t="s">
        <v>119</v>
      </c>
      <c r="F26" s="3">
        <v>2</v>
      </c>
    </row>
    <row r="27" spans="1:6" x14ac:dyDescent="0.3">
      <c r="A27" s="3">
        <v>25</v>
      </c>
      <c r="B27" s="4">
        <v>44954</v>
      </c>
      <c r="C27" s="3" t="s">
        <v>118</v>
      </c>
      <c r="D27" s="11">
        <v>2</v>
      </c>
      <c r="E27" s="25" t="s">
        <v>119</v>
      </c>
      <c r="F27" s="3">
        <v>2</v>
      </c>
    </row>
    <row r="28" spans="1:6" x14ac:dyDescent="0.3">
      <c r="A28" s="3">
        <v>26</v>
      </c>
      <c r="B28" s="4">
        <v>44955</v>
      </c>
      <c r="C28" s="3" t="s">
        <v>117</v>
      </c>
      <c r="D28" s="11">
        <v>1</v>
      </c>
      <c r="E28" s="25" t="s">
        <v>120</v>
      </c>
      <c r="F28" s="3">
        <v>5</v>
      </c>
    </row>
    <row r="29" spans="1:6" x14ac:dyDescent="0.3">
      <c r="A29" s="3">
        <v>27</v>
      </c>
      <c r="B29" s="4">
        <v>44956</v>
      </c>
      <c r="C29" s="3" t="s">
        <v>117</v>
      </c>
      <c r="D29" s="11">
        <v>1</v>
      </c>
      <c r="E29" s="25" t="s">
        <v>164</v>
      </c>
      <c r="F29" s="3">
        <v>9</v>
      </c>
    </row>
    <row r="30" spans="1:6" x14ac:dyDescent="0.3">
      <c r="A30" s="3">
        <v>28</v>
      </c>
      <c r="B30" s="4">
        <v>44957</v>
      </c>
      <c r="C30" s="3" t="s">
        <v>117</v>
      </c>
      <c r="D30" s="11">
        <v>1</v>
      </c>
      <c r="E30" s="25" t="s">
        <v>125</v>
      </c>
      <c r="F30" s="3">
        <v>9</v>
      </c>
    </row>
    <row r="31" spans="1:6" x14ac:dyDescent="0.3">
      <c r="A31" s="3"/>
      <c r="B31" s="3"/>
      <c r="C31" s="3"/>
      <c r="D31" s="11"/>
      <c r="E31" s="25"/>
      <c r="F31" s="3"/>
    </row>
    <row r="32" spans="1:6" x14ac:dyDescent="0.3">
      <c r="A32" s="52"/>
      <c r="B32" s="53"/>
      <c r="C32" s="53"/>
      <c r="D32" s="53"/>
      <c r="E32" s="53"/>
      <c r="F32" s="54"/>
    </row>
    <row r="33" spans="1:11" x14ac:dyDescent="0.3">
      <c r="A33" s="3">
        <v>1</v>
      </c>
      <c r="B33" s="4">
        <v>44958</v>
      </c>
      <c r="C33" s="3" t="s">
        <v>126</v>
      </c>
      <c r="D33" s="11">
        <v>1</v>
      </c>
      <c r="E33" s="25" t="s">
        <v>127</v>
      </c>
      <c r="F33" s="3">
        <v>7</v>
      </c>
    </row>
    <row r="34" spans="1:11" x14ac:dyDescent="0.3">
      <c r="A34" s="3">
        <v>2</v>
      </c>
      <c r="B34" s="4">
        <v>44959</v>
      </c>
      <c r="C34" s="3" t="s">
        <v>126</v>
      </c>
      <c r="D34" s="11">
        <v>1</v>
      </c>
      <c r="E34" s="25" t="s">
        <v>152</v>
      </c>
      <c r="F34" s="3">
        <v>8</v>
      </c>
    </row>
    <row r="35" spans="1:11" x14ac:dyDescent="0.3">
      <c r="A35" s="3">
        <v>3</v>
      </c>
      <c r="B35" s="4">
        <v>44960</v>
      </c>
      <c r="C35" s="3" t="s">
        <v>126</v>
      </c>
      <c r="D35" s="11">
        <v>1</v>
      </c>
      <c r="E35" s="25" t="s">
        <v>153</v>
      </c>
      <c r="F35" s="3">
        <v>7</v>
      </c>
    </row>
    <row r="36" spans="1:11" x14ac:dyDescent="0.3">
      <c r="A36" s="3">
        <v>4</v>
      </c>
      <c r="B36" s="4">
        <v>44961</v>
      </c>
      <c r="C36" s="3" t="s">
        <v>126</v>
      </c>
      <c r="D36" s="11">
        <v>1</v>
      </c>
      <c r="E36" s="25" t="s">
        <v>152</v>
      </c>
      <c r="F36" s="3">
        <v>8</v>
      </c>
      <c r="K36" t="s">
        <v>149</v>
      </c>
    </row>
    <row r="37" spans="1:11" x14ac:dyDescent="0.3">
      <c r="A37" s="3">
        <v>5</v>
      </c>
      <c r="B37" s="4">
        <v>44962</v>
      </c>
      <c r="C37" s="3"/>
      <c r="D37" s="11"/>
      <c r="E37" s="25"/>
      <c r="F37" s="3"/>
    </row>
    <row r="38" spans="1:11" x14ac:dyDescent="0.3">
      <c r="A38" s="3">
        <v>6</v>
      </c>
      <c r="B38" s="4">
        <v>44963</v>
      </c>
      <c r="C38" s="3"/>
      <c r="D38" s="11"/>
      <c r="E38" s="25" t="s">
        <v>154</v>
      </c>
      <c r="F38" s="3">
        <v>3</v>
      </c>
    </row>
    <row r="39" spans="1:11" x14ac:dyDescent="0.3">
      <c r="A39" s="3">
        <v>7</v>
      </c>
      <c r="B39" s="4">
        <v>44964</v>
      </c>
      <c r="C39" s="3"/>
      <c r="D39" s="3"/>
      <c r="E39" s="25"/>
      <c r="F39" s="3"/>
    </row>
    <row r="40" spans="1:11" x14ac:dyDescent="0.3">
      <c r="A40" s="3">
        <v>8</v>
      </c>
      <c r="B40" s="4">
        <v>44965</v>
      </c>
      <c r="C40" s="3" t="s">
        <v>126</v>
      </c>
      <c r="D40" s="11">
        <v>1</v>
      </c>
      <c r="E40" s="25" t="s">
        <v>165</v>
      </c>
      <c r="F40" s="3">
        <v>9</v>
      </c>
    </row>
    <row r="41" spans="1:11" x14ac:dyDescent="0.3">
      <c r="A41" s="3">
        <v>9</v>
      </c>
      <c r="B41" s="4">
        <v>44966</v>
      </c>
      <c r="C41" s="3" t="s">
        <v>126</v>
      </c>
      <c r="D41" s="11">
        <v>1</v>
      </c>
      <c r="E41" s="25" t="s">
        <v>155</v>
      </c>
      <c r="F41" s="3">
        <v>3</v>
      </c>
    </row>
    <row r="42" spans="1:11" x14ac:dyDescent="0.3">
      <c r="A42" s="3">
        <v>10</v>
      </c>
      <c r="B42" s="4">
        <v>44967</v>
      </c>
      <c r="C42" s="3" t="s">
        <v>126</v>
      </c>
      <c r="D42" s="11">
        <v>1</v>
      </c>
      <c r="E42" s="25" t="s">
        <v>166</v>
      </c>
      <c r="F42" s="3">
        <v>10</v>
      </c>
    </row>
    <row r="43" spans="1:11" x14ac:dyDescent="0.3">
      <c r="A43" s="3">
        <v>11</v>
      </c>
      <c r="B43" s="4">
        <v>44968</v>
      </c>
      <c r="C43" s="3" t="s">
        <v>126</v>
      </c>
      <c r="D43" s="11">
        <v>1</v>
      </c>
      <c r="E43" s="25" t="s">
        <v>156</v>
      </c>
      <c r="F43" s="3">
        <v>4</v>
      </c>
    </row>
    <row r="44" spans="1:11" x14ac:dyDescent="0.3">
      <c r="A44" s="3">
        <v>12</v>
      </c>
      <c r="B44" s="4">
        <v>44969</v>
      </c>
      <c r="C44" s="3" t="s">
        <v>126</v>
      </c>
      <c r="D44" s="11">
        <v>1</v>
      </c>
      <c r="E44" s="25" t="s">
        <v>157</v>
      </c>
      <c r="F44" s="3">
        <v>4</v>
      </c>
    </row>
    <row r="45" spans="1:11" x14ac:dyDescent="0.3">
      <c r="A45" s="3">
        <v>13</v>
      </c>
      <c r="B45" s="4">
        <v>44970</v>
      </c>
      <c r="C45" s="3" t="s">
        <v>163</v>
      </c>
      <c r="D45" s="3"/>
      <c r="E45" s="25" t="s">
        <v>167</v>
      </c>
      <c r="F45" s="3">
        <v>8</v>
      </c>
    </row>
    <row r="46" spans="1:11" x14ac:dyDescent="0.3">
      <c r="A46" s="3">
        <v>14</v>
      </c>
      <c r="B46" s="4">
        <v>44971</v>
      </c>
      <c r="C46" s="3"/>
      <c r="D46" s="3"/>
      <c r="E46" s="25" t="s">
        <v>167</v>
      </c>
      <c r="F46" s="3">
        <v>8</v>
      </c>
    </row>
    <row r="47" spans="1:11" x14ac:dyDescent="0.3">
      <c r="A47" s="3">
        <v>15</v>
      </c>
      <c r="B47" s="4">
        <v>44972</v>
      </c>
      <c r="C47" s="3" t="s">
        <v>158</v>
      </c>
      <c r="D47" s="3">
        <v>2</v>
      </c>
      <c r="E47" s="25" t="s">
        <v>168</v>
      </c>
      <c r="F47" s="3">
        <v>7</v>
      </c>
    </row>
    <row r="48" spans="1:11" x14ac:dyDescent="0.3">
      <c r="A48" s="3">
        <v>16</v>
      </c>
      <c r="B48" s="4">
        <v>44973</v>
      </c>
      <c r="C48" s="3" t="s">
        <v>158</v>
      </c>
      <c r="D48" s="3">
        <v>2</v>
      </c>
      <c r="E48" s="25" t="s">
        <v>169</v>
      </c>
      <c r="F48" s="3">
        <v>12</v>
      </c>
    </row>
    <row r="49" spans="1:6" x14ac:dyDescent="0.3">
      <c r="A49" s="3">
        <v>17</v>
      </c>
      <c r="B49" s="4">
        <v>44974</v>
      </c>
      <c r="C49" s="3" t="s">
        <v>158</v>
      </c>
      <c r="D49" s="3">
        <v>2</v>
      </c>
      <c r="E49" s="25" t="s">
        <v>170</v>
      </c>
      <c r="F49" s="3">
        <v>10</v>
      </c>
    </row>
    <row r="50" spans="1:6" x14ac:dyDescent="0.3">
      <c r="A50" s="3">
        <v>18</v>
      </c>
      <c r="B50" s="4">
        <v>44975</v>
      </c>
      <c r="C50" s="3" t="s">
        <v>158</v>
      </c>
      <c r="D50" s="3">
        <v>2</v>
      </c>
      <c r="E50" s="25" t="s">
        <v>171</v>
      </c>
      <c r="F50" s="3">
        <v>10</v>
      </c>
    </row>
    <row r="51" spans="1:6" x14ac:dyDescent="0.3">
      <c r="A51" s="3">
        <v>19</v>
      </c>
      <c r="B51" s="4">
        <v>44976</v>
      </c>
      <c r="C51" s="3"/>
      <c r="D51" s="3"/>
      <c r="E51" s="25" t="s">
        <v>172</v>
      </c>
      <c r="F51" s="3">
        <v>6</v>
      </c>
    </row>
    <row r="52" spans="1:6" x14ac:dyDescent="0.3">
      <c r="A52" s="3">
        <v>20</v>
      </c>
      <c r="B52" s="4">
        <v>44977</v>
      </c>
      <c r="C52" s="3"/>
      <c r="D52" s="3"/>
      <c r="E52" s="25" t="s">
        <v>173</v>
      </c>
      <c r="F52" s="3">
        <v>5</v>
      </c>
    </row>
    <row r="53" spans="1:6" x14ac:dyDescent="0.3">
      <c r="A53" s="3">
        <v>21</v>
      </c>
      <c r="B53" s="4">
        <v>44978</v>
      </c>
      <c r="C53" s="3"/>
      <c r="D53" s="3"/>
      <c r="E53" s="25" t="s">
        <v>174</v>
      </c>
      <c r="F53" s="3">
        <v>8</v>
      </c>
    </row>
    <row r="54" spans="1:6" x14ac:dyDescent="0.3">
      <c r="A54" s="3">
        <v>22</v>
      </c>
      <c r="B54" s="4">
        <v>44979</v>
      </c>
      <c r="C54" s="3" t="s">
        <v>126</v>
      </c>
      <c r="D54" s="11">
        <v>1</v>
      </c>
      <c r="E54" s="25" t="s">
        <v>175</v>
      </c>
      <c r="F54" s="3">
        <v>9</v>
      </c>
    </row>
    <row r="55" spans="1:6" x14ac:dyDescent="0.3">
      <c r="A55" s="3">
        <v>23</v>
      </c>
      <c r="B55" s="4">
        <v>44980</v>
      </c>
      <c r="C55" s="3" t="s">
        <v>176</v>
      </c>
      <c r="D55" s="3"/>
      <c r="E55" s="25" t="s">
        <v>176</v>
      </c>
      <c r="F55" s="3"/>
    </row>
    <row r="56" spans="1:6" x14ac:dyDescent="0.3">
      <c r="A56" s="3">
        <v>24</v>
      </c>
      <c r="B56" s="4">
        <v>44981</v>
      </c>
      <c r="C56" s="3" t="s">
        <v>126</v>
      </c>
      <c r="D56" s="11">
        <v>1</v>
      </c>
      <c r="E56" s="25" t="s">
        <v>177</v>
      </c>
      <c r="F56" s="3">
        <v>7</v>
      </c>
    </row>
    <row r="57" spans="1:6" x14ac:dyDescent="0.3">
      <c r="A57" s="3">
        <v>25</v>
      </c>
      <c r="B57" s="4">
        <v>44982</v>
      </c>
      <c r="C57" s="3" t="s">
        <v>126</v>
      </c>
      <c r="D57" s="11">
        <v>1</v>
      </c>
      <c r="E57" s="25" t="s">
        <v>178</v>
      </c>
      <c r="F57" s="3">
        <v>11</v>
      </c>
    </row>
    <row r="58" spans="1:6" x14ac:dyDescent="0.3">
      <c r="A58" s="3">
        <v>26</v>
      </c>
      <c r="B58" s="4">
        <v>44983</v>
      </c>
      <c r="C58" s="3" t="s">
        <v>126</v>
      </c>
      <c r="D58" s="11">
        <v>1</v>
      </c>
      <c r="E58" s="25" t="s">
        <v>179</v>
      </c>
      <c r="F58" s="3">
        <v>9</v>
      </c>
    </row>
    <row r="59" spans="1:6" x14ac:dyDescent="0.3">
      <c r="A59" s="3">
        <v>27</v>
      </c>
      <c r="B59" s="4">
        <v>44984</v>
      </c>
      <c r="C59" s="3"/>
      <c r="D59" s="3"/>
      <c r="E59" s="25" t="s">
        <v>179</v>
      </c>
      <c r="F59" s="3">
        <v>9</v>
      </c>
    </row>
    <row r="60" spans="1:6" x14ac:dyDescent="0.3">
      <c r="A60" s="3">
        <v>28</v>
      </c>
      <c r="B60" s="4">
        <v>44985</v>
      </c>
      <c r="C60" s="3"/>
      <c r="D60" s="3"/>
      <c r="E60" s="25" t="s">
        <v>180</v>
      </c>
      <c r="F60" s="3">
        <v>9</v>
      </c>
    </row>
    <row r="61" spans="1:6" x14ac:dyDescent="0.3">
      <c r="A61" s="58"/>
      <c r="B61" s="58"/>
      <c r="C61" s="58"/>
      <c r="D61" s="58"/>
      <c r="E61" s="58"/>
      <c r="F61" s="58"/>
    </row>
    <row r="62" spans="1:6" x14ac:dyDescent="0.3">
      <c r="A62" s="3">
        <v>1</v>
      </c>
      <c r="B62" s="4">
        <v>44986</v>
      </c>
      <c r="C62" s="3" t="s">
        <v>126</v>
      </c>
      <c r="D62" s="11">
        <v>1</v>
      </c>
      <c r="E62" s="25" t="s">
        <v>181</v>
      </c>
      <c r="F62" s="3">
        <v>11</v>
      </c>
    </row>
    <row r="63" spans="1:6" x14ac:dyDescent="0.3">
      <c r="A63" s="3">
        <v>2</v>
      </c>
      <c r="B63" s="4">
        <v>44987</v>
      </c>
      <c r="C63" s="3" t="s">
        <v>126</v>
      </c>
      <c r="D63" s="11">
        <v>1</v>
      </c>
      <c r="E63" s="25" t="s">
        <v>182</v>
      </c>
      <c r="F63" s="3">
        <v>12</v>
      </c>
    </row>
    <row r="64" spans="1:6" x14ac:dyDescent="0.3">
      <c r="A64" s="3">
        <v>3</v>
      </c>
      <c r="B64" s="4">
        <v>44988</v>
      </c>
      <c r="C64" s="3" t="s">
        <v>126</v>
      </c>
      <c r="D64" s="11">
        <v>1</v>
      </c>
      <c r="E64" s="25" t="s">
        <v>182</v>
      </c>
      <c r="F64" s="3">
        <v>12</v>
      </c>
    </row>
    <row r="65" spans="1:6" x14ac:dyDescent="0.3">
      <c r="A65" s="3">
        <v>4</v>
      </c>
      <c r="B65" s="4">
        <v>44989</v>
      </c>
      <c r="C65" s="3" t="s">
        <v>126</v>
      </c>
      <c r="D65" s="11">
        <v>1</v>
      </c>
      <c r="E65" s="25" t="s">
        <v>182</v>
      </c>
      <c r="F65" s="3">
        <v>12</v>
      </c>
    </row>
    <row r="66" spans="1:6" x14ac:dyDescent="0.3">
      <c r="A66" s="3">
        <v>5</v>
      </c>
      <c r="B66" s="4">
        <v>44990</v>
      </c>
      <c r="C66" s="3" t="s">
        <v>126</v>
      </c>
      <c r="D66" s="11">
        <v>1</v>
      </c>
      <c r="E66" s="25" t="s">
        <v>182</v>
      </c>
      <c r="F66" s="3">
        <v>12</v>
      </c>
    </row>
    <row r="67" spans="1:6" x14ac:dyDescent="0.3">
      <c r="A67" s="3">
        <v>6</v>
      </c>
      <c r="B67" s="4">
        <v>44991</v>
      </c>
      <c r="C67" s="3" t="s">
        <v>126</v>
      </c>
      <c r="D67" s="11">
        <v>1</v>
      </c>
      <c r="E67" s="25" t="s">
        <v>196</v>
      </c>
      <c r="F67" s="3">
        <v>13</v>
      </c>
    </row>
    <row r="68" spans="1:6" x14ac:dyDescent="0.3">
      <c r="A68" s="3">
        <v>7</v>
      </c>
      <c r="B68" s="4">
        <v>44992</v>
      </c>
      <c r="C68" s="3" t="s">
        <v>202</v>
      </c>
      <c r="D68" s="3"/>
      <c r="E68" s="25"/>
      <c r="F68" s="3"/>
    </row>
    <row r="69" spans="1:6" x14ac:dyDescent="0.3">
      <c r="A69" s="3">
        <v>8</v>
      </c>
      <c r="B69" s="4">
        <v>44993</v>
      </c>
      <c r="C69" s="3" t="s">
        <v>202</v>
      </c>
      <c r="D69" s="3"/>
      <c r="E69" s="25"/>
      <c r="F69" s="3"/>
    </row>
    <row r="70" spans="1:6" x14ac:dyDescent="0.3">
      <c r="A70" s="3">
        <v>9</v>
      </c>
      <c r="B70" s="4">
        <v>44994</v>
      </c>
      <c r="C70" s="3" t="s">
        <v>202</v>
      </c>
      <c r="D70" s="3"/>
      <c r="E70" s="25"/>
      <c r="F70" s="3"/>
    </row>
    <row r="71" spans="1:6" x14ac:dyDescent="0.3">
      <c r="A71" s="3">
        <v>10</v>
      </c>
      <c r="B71" s="4">
        <v>44995</v>
      </c>
      <c r="C71" s="3" t="s">
        <v>126</v>
      </c>
      <c r="D71" s="11">
        <v>1</v>
      </c>
      <c r="E71" s="25" t="s">
        <v>203</v>
      </c>
      <c r="F71" s="3">
        <v>5</v>
      </c>
    </row>
    <row r="72" spans="1:6" x14ac:dyDescent="0.3">
      <c r="A72" s="3">
        <v>11</v>
      </c>
      <c r="B72" s="4">
        <v>44996</v>
      </c>
      <c r="C72" s="3" t="s">
        <v>126</v>
      </c>
      <c r="D72" s="11">
        <v>1</v>
      </c>
      <c r="E72" s="25" t="s">
        <v>204</v>
      </c>
      <c r="F72" s="3">
        <v>6</v>
      </c>
    </row>
    <row r="73" spans="1:6" x14ac:dyDescent="0.3">
      <c r="A73" s="3">
        <v>12</v>
      </c>
      <c r="B73" s="4">
        <v>44997</v>
      </c>
      <c r="C73" s="3" t="s">
        <v>202</v>
      </c>
      <c r="D73" s="3"/>
      <c r="E73" s="25" t="s">
        <v>207</v>
      </c>
      <c r="F73" s="3">
        <v>4</v>
      </c>
    </row>
    <row r="74" spans="1:6" x14ac:dyDescent="0.3">
      <c r="A74" s="3">
        <v>13</v>
      </c>
      <c r="B74" s="4">
        <v>44998</v>
      </c>
      <c r="C74" s="3" t="s">
        <v>202</v>
      </c>
      <c r="D74" s="3"/>
      <c r="E74" s="25" t="s">
        <v>182</v>
      </c>
      <c r="F74" s="3">
        <v>12</v>
      </c>
    </row>
    <row r="75" spans="1:6" x14ac:dyDescent="0.3">
      <c r="A75" s="3">
        <v>14</v>
      </c>
      <c r="B75" s="4">
        <v>44999</v>
      </c>
      <c r="C75" s="3"/>
      <c r="D75" s="3"/>
      <c r="E75" s="25" t="s">
        <v>209</v>
      </c>
      <c r="F75" s="3">
        <v>11</v>
      </c>
    </row>
    <row r="76" spans="1:6" x14ac:dyDescent="0.3">
      <c r="A76" s="3">
        <v>15</v>
      </c>
      <c r="B76" s="4">
        <v>45000</v>
      </c>
      <c r="C76" s="3" t="s">
        <v>126</v>
      </c>
      <c r="D76" s="11">
        <v>1</v>
      </c>
      <c r="E76" s="25" t="s">
        <v>209</v>
      </c>
      <c r="F76" s="3">
        <v>11</v>
      </c>
    </row>
    <row r="77" spans="1:6" x14ac:dyDescent="0.3">
      <c r="A77" s="3">
        <v>16</v>
      </c>
      <c r="B77" s="4">
        <v>45001</v>
      </c>
      <c r="C77" s="3" t="s">
        <v>126</v>
      </c>
      <c r="D77" s="11">
        <v>1</v>
      </c>
      <c r="E77" s="25" t="s">
        <v>210</v>
      </c>
      <c r="F77" s="3">
        <v>11</v>
      </c>
    </row>
    <row r="78" spans="1:6" x14ac:dyDescent="0.3">
      <c r="A78" s="3">
        <v>17</v>
      </c>
      <c r="B78" s="4">
        <v>45002</v>
      </c>
      <c r="C78" s="3" t="s">
        <v>126</v>
      </c>
      <c r="D78" s="11">
        <v>1</v>
      </c>
      <c r="E78" s="25" t="s">
        <v>211</v>
      </c>
      <c r="F78" s="3">
        <v>10</v>
      </c>
    </row>
    <row r="79" spans="1:6" x14ac:dyDescent="0.3">
      <c r="A79" s="3">
        <v>18</v>
      </c>
      <c r="B79" s="4">
        <v>45003</v>
      </c>
      <c r="C79" s="3" t="s">
        <v>126</v>
      </c>
      <c r="D79" s="11">
        <v>1</v>
      </c>
      <c r="E79" s="25" t="s">
        <v>215</v>
      </c>
      <c r="F79" s="3">
        <v>7</v>
      </c>
    </row>
    <row r="80" spans="1:6" x14ac:dyDescent="0.3">
      <c r="A80" s="3">
        <v>19</v>
      </c>
      <c r="B80" s="4">
        <v>45004</v>
      </c>
      <c r="C80" s="3" t="s">
        <v>126</v>
      </c>
      <c r="D80" s="11">
        <v>1</v>
      </c>
      <c r="E80" s="25" t="s">
        <v>215</v>
      </c>
      <c r="F80" s="3">
        <v>7</v>
      </c>
    </row>
    <row r="81" spans="1:11" x14ac:dyDescent="0.3">
      <c r="A81" s="3">
        <v>20</v>
      </c>
      <c r="B81" s="4">
        <v>45005</v>
      </c>
      <c r="C81" s="3" t="s">
        <v>126</v>
      </c>
      <c r="D81" s="11">
        <v>1</v>
      </c>
      <c r="E81" s="25" t="s">
        <v>215</v>
      </c>
      <c r="F81" s="3">
        <v>7</v>
      </c>
    </row>
    <row r="82" spans="1:11" x14ac:dyDescent="0.3">
      <c r="A82" s="3">
        <v>21</v>
      </c>
      <c r="B82" s="4">
        <v>45006</v>
      </c>
      <c r="C82" s="3" t="s">
        <v>202</v>
      </c>
      <c r="D82" s="3"/>
      <c r="E82" s="25" t="s">
        <v>223</v>
      </c>
      <c r="F82" s="3">
        <v>2</v>
      </c>
    </row>
    <row r="83" spans="1:11" x14ac:dyDescent="0.3">
      <c r="A83" s="3">
        <v>22</v>
      </c>
      <c r="B83" s="4">
        <v>45007</v>
      </c>
      <c r="C83" s="3" t="s">
        <v>202</v>
      </c>
      <c r="D83" s="3"/>
      <c r="E83" s="25" t="s">
        <v>222</v>
      </c>
      <c r="F83" s="3">
        <v>3</v>
      </c>
      <c r="K83" t="s">
        <v>228</v>
      </c>
    </row>
    <row r="84" spans="1:11" x14ac:dyDescent="0.3">
      <c r="A84" s="3">
        <v>23</v>
      </c>
      <c r="B84" s="4">
        <v>45008</v>
      </c>
      <c r="C84" s="3" t="s">
        <v>202</v>
      </c>
      <c r="D84" s="3"/>
      <c r="E84" s="25" t="s">
        <v>202</v>
      </c>
      <c r="F84" s="3"/>
    </row>
    <row r="85" spans="1:11" x14ac:dyDescent="0.3">
      <c r="A85" s="3">
        <v>24</v>
      </c>
      <c r="B85" s="4">
        <v>45009</v>
      </c>
      <c r="C85" s="3" t="s">
        <v>202</v>
      </c>
      <c r="D85" s="3"/>
      <c r="E85" s="25" t="s">
        <v>202</v>
      </c>
      <c r="F85" s="3"/>
    </row>
    <row r="86" spans="1:11" x14ac:dyDescent="0.3">
      <c r="A86" s="3">
        <v>25</v>
      </c>
      <c r="B86" s="4">
        <v>45010</v>
      </c>
      <c r="C86" s="3" t="s">
        <v>126</v>
      </c>
      <c r="D86" s="11">
        <v>1</v>
      </c>
      <c r="E86" s="25" t="s">
        <v>225</v>
      </c>
      <c r="F86" s="3">
        <v>5</v>
      </c>
    </row>
    <row r="87" spans="1:11" x14ac:dyDescent="0.3">
      <c r="A87" s="3">
        <v>26</v>
      </c>
      <c r="B87" s="4">
        <v>45011</v>
      </c>
      <c r="C87" s="3" t="s">
        <v>126</v>
      </c>
      <c r="D87" s="11">
        <v>1</v>
      </c>
      <c r="E87" s="25" t="s">
        <v>226</v>
      </c>
      <c r="F87" s="3">
        <v>6</v>
      </c>
    </row>
    <row r="88" spans="1:11" x14ac:dyDescent="0.3">
      <c r="A88" s="3">
        <v>27</v>
      </c>
      <c r="B88" s="4">
        <v>45012</v>
      </c>
      <c r="C88" s="3" t="s">
        <v>126</v>
      </c>
      <c r="D88" s="11">
        <v>1</v>
      </c>
      <c r="E88" s="25" t="s">
        <v>226</v>
      </c>
      <c r="F88" s="3">
        <v>6</v>
      </c>
    </row>
    <row r="89" spans="1:11" x14ac:dyDescent="0.3">
      <c r="A89" s="3">
        <v>28</v>
      </c>
      <c r="B89" s="4">
        <v>45013</v>
      </c>
      <c r="C89" s="3" t="s">
        <v>227</v>
      </c>
      <c r="D89" s="11">
        <v>0.5</v>
      </c>
      <c r="E89" s="25" t="s">
        <v>226</v>
      </c>
      <c r="F89" s="3">
        <v>6</v>
      </c>
    </row>
    <row r="90" spans="1:11" x14ac:dyDescent="0.3">
      <c r="A90" s="3">
        <v>29</v>
      </c>
      <c r="B90" s="4">
        <v>45014</v>
      </c>
      <c r="C90" s="3"/>
      <c r="D90" s="3"/>
      <c r="E90" s="25" t="s">
        <v>225</v>
      </c>
      <c r="F90" s="3">
        <v>5</v>
      </c>
    </row>
    <row r="91" spans="1:11" x14ac:dyDescent="0.3">
      <c r="A91" s="3">
        <v>30</v>
      </c>
      <c r="B91" s="4">
        <v>45015</v>
      </c>
      <c r="C91" s="3"/>
      <c r="D91" s="3"/>
      <c r="E91" s="25" t="s">
        <v>229</v>
      </c>
      <c r="F91" s="3">
        <v>7</v>
      </c>
    </row>
    <row r="92" spans="1:11" x14ac:dyDescent="0.3">
      <c r="A92" s="3">
        <v>31</v>
      </c>
      <c r="B92" s="4">
        <v>45016</v>
      </c>
      <c r="C92" s="3"/>
      <c r="D92" s="3"/>
      <c r="E92" s="25" t="s">
        <v>230</v>
      </c>
      <c r="F92" s="3">
        <v>10</v>
      </c>
    </row>
    <row r="93" spans="1:11" x14ac:dyDescent="0.3">
      <c r="A93" s="21"/>
      <c r="B93" s="22"/>
      <c r="C93" s="22"/>
      <c r="D93" s="22"/>
      <c r="E93" s="26"/>
      <c r="F93" s="23"/>
    </row>
    <row r="94" spans="1:11" x14ac:dyDescent="0.3">
      <c r="A94" s="3">
        <v>1</v>
      </c>
      <c r="B94" s="4">
        <v>45017</v>
      </c>
      <c r="C94" s="3"/>
      <c r="D94" s="3"/>
      <c r="E94" s="25" t="s">
        <v>202</v>
      </c>
      <c r="F94" s="17"/>
    </row>
    <row r="95" spans="1:11" x14ac:dyDescent="0.3">
      <c r="A95" s="3">
        <v>2</v>
      </c>
      <c r="B95" s="4">
        <v>45018</v>
      </c>
      <c r="C95" s="3"/>
      <c r="D95" s="3"/>
      <c r="E95" s="25" t="s">
        <v>231</v>
      </c>
      <c r="F95" s="3">
        <v>7</v>
      </c>
    </row>
    <row r="96" spans="1:11" x14ac:dyDescent="0.3">
      <c r="A96" s="3">
        <v>3</v>
      </c>
      <c r="B96" s="4">
        <v>45019</v>
      </c>
      <c r="C96" s="3"/>
      <c r="D96" s="3"/>
      <c r="E96" s="25" t="s">
        <v>232</v>
      </c>
      <c r="F96" s="3">
        <v>6</v>
      </c>
    </row>
    <row r="97" spans="1:9" x14ac:dyDescent="0.3">
      <c r="A97" s="3">
        <v>4</v>
      </c>
      <c r="B97" s="4">
        <v>45020</v>
      </c>
      <c r="C97" s="3" t="s">
        <v>126</v>
      </c>
      <c r="D97" s="11">
        <v>1</v>
      </c>
      <c r="E97" s="25" t="s">
        <v>232</v>
      </c>
      <c r="F97" s="3">
        <v>6</v>
      </c>
    </row>
    <row r="98" spans="1:9" x14ac:dyDescent="0.3">
      <c r="A98" s="3">
        <v>5</v>
      </c>
      <c r="B98" s="4">
        <v>45021</v>
      </c>
      <c r="C98" s="3" t="s">
        <v>126</v>
      </c>
      <c r="D98" s="11">
        <v>1</v>
      </c>
      <c r="E98" s="25" t="s">
        <v>233</v>
      </c>
      <c r="F98" s="3">
        <v>3</v>
      </c>
    </row>
    <row r="99" spans="1:9" x14ac:dyDescent="0.3">
      <c r="A99" s="3">
        <v>6</v>
      </c>
      <c r="B99" s="4">
        <v>45022</v>
      </c>
      <c r="C99" s="3" t="s">
        <v>126</v>
      </c>
      <c r="D99" s="11">
        <v>1</v>
      </c>
      <c r="E99" s="25" t="s">
        <v>234</v>
      </c>
      <c r="F99" s="3">
        <v>2</v>
      </c>
    </row>
    <row r="100" spans="1:9" x14ac:dyDescent="0.3">
      <c r="A100" s="3">
        <v>7</v>
      </c>
      <c r="B100" s="4">
        <v>45023</v>
      </c>
      <c r="C100" s="3" t="s">
        <v>202</v>
      </c>
      <c r="D100" s="3"/>
      <c r="E100" s="25" t="s">
        <v>202</v>
      </c>
      <c r="F100" s="3"/>
    </row>
    <row r="101" spans="1:9" x14ac:dyDescent="0.3">
      <c r="A101" s="3">
        <v>8</v>
      </c>
      <c r="B101" s="4">
        <v>45024</v>
      </c>
      <c r="C101" s="3" t="s">
        <v>202</v>
      </c>
      <c r="D101" s="3"/>
      <c r="E101" s="25" t="s">
        <v>202</v>
      </c>
      <c r="F101" s="3"/>
    </row>
    <row r="102" spans="1:9" x14ac:dyDescent="0.3">
      <c r="A102" s="3">
        <v>9</v>
      </c>
      <c r="B102" s="4">
        <v>45025</v>
      </c>
      <c r="C102" s="3" t="s">
        <v>202</v>
      </c>
      <c r="D102" s="3"/>
      <c r="E102" s="25" t="s">
        <v>202</v>
      </c>
      <c r="F102" s="3"/>
    </row>
    <row r="103" spans="1:9" x14ac:dyDescent="0.3">
      <c r="A103" s="3">
        <v>10</v>
      </c>
      <c r="B103" s="4">
        <v>45026</v>
      </c>
      <c r="C103" s="3" t="s">
        <v>202</v>
      </c>
      <c r="D103" s="3"/>
      <c r="E103" s="25" t="s">
        <v>202</v>
      </c>
      <c r="F103" s="3"/>
    </row>
    <row r="104" spans="1:9" x14ac:dyDescent="0.3">
      <c r="A104" s="3">
        <v>11</v>
      </c>
      <c r="B104" s="4">
        <v>45027</v>
      </c>
      <c r="C104" s="3"/>
      <c r="D104" s="3"/>
      <c r="E104" s="25" t="s">
        <v>241</v>
      </c>
      <c r="F104" s="3">
        <v>6</v>
      </c>
    </row>
    <row r="105" spans="1:9" x14ac:dyDescent="0.3">
      <c r="A105" s="3">
        <v>12</v>
      </c>
      <c r="B105" s="4">
        <v>45028</v>
      </c>
      <c r="C105" s="3"/>
      <c r="D105" s="3"/>
      <c r="E105" s="25" t="s">
        <v>242</v>
      </c>
      <c r="F105" s="3">
        <v>6</v>
      </c>
    </row>
    <row r="106" spans="1:9" x14ac:dyDescent="0.3">
      <c r="A106" s="3">
        <v>13</v>
      </c>
      <c r="B106" s="4">
        <v>45029</v>
      </c>
      <c r="C106" s="3"/>
      <c r="D106" s="3"/>
      <c r="E106" s="25" t="s">
        <v>243</v>
      </c>
      <c r="F106" s="3">
        <v>4</v>
      </c>
    </row>
    <row r="107" spans="1:9" x14ac:dyDescent="0.3">
      <c r="A107" s="3">
        <v>14</v>
      </c>
      <c r="B107" s="4">
        <v>45030</v>
      </c>
      <c r="C107" s="3" t="s">
        <v>245</v>
      </c>
      <c r="D107" s="11">
        <v>0.5</v>
      </c>
      <c r="E107" s="25" t="s">
        <v>244</v>
      </c>
      <c r="F107" s="3">
        <v>7</v>
      </c>
    </row>
    <row r="108" spans="1:9" x14ac:dyDescent="0.3">
      <c r="A108" s="3">
        <v>15</v>
      </c>
      <c r="B108" s="4">
        <v>45031</v>
      </c>
      <c r="C108" s="3"/>
      <c r="D108" s="3"/>
      <c r="E108" s="25" t="s">
        <v>247</v>
      </c>
      <c r="F108" s="3">
        <v>3</v>
      </c>
    </row>
    <row r="109" spans="1:9" x14ac:dyDescent="0.3">
      <c r="A109" s="3">
        <v>16</v>
      </c>
      <c r="B109" s="4">
        <v>45032</v>
      </c>
      <c r="C109" s="3"/>
      <c r="D109" s="3"/>
      <c r="E109" s="25" t="s">
        <v>248</v>
      </c>
      <c r="F109" s="3">
        <v>2</v>
      </c>
      <c r="I109" t="s">
        <v>149</v>
      </c>
    </row>
    <row r="110" spans="1:9" x14ac:dyDescent="0.3">
      <c r="A110" s="3">
        <v>17</v>
      </c>
      <c r="B110" s="4">
        <v>45033</v>
      </c>
      <c r="C110" s="3"/>
      <c r="D110" s="3"/>
      <c r="E110" s="25" t="s">
        <v>249</v>
      </c>
      <c r="F110" s="3">
        <v>3</v>
      </c>
    </row>
    <row r="111" spans="1:9" x14ac:dyDescent="0.3">
      <c r="A111" s="3">
        <v>18</v>
      </c>
      <c r="B111" s="4">
        <v>45034</v>
      </c>
      <c r="C111" s="3"/>
      <c r="D111" s="3"/>
      <c r="E111" s="25" t="s">
        <v>249</v>
      </c>
      <c r="F111" s="3">
        <v>3</v>
      </c>
    </row>
    <row r="112" spans="1:9" x14ac:dyDescent="0.3">
      <c r="A112" s="3">
        <v>19</v>
      </c>
      <c r="B112" s="4">
        <v>45035</v>
      </c>
      <c r="C112" s="3"/>
      <c r="D112" s="3"/>
      <c r="E112" s="25" t="s">
        <v>249</v>
      </c>
      <c r="F112" s="3">
        <v>3</v>
      </c>
    </row>
    <row r="113" spans="1:6" x14ac:dyDescent="0.3">
      <c r="A113" s="3">
        <v>20</v>
      </c>
      <c r="B113" s="4">
        <v>45036</v>
      </c>
      <c r="C113" s="3" t="s">
        <v>202</v>
      </c>
      <c r="D113" s="3"/>
      <c r="E113" s="25"/>
      <c r="F113" s="3"/>
    </row>
    <row r="114" spans="1:6" x14ac:dyDescent="0.3">
      <c r="A114" s="3">
        <v>21</v>
      </c>
      <c r="B114" s="4">
        <v>45037</v>
      </c>
      <c r="C114" s="3" t="s">
        <v>202</v>
      </c>
      <c r="D114" s="3"/>
      <c r="E114" s="25"/>
      <c r="F114" s="3"/>
    </row>
    <row r="115" spans="1:6" x14ac:dyDescent="0.3">
      <c r="A115" s="3">
        <v>22</v>
      </c>
      <c r="B115" s="4">
        <v>45038</v>
      </c>
      <c r="C115" s="3" t="s">
        <v>202</v>
      </c>
      <c r="D115" s="3"/>
      <c r="E115" s="25"/>
      <c r="F115" s="3"/>
    </row>
    <row r="116" spans="1:6" x14ac:dyDescent="0.3">
      <c r="A116" s="3">
        <v>23</v>
      </c>
      <c r="B116" s="4">
        <v>45039</v>
      </c>
      <c r="C116" s="3" t="s">
        <v>202</v>
      </c>
      <c r="D116" s="3"/>
      <c r="E116" s="25"/>
      <c r="F116" s="3"/>
    </row>
    <row r="117" spans="1:6" x14ac:dyDescent="0.3">
      <c r="A117" s="3">
        <v>24</v>
      </c>
      <c r="B117" s="4">
        <v>45040</v>
      </c>
      <c r="C117" s="3" t="s">
        <v>202</v>
      </c>
      <c r="D117" s="3"/>
      <c r="E117" s="25"/>
      <c r="F117" s="3"/>
    </row>
    <row r="118" spans="1:6" x14ac:dyDescent="0.3">
      <c r="A118" s="3">
        <v>25</v>
      </c>
      <c r="B118" s="4">
        <v>45041</v>
      </c>
      <c r="C118" s="3" t="s">
        <v>202</v>
      </c>
      <c r="D118" s="3"/>
      <c r="E118" s="25"/>
      <c r="F118" s="3"/>
    </row>
    <row r="119" spans="1:6" x14ac:dyDescent="0.3">
      <c r="A119" s="3">
        <v>26</v>
      </c>
      <c r="B119" s="4">
        <v>45042</v>
      </c>
      <c r="C119" s="3" t="s">
        <v>202</v>
      </c>
      <c r="D119" s="3"/>
      <c r="E119" s="25"/>
      <c r="F119" s="3"/>
    </row>
    <row r="120" spans="1:6" x14ac:dyDescent="0.3">
      <c r="A120" s="3">
        <v>27</v>
      </c>
      <c r="B120" s="4">
        <v>45043</v>
      </c>
      <c r="C120" s="3" t="s">
        <v>202</v>
      </c>
      <c r="D120" s="3"/>
      <c r="E120" s="25"/>
      <c r="F120" s="3"/>
    </row>
    <row r="121" spans="1:6" x14ac:dyDescent="0.3">
      <c r="A121" s="3">
        <v>28</v>
      </c>
      <c r="B121" s="4">
        <v>45044</v>
      </c>
      <c r="C121" s="3"/>
      <c r="D121" s="3"/>
      <c r="E121" s="25" t="s">
        <v>249</v>
      </c>
      <c r="F121" s="3">
        <v>3</v>
      </c>
    </row>
    <row r="122" spans="1:6" x14ac:dyDescent="0.3">
      <c r="A122" s="3">
        <v>29</v>
      </c>
      <c r="B122" s="4">
        <v>45045</v>
      </c>
      <c r="C122" s="3"/>
      <c r="D122" s="3"/>
      <c r="E122" s="25" t="s">
        <v>250</v>
      </c>
      <c r="F122" s="3">
        <v>6</v>
      </c>
    </row>
    <row r="123" spans="1:6" x14ac:dyDescent="0.3">
      <c r="A123" s="3">
        <v>30</v>
      </c>
      <c r="B123" s="4">
        <v>45046</v>
      </c>
      <c r="C123" s="3"/>
      <c r="D123" s="3"/>
      <c r="E123" s="25" t="s">
        <v>251</v>
      </c>
      <c r="F123" s="3">
        <v>4</v>
      </c>
    </row>
    <row r="124" spans="1:6" x14ac:dyDescent="0.3">
      <c r="A124" s="21"/>
      <c r="B124" s="22"/>
      <c r="C124" s="22"/>
      <c r="D124" s="22"/>
      <c r="E124" s="26"/>
      <c r="F124" s="23"/>
    </row>
    <row r="125" spans="1:6" x14ac:dyDescent="0.3">
      <c r="A125" s="3">
        <v>1</v>
      </c>
      <c r="B125" s="4">
        <v>45047</v>
      </c>
      <c r="C125" s="3" t="s">
        <v>126</v>
      </c>
      <c r="D125" s="11">
        <v>1</v>
      </c>
      <c r="E125" s="25" t="s">
        <v>252</v>
      </c>
      <c r="F125" s="3">
        <v>5</v>
      </c>
    </row>
    <row r="126" spans="1:6" x14ac:dyDescent="0.3">
      <c r="A126" s="3">
        <v>2</v>
      </c>
      <c r="B126" s="4">
        <v>45048</v>
      </c>
      <c r="C126" s="3" t="s">
        <v>126</v>
      </c>
      <c r="D126" s="11">
        <v>1</v>
      </c>
      <c r="E126" s="25" t="s">
        <v>251</v>
      </c>
      <c r="F126" s="3">
        <v>4</v>
      </c>
    </row>
    <row r="127" spans="1:6" x14ac:dyDescent="0.3">
      <c r="A127" s="3">
        <v>3</v>
      </c>
      <c r="B127" s="4">
        <v>45049</v>
      </c>
      <c r="C127" s="3"/>
      <c r="D127" s="3"/>
      <c r="E127" s="25" t="s">
        <v>253</v>
      </c>
      <c r="F127" s="3">
        <v>4</v>
      </c>
    </row>
    <row r="128" spans="1:6" x14ac:dyDescent="0.3">
      <c r="A128" s="3">
        <v>4</v>
      </c>
      <c r="B128" s="4">
        <v>45050</v>
      </c>
      <c r="C128" s="3"/>
      <c r="D128" s="3"/>
      <c r="E128" s="25" t="s">
        <v>254</v>
      </c>
      <c r="F128" s="3">
        <v>3</v>
      </c>
    </row>
    <row r="129" spans="1:6" x14ac:dyDescent="0.3">
      <c r="A129" s="3">
        <v>5</v>
      </c>
      <c r="B129" s="4">
        <v>45051</v>
      </c>
      <c r="C129" s="3"/>
      <c r="D129" s="3"/>
      <c r="E129" s="25" t="s">
        <v>255</v>
      </c>
      <c r="F129" s="3">
        <v>4</v>
      </c>
    </row>
    <row r="130" spans="1:6" x14ac:dyDescent="0.3">
      <c r="A130" s="3">
        <v>6</v>
      </c>
      <c r="B130" s="4">
        <v>45052</v>
      </c>
      <c r="C130" s="3" t="s">
        <v>126</v>
      </c>
      <c r="D130" s="11">
        <v>1</v>
      </c>
      <c r="E130" s="25" t="s">
        <v>256</v>
      </c>
      <c r="F130" s="3">
        <v>5</v>
      </c>
    </row>
    <row r="131" spans="1:6" x14ac:dyDescent="0.3">
      <c r="A131" s="3">
        <v>7</v>
      </c>
      <c r="B131" s="4">
        <v>45053</v>
      </c>
      <c r="C131" s="3" t="s">
        <v>126</v>
      </c>
      <c r="D131" s="11">
        <v>1</v>
      </c>
      <c r="E131" s="25" t="s">
        <v>257</v>
      </c>
      <c r="F131" s="3">
        <v>4</v>
      </c>
    </row>
    <row r="132" spans="1:6" x14ac:dyDescent="0.3">
      <c r="A132" s="3">
        <v>8</v>
      </c>
      <c r="B132" s="4">
        <v>45054</v>
      </c>
      <c r="C132" s="3"/>
      <c r="D132" s="3"/>
      <c r="E132" s="25" t="s">
        <v>258</v>
      </c>
      <c r="F132" s="3">
        <v>3</v>
      </c>
    </row>
    <row r="133" spans="1:6" x14ac:dyDescent="0.3">
      <c r="A133" s="3">
        <v>9</v>
      </c>
      <c r="B133" s="4">
        <v>45055</v>
      </c>
      <c r="C133" s="3"/>
      <c r="D133" s="3"/>
      <c r="E133" s="25" t="s">
        <v>259</v>
      </c>
      <c r="F133" s="3">
        <v>3</v>
      </c>
    </row>
    <row r="134" spans="1:6" x14ac:dyDescent="0.3">
      <c r="A134" s="3">
        <v>10</v>
      </c>
      <c r="B134" s="4">
        <v>45056</v>
      </c>
      <c r="C134" s="3"/>
      <c r="D134" s="3"/>
      <c r="E134" s="25" t="s">
        <v>260</v>
      </c>
      <c r="F134" s="3">
        <v>3</v>
      </c>
    </row>
    <row r="135" spans="1:6" x14ac:dyDescent="0.3">
      <c r="A135" s="3">
        <v>11</v>
      </c>
      <c r="B135" s="4">
        <v>45057</v>
      </c>
      <c r="C135" s="3"/>
      <c r="D135" s="3"/>
      <c r="E135" s="25" t="s">
        <v>260</v>
      </c>
      <c r="F135" s="3">
        <v>3</v>
      </c>
    </row>
    <row r="136" spans="1:6" x14ac:dyDescent="0.3">
      <c r="A136" s="3">
        <v>12</v>
      </c>
      <c r="B136" s="4">
        <v>45058</v>
      </c>
      <c r="C136" s="3"/>
      <c r="D136" s="3"/>
      <c r="E136" s="25" t="s">
        <v>261</v>
      </c>
      <c r="F136" s="3">
        <v>2</v>
      </c>
    </row>
    <row r="137" spans="1:6" x14ac:dyDescent="0.3">
      <c r="A137" s="3">
        <v>13</v>
      </c>
      <c r="B137" s="4">
        <v>45059</v>
      </c>
      <c r="C137" s="3"/>
      <c r="D137" s="3"/>
      <c r="E137" s="25" t="s">
        <v>261</v>
      </c>
      <c r="F137" s="3">
        <v>2</v>
      </c>
    </row>
    <row r="138" spans="1:6" x14ac:dyDescent="0.3">
      <c r="A138" s="3">
        <v>14</v>
      </c>
      <c r="B138" s="4">
        <v>45060</v>
      </c>
      <c r="C138" s="3"/>
      <c r="D138" s="3"/>
      <c r="E138" s="25" t="s">
        <v>202</v>
      </c>
      <c r="F138" s="3"/>
    </row>
    <row r="139" spans="1:6" x14ac:dyDescent="0.3">
      <c r="A139" s="3">
        <v>15</v>
      </c>
      <c r="B139" s="4">
        <v>45061</v>
      </c>
      <c r="C139" s="3"/>
      <c r="D139" s="3"/>
      <c r="E139" s="25" t="s">
        <v>202</v>
      </c>
      <c r="F139" s="3"/>
    </row>
    <row r="140" spans="1:6" x14ac:dyDescent="0.3">
      <c r="A140" s="3">
        <v>16</v>
      </c>
      <c r="B140" s="4">
        <v>45062</v>
      </c>
      <c r="C140" s="3"/>
      <c r="D140" s="3"/>
      <c r="E140" s="25" t="s">
        <v>202</v>
      </c>
      <c r="F140" s="3"/>
    </row>
    <row r="141" spans="1:6" x14ac:dyDescent="0.3">
      <c r="A141" s="3">
        <v>17</v>
      </c>
      <c r="B141" s="4">
        <v>45063</v>
      </c>
      <c r="C141" s="3"/>
      <c r="D141" s="3"/>
      <c r="E141" s="25" t="s">
        <v>202</v>
      </c>
      <c r="F141" s="3"/>
    </row>
    <row r="142" spans="1:6" x14ac:dyDescent="0.3">
      <c r="A142" s="3">
        <v>18</v>
      </c>
      <c r="B142" s="4">
        <v>45064</v>
      </c>
      <c r="C142" s="3"/>
      <c r="D142" s="3"/>
      <c r="E142" s="25" t="s">
        <v>202</v>
      </c>
      <c r="F142" s="3"/>
    </row>
    <row r="143" spans="1:6" x14ac:dyDescent="0.3">
      <c r="A143" s="3">
        <v>19</v>
      </c>
      <c r="B143" s="4">
        <v>45065</v>
      </c>
      <c r="C143" s="3"/>
      <c r="D143" s="3"/>
      <c r="E143" s="25" t="s">
        <v>202</v>
      </c>
      <c r="F143" s="3"/>
    </row>
    <row r="144" spans="1:6" x14ac:dyDescent="0.3">
      <c r="A144" s="3">
        <v>20</v>
      </c>
      <c r="B144" s="4">
        <v>45066</v>
      </c>
      <c r="C144" s="3"/>
      <c r="D144" s="3"/>
      <c r="E144" s="25" t="s">
        <v>202</v>
      </c>
      <c r="F144" s="3"/>
    </row>
    <row r="145" spans="1:6" x14ac:dyDescent="0.3">
      <c r="A145" s="3">
        <v>21</v>
      </c>
      <c r="B145" s="4">
        <v>45067</v>
      </c>
      <c r="C145" s="3"/>
      <c r="D145" s="3"/>
      <c r="E145" s="25" t="s">
        <v>202</v>
      </c>
      <c r="F145" s="3"/>
    </row>
    <row r="146" spans="1:6" x14ac:dyDescent="0.3">
      <c r="A146" s="3">
        <v>22</v>
      </c>
      <c r="B146" s="4">
        <v>45068</v>
      </c>
      <c r="C146" s="3"/>
      <c r="D146" s="3"/>
      <c r="E146" s="25" t="s">
        <v>202</v>
      </c>
      <c r="F146" s="3"/>
    </row>
    <row r="147" spans="1:6" x14ac:dyDescent="0.3">
      <c r="A147" s="18">
        <v>23</v>
      </c>
      <c r="B147" s="19">
        <v>45069</v>
      </c>
      <c r="C147" s="18" t="s">
        <v>126</v>
      </c>
      <c r="D147" s="20">
        <v>1</v>
      </c>
      <c r="E147" s="27" t="s">
        <v>262</v>
      </c>
      <c r="F147" s="18">
        <v>5</v>
      </c>
    </row>
    <row r="148" spans="1:6" x14ac:dyDescent="0.3">
      <c r="A148" s="3">
        <v>24</v>
      </c>
      <c r="B148" s="4">
        <v>45070</v>
      </c>
      <c r="C148" s="3" t="s">
        <v>126</v>
      </c>
      <c r="D148" s="11">
        <v>1</v>
      </c>
      <c r="E148" s="25" t="s">
        <v>262</v>
      </c>
      <c r="F148" s="3">
        <v>5</v>
      </c>
    </row>
    <row r="149" spans="1:6" x14ac:dyDescent="0.3">
      <c r="A149" s="3">
        <v>25</v>
      </c>
      <c r="B149" s="4">
        <v>45071</v>
      </c>
      <c r="C149" s="3" t="s">
        <v>126</v>
      </c>
      <c r="D149" s="11">
        <v>1</v>
      </c>
      <c r="E149" s="25" t="s">
        <v>262</v>
      </c>
      <c r="F149" s="3">
        <v>5</v>
      </c>
    </row>
    <row r="150" spans="1:6" x14ac:dyDescent="0.3">
      <c r="A150" s="3">
        <v>26</v>
      </c>
      <c r="B150" s="4">
        <v>45072</v>
      </c>
      <c r="C150" s="3"/>
      <c r="D150" s="3"/>
      <c r="E150" s="25" t="s">
        <v>263</v>
      </c>
      <c r="F150" s="3">
        <v>6</v>
      </c>
    </row>
    <row r="151" spans="1:6" x14ac:dyDescent="0.3">
      <c r="A151" s="3">
        <v>27</v>
      </c>
      <c r="B151" s="4">
        <v>45073</v>
      </c>
      <c r="C151" s="3" t="s">
        <v>126</v>
      </c>
      <c r="D151" s="11">
        <v>1</v>
      </c>
      <c r="E151" s="25" t="s">
        <v>264</v>
      </c>
      <c r="F151" s="3">
        <v>4</v>
      </c>
    </row>
    <row r="152" spans="1:6" x14ac:dyDescent="0.3">
      <c r="A152" s="3">
        <v>28</v>
      </c>
      <c r="B152" s="4">
        <v>45074</v>
      </c>
      <c r="C152" s="3" t="s">
        <v>202</v>
      </c>
      <c r="D152" s="3"/>
      <c r="E152" s="25"/>
      <c r="F152" s="3"/>
    </row>
    <row r="153" spans="1:6" x14ac:dyDescent="0.3">
      <c r="A153" s="3">
        <v>29</v>
      </c>
      <c r="B153" s="4">
        <v>45075</v>
      </c>
      <c r="C153" s="3" t="s">
        <v>126</v>
      </c>
      <c r="D153" s="11">
        <v>1</v>
      </c>
      <c r="E153" s="25"/>
      <c r="F153" s="3"/>
    </row>
    <row r="154" spans="1:6" x14ac:dyDescent="0.3">
      <c r="A154" s="3">
        <v>30</v>
      </c>
      <c r="B154" s="4">
        <v>45076</v>
      </c>
      <c r="C154" s="3" t="s">
        <v>126</v>
      </c>
      <c r="D154" s="11">
        <v>1</v>
      </c>
      <c r="E154" s="25" t="s">
        <v>265</v>
      </c>
      <c r="F154" s="3">
        <v>6</v>
      </c>
    </row>
    <row r="155" spans="1:6" x14ac:dyDescent="0.3">
      <c r="A155" s="3">
        <v>31</v>
      </c>
      <c r="B155" s="4">
        <v>45077</v>
      </c>
      <c r="C155" s="3" t="s">
        <v>126</v>
      </c>
      <c r="D155" s="11">
        <v>1</v>
      </c>
      <c r="E155" s="25" t="s">
        <v>268</v>
      </c>
      <c r="F155" s="3">
        <v>8</v>
      </c>
    </row>
    <row r="156" spans="1:6" x14ac:dyDescent="0.3">
      <c r="A156" s="21"/>
      <c r="B156" s="22"/>
      <c r="C156" s="22"/>
      <c r="D156" s="22"/>
      <c r="E156" s="26"/>
      <c r="F156" s="23"/>
    </row>
    <row r="157" spans="1:6" x14ac:dyDescent="0.3">
      <c r="A157" s="3">
        <v>1</v>
      </c>
      <c r="B157" s="4">
        <v>45078</v>
      </c>
      <c r="C157" s="3" t="s">
        <v>126</v>
      </c>
      <c r="D157" s="11">
        <v>1</v>
      </c>
      <c r="E157" s="25" t="s">
        <v>270</v>
      </c>
      <c r="F157" s="3">
        <v>8</v>
      </c>
    </row>
    <row r="158" spans="1:6" x14ac:dyDescent="0.3">
      <c r="A158" s="3">
        <v>2</v>
      </c>
      <c r="B158" s="4">
        <v>45079</v>
      </c>
      <c r="C158" s="3" t="s">
        <v>126</v>
      </c>
      <c r="D158" s="11">
        <v>1</v>
      </c>
      <c r="E158" s="25" t="s">
        <v>271</v>
      </c>
      <c r="F158" s="3">
        <v>6</v>
      </c>
    </row>
    <row r="159" spans="1:6" x14ac:dyDescent="0.3">
      <c r="A159" s="3">
        <v>3</v>
      </c>
      <c r="B159" s="4">
        <v>45080</v>
      </c>
      <c r="C159" s="3"/>
      <c r="D159" s="3"/>
      <c r="E159" s="25" t="s">
        <v>272</v>
      </c>
      <c r="F159" s="3">
        <v>7</v>
      </c>
    </row>
    <row r="160" spans="1:6" x14ac:dyDescent="0.3">
      <c r="A160" s="3">
        <v>4</v>
      </c>
      <c r="B160" s="4">
        <v>45081</v>
      </c>
      <c r="C160" s="3" t="s">
        <v>126</v>
      </c>
      <c r="D160" s="11">
        <v>1</v>
      </c>
      <c r="E160" s="25" t="s">
        <v>272</v>
      </c>
      <c r="F160" s="3">
        <v>7</v>
      </c>
    </row>
    <row r="161" spans="1:6" x14ac:dyDescent="0.3">
      <c r="A161" s="3">
        <v>5</v>
      </c>
      <c r="B161" s="4">
        <v>45082</v>
      </c>
      <c r="C161" s="3" t="s">
        <v>126</v>
      </c>
      <c r="D161" s="11">
        <v>1</v>
      </c>
      <c r="E161" s="25" t="s">
        <v>275</v>
      </c>
      <c r="F161" s="3">
        <v>5</v>
      </c>
    </row>
    <row r="162" spans="1:6" x14ac:dyDescent="0.3">
      <c r="A162" s="3">
        <v>6</v>
      </c>
      <c r="B162" s="4">
        <v>45083</v>
      </c>
      <c r="C162" s="3"/>
      <c r="D162" s="3"/>
      <c r="E162" s="25" t="s">
        <v>276</v>
      </c>
      <c r="F162" s="3">
        <v>3</v>
      </c>
    </row>
    <row r="163" spans="1:6" x14ac:dyDescent="0.3">
      <c r="A163" s="3">
        <v>7</v>
      </c>
      <c r="B163" s="4">
        <v>45084</v>
      </c>
      <c r="C163" s="3" t="s">
        <v>126</v>
      </c>
      <c r="D163" s="11">
        <v>1</v>
      </c>
      <c r="E163" s="25" t="s">
        <v>277</v>
      </c>
      <c r="F163" s="3">
        <v>11</v>
      </c>
    </row>
    <row r="164" spans="1:6" x14ac:dyDescent="0.3">
      <c r="A164" s="3">
        <v>8</v>
      </c>
      <c r="B164" s="4">
        <v>45085</v>
      </c>
      <c r="C164" s="3"/>
      <c r="D164" s="3"/>
      <c r="E164" s="25"/>
      <c r="F164" s="3"/>
    </row>
    <row r="165" spans="1:6" x14ac:dyDescent="0.3">
      <c r="A165" s="3">
        <v>9</v>
      </c>
      <c r="B165" s="4">
        <v>45086</v>
      </c>
      <c r="C165" s="3" t="s">
        <v>126</v>
      </c>
      <c r="D165" s="11">
        <v>1</v>
      </c>
      <c r="E165" s="25" t="s">
        <v>282</v>
      </c>
      <c r="F165" s="3">
        <v>10</v>
      </c>
    </row>
    <row r="166" spans="1:6" x14ac:dyDescent="0.3">
      <c r="A166" s="3">
        <v>10</v>
      </c>
      <c r="B166" s="4">
        <v>45087</v>
      </c>
      <c r="C166" s="3" t="s">
        <v>126</v>
      </c>
      <c r="D166" s="11">
        <v>1</v>
      </c>
      <c r="E166" s="25" t="s">
        <v>283</v>
      </c>
      <c r="F166" s="3">
        <v>13</v>
      </c>
    </row>
    <row r="167" spans="1:6" x14ac:dyDescent="0.3">
      <c r="A167" s="3">
        <v>11</v>
      </c>
      <c r="B167" s="4">
        <v>45088</v>
      </c>
      <c r="C167" s="3"/>
      <c r="D167" s="3"/>
      <c r="E167" s="25" t="s">
        <v>284</v>
      </c>
      <c r="F167" s="3">
        <v>8</v>
      </c>
    </row>
    <row r="168" spans="1:6" x14ac:dyDescent="0.3">
      <c r="A168" s="3">
        <v>12</v>
      </c>
      <c r="B168" s="4">
        <v>45089</v>
      </c>
      <c r="C168" s="3"/>
      <c r="D168" s="3"/>
      <c r="E168" s="25" t="s">
        <v>285</v>
      </c>
      <c r="F168" s="3">
        <v>8</v>
      </c>
    </row>
    <row r="169" spans="1:6" x14ac:dyDescent="0.3">
      <c r="A169" s="3">
        <v>13</v>
      </c>
      <c r="B169" s="4">
        <v>45090</v>
      </c>
      <c r="C169" s="3"/>
      <c r="D169" s="3"/>
      <c r="E169" s="25" t="s">
        <v>286</v>
      </c>
      <c r="F169" s="3">
        <v>2</v>
      </c>
    </row>
    <row r="170" spans="1:6" x14ac:dyDescent="0.3">
      <c r="A170" s="3">
        <v>14</v>
      </c>
      <c r="B170" s="4">
        <v>45091</v>
      </c>
      <c r="C170" s="3"/>
      <c r="D170" s="3"/>
      <c r="E170" s="25" t="s">
        <v>287</v>
      </c>
      <c r="F170" s="3">
        <v>10</v>
      </c>
    </row>
    <row r="171" spans="1:6" x14ac:dyDescent="0.3">
      <c r="A171" s="3">
        <v>15</v>
      </c>
      <c r="B171" s="4">
        <v>45092</v>
      </c>
      <c r="C171" s="3"/>
      <c r="D171" s="3"/>
      <c r="E171" s="25" t="s">
        <v>288</v>
      </c>
      <c r="F171" s="3">
        <v>10</v>
      </c>
    </row>
    <row r="172" spans="1:6" x14ac:dyDescent="0.3">
      <c r="A172" s="3">
        <v>16</v>
      </c>
      <c r="B172" s="4">
        <v>45093</v>
      </c>
      <c r="C172" s="3"/>
      <c r="D172" s="3"/>
      <c r="E172" s="25" t="s">
        <v>289</v>
      </c>
      <c r="F172" s="3">
        <v>13</v>
      </c>
    </row>
    <row r="173" spans="1:6" x14ac:dyDescent="0.3">
      <c r="A173" s="3">
        <v>17</v>
      </c>
      <c r="B173" s="4">
        <v>45094</v>
      </c>
      <c r="C173" s="3"/>
      <c r="D173" s="3"/>
      <c r="E173" s="25" t="s">
        <v>290</v>
      </c>
      <c r="F173" s="3">
        <v>14</v>
      </c>
    </row>
    <row r="174" spans="1:6" x14ac:dyDescent="0.3">
      <c r="A174" s="3">
        <v>18</v>
      </c>
      <c r="B174" s="4">
        <v>45095</v>
      </c>
      <c r="C174" s="3"/>
      <c r="D174" s="3"/>
      <c r="E174" s="25" t="s">
        <v>293</v>
      </c>
      <c r="F174" s="3">
        <v>15</v>
      </c>
    </row>
    <row r="175" spans="1:6" x14ac:dyDescent="0.3">
      <c r="A175" s="3">
        <v>19</v>
      </c>
      <c r="B175" s="4">
        <v>45096</v>
      </c>
      <c r="C175" s="3"/>
      <c r="D175" s="3"/>
      <c r="E175" s="25" t="s">
        <v>294</v>
      </c>
      <c r="F175" s="3"/>
    </row>
    <row r="176" spans="1:6" x14ac:dyDescent="0.3">
      <c r="A176" s="3">
        <v>20</v>
      </c>
      <c r="B176" s="4">
        <v>45097</v>
      </c>
      <c r="C176" s="3"/>
      <c r="D176" s="3"/>
      <c r="E176" s="25" t="s">
        <v>295</v>
      </c>
      <c r="F176" s="3">
        <v>12</v>
      </c>
    </row>
    <row r="177" spans="1:6" x14ac:dyDescent="0.3">
      <c r="A177" s="3">
        <v>21</v>
      </c>
      <c r="B177" s="4">
        <v>45098</v>
      </c>
      <c r="C177" s="3"/>
      <c r="D177" s="3"/>
      <c r="E177" s="25" t="s">
        <v>262</v>
      </c>
      <c r="F177" s="3">
        <v>5</v>
      </c>
    </row>
    <row r="178" spans="1:6" x14ac:dyDescent="0.3">
      <c r="A178" s="3">
        <v>22</v>
      </c>
      <c r="B178" s="4">
        <v>45099</v>
      </c>
      <c r="C178" s="2"/>
      <c r="D178" s="2"/>
      <c r="E178" s="25" t="s">
        <v>296</v>
      </c>
      <c r="F178" s="3">
        <v>15</v>
      </c>
    </row>
    <row r="179" spans="1:6" x14ac:dyDescent="0.3">
      <c r="A179" s="3">
        <v>23</v>
      </c>
      <c r="B179" s="4">
        <v>45100</v>
      </c>
      <c r="C179" s="2"/>
      <c r="D179" s="2"/>
      <c r="E179" s="25" t="s">
        <v>297</v>
      </c>
      <c r="F179" s="3">
        <v>14</v>
      </c>
    </row>
    <row r="180" spans="1:6" x14ac:dyDescent="0.3">
      <c r="A180" s="3">
        <v>24</v>
      </c>
      <c r="B180" s="4">
        <v>45101</v>
      </c>
      <c r="C180" s="2"/>
      <c r="D180" s="2"/>
      <c r="E180" s="25" t="s">
        <v>298</v>
      </c>
      <c r="F180" s="3">
        <v>7</v>
      </c>
    </row>
    <row r="181" spans="1:6" x14ac:dyDescent="0.3">
      <c r="A181" s="3">
        <v>25</v>
      </c>
      <c r="B181" s="4">
        <v>45102</v>
      </c>
      <c r="C181" s="3"/>
      <c r="D181" s="3"/>
      <c r="E181" s="25" t="s">
        <v>299</v>
      </c>
      <c r="F181" s="3">
        <v>12</v>
      </c>
    </row>
    <row r="182" spans="1:6" x14ac:dyDescent="0.3">
      <c r="A182" s="3">
        <v>26</v>
      </c>
      <c r="B182" s="4">
        <v>45103</v>
      </c>
      <c r="C182" s="3"/>
      <c r="D182" s="3"/>
      <c r="E182" s="25" t="s">
        <v>303</v>
      </c>
      <c r="F182" s="3">
        <v>5</v>
      </c>
    </row>
    <row r="183" spans="1:6" x14ac:dyDescent="0.3">
      <c r="A183" s="3">
        <v>27</v>
      </c>
      <c r="B183" s="4">
        <v>45104</v>
      </c>
      <c r="C183" s="3"/>
      <c r="D183" s="3"/>
      <c r="E183" s="25" t="s">
        <v>303</v>
      </c>
      <c r="F183" s="3">
        <v>5</v>
      </c>
    </row>
    <row r="184" spans="1:6" x14ac:dyDescent="0.3">
      <c r="A184" s="3">
        <v>28</v>
      </c>
      <c r="B184" s="4">
        <v>45105</v>
      </c>
      <c r="C184" s="3"/>
      <c r="D184" s="3"/>
      <c r="E184" s="25" t="s">
        <v>305</v>
      </c>
      <c r="F184" s="3">
        <v>4</v>
      </c>
    </row>
    <row r="185" spans="1:6" x14ac:dyDescent="0.3">
      <c r="A185" s="3">
        <v>29</v>
      </c>
      <c r="B185" s="4">
        <v>45106</v>
      </c>
      <c r="C185" s="3"/>
      <c r="D185" s="3"/>
      <c r="E185" s="25" t="s">
        <v>294</v>
      </c>
      <c r="F185" s="3">
        <v>0</v>
      </c>
    </row>
    <row r="186" spans="1:6" x14ac:dyDescent="0.3">
      <c r="A186" s="3">
        <v>30</v>
      </c>
      <c r="B186" s="4">
        <v>45107</v>
      </c>
      <c r="C186" s="3"/>
      <c r="D186" s="3"/>
      <c r="E186" s="25" t="s">
        <v>305</v>
      </c>
      <c r="F186" s="3">
        <v>4</v>
      </c>
    </row>
    <row r="187" spans="1:6" x14ac:dyDescent="0.3">
      <c r="A187" s="3"/>
      <c r="B187" s="3"/>
      <c r="C187" s="3"/>
      <c r="D187" s="3"/>
      <c r="E187" s="25"/>
      <c r="F187" s="3"/>
    </row>
    <row r="188" spans="1:6" x14ac:dyDescent="0.3">
      <c r="A188" s="52"/>
      <c r="B188" s="53"/>
      <c r="C188" s="53"/>
      <c r="D188" s="53"/>
      <c r="E188" s="53"/>
      <c r="F188" s="54"/>
    </row>
    <row r="189" spans="1:6" x14ac:dyDescent="0.3">
      <c r="A189" s="3">
        <v>1</v>
      </c>
      <c r="B189" s="4">
        <v>45111</v>
      </c>
      <c r="C189" s="3"/>
      <c r="D189" s="3"/>
      <c r="E189" s="25" t="s">
        <v>307</v>
      </c>
      <c r="F189" s="3">
        <v>3</v>
      </c>
    </row>
    <row r="190" spans="1:6" x14ac:dyDescent="0.3">
      <c r="A190" s="3">
        <v>2</v>
      </c>
      <c r="B190" s="4">
        <v>45112</v>
      </c>
      <c r="C190" s="3"/>
      <c r="D190" s="3"/>
      <c r="E190" s="25" t="s">
        <v>307</v>
      </c>
      <c r="F190" s="3">
        <v>3</v>
      </c>
    </row>
    <row r="191" spans="1:6" x14ac:dyDescent="0.3">
      <c r="A191" s="3">
        <v>3</v>
      </c>
      <c r="B191" s="4">
        <v>45113</v>
      </c>
      <c r="C191" s="3"/>
      <c r="D191" s="3"/>
      <c r="E191" s="25" t="s">
        <v>307</v>
      </c>
      <c r="F191" s="3">
        <v>3</v>
      </c>
    </row>
    <row r="192" spans="1:6" x14ac:dyDescent="0.3">
      <c r="A192" s="3">
        <v>4</v>
      </c>
      <c r="B192" s="4">
        <v>45114</v>
      </c>
      <c r="C192" s="3"/>
      <c r="D192" s="3"/>
      <c r="E192" s="25" t="s">
        <v>308</v>
      </c>
      <c r="F192" s="3">
        <v>2</v>
      </c>
    </row>
    <row r="193" spans="1:7" x14ac:dyDescent="0.3">
      <c r="A193" s="3">
        <v>5</v>
      </c>
      <c r="B193" s="4">
        <v>45117</v>
      </c>
      <c r="C193" s="3"/>
      <c r="D193" s="3"/>
      <c r="E193" s="25" t="s">
        <v>309</v>
      </c>
      <c r="F193" s="3">
        <v>1.5</v>
      </c>
    </row>
    <row r="194" spans="1:7" x14ac:dyDescent="0.3">
      <c r="A194" s="3">
        <v>6</v>
      </c>
      <c r="B194" s="4">
        <v>45120</v>
      </c>
      <c r="C194" s="3"/>
      <c r="D194" s="3"/>
      <c r="E194" s="25" t="s">
        <v>310</v>
      </c>
      <c r="F194" s="3">
        <v>2</v>
      </c>
    </row>
    <row r="195" spans="1:7" x14ac:dyDescent="0.3">
      <c r="A195" s="3">
        <v>7</v>
      </c>
      <c r="B195" s="4">
        <v>45121</v>
      </c>
      <c r="C195" s="3"/>
      <c r="D195" s="3"/>
      <c r="E195" s="25" t="s">
        <v>311</v>
      </c>
      <c r="F195" s="3">
        <v>6</v>
      </c>
    </row>
    <row r="196" spans="1:7" x14ac:dyDescent="0.3">
      <c r="A196" s="3">
        <v>8</v>
      </c>
      <c r="B196" s="4">
        <v>45122</v>
      </c>
      <c r="C196" s="3"/>
      <c r="D196" s="3"/>
      <c r="E196" s="25" t="s">
        <v>312</v>
      </c>
      <c r="F196" s="3">
        <v>7</v>
      </c>
      <c r="G196" t="s">
        <v>313</v>
      </c>
    </row>
    <row r="197" spans="1:7" x14ac:dyDescent="0.3">
      <c r="A197" s="3">
        <v>9</v>
      </c>
      <c r="B197" s="4">
        <v>45123</v>
      </c>
      <c r="C197" s="3"/>
      <c r="D197" s="3"/>
      <c r="E197" s="25" t="s">
        <v>314</v>
      </c>
      <c r="F197" s="3">
        <v>6</v>
      </c>
    </row>
    <row r="198" spans="1:7" x14ac:dyDescent="0.3">
      <c r="A198" s="3">
        <v>10</v>
      </c>
      <c r="B198" s="4">
        <v>45124</v>
      </c>
      <c r="C198" s="3"/>
      <c r="D198" s="3"/>
      <c r="E198" s="25" t="s">
        <v>315</v>
      </c>
      <c r="F198" s="3">
        <v>2</v>
      </c>
    </row>
    <row r="199" spans="1:7" x14ac:dyDescent="0.3">
      <c r="A199" s="3">
        <v>11</v>
      </c>
      <c r="B199" s="4">
        <v>45125</v>
      </c>
      <c r="C199" s="3"/>
      <c r="D199" s="3"/>
      <c r="E199" s="25" t="s">
        <v>312</v>
      </c>
      <c r="F199" s="3">
        <v>7</v>
      </c>
    </row>
    <row r="200" spans="1:7" x14ac:dyDescent="0.3">
      <c r="A200" s="3">
        <v>12</v>
      </c>
      <c r="B200" s="4">
        <v>45126</v>
      </c>
      <c r="C200" s="3"/>
      <c r="D200" s="3"/>
      <c r="E200" s="25" t="s">
        <v>312</v>
      </c>
      <c r="F200" s="3">
        <v>7</v>
      </c>
    </row>
    <row r="201" spans="1:7" x14ac:dyDescent="0.3">
      <c r="A201" s="3">
        <v>13</v>
      </c>
      <c r="B201" s="4">
        <v>45127</v>
      </c>
      <c r="C201" s="3"/>
      <c r="D201" s="3"/>
      <c r="E201" s="25" t="s">
        <v>316</v>
      </c>
      <c r="F201" s="3">
        <v>8</v>
      </c>
    </row>
    <row r="202" spans="1:7" x14ac:dyDescent="0.3">
      <c r="A202" s="3">
        <v>14</v>
      </c>
      <c r="B202" s="4">
        <v>45128</v>
      </c>
      <c r="C202" s="3"/>
      <c r="D202" s="3"/>
      <c r="E202" s="25" t="s">
        <v>318</v>
      </c>
      <c r="F202" s="3">
        <v>8</v>
      </c>
    </row>
    <row r="203" spans="1:7" x14ac:dyDescent="0.3">
      <c r="A203" s="3">
        <v>15</v>
      </c>
      <c r="B203" s="4">
        <v>45129</v>
      </c>
      <c r="C203" s="3"/>
      <c r="D203" s="3"/>
      <c r="E203" s="25" t="s">
        <v>320</v>
      </c>
      <c r="F203" s="3">
        <v>6</v>
      </c>
    </row>
    <row r="204" spans="1:7" x14ac:dyDescent="0.3">
      <c r="A204" s="3">
        <v>16</v>
      </c>
      <c r="B204" s="4">
        <v>45130</v>
      </c>
      <c r="C204" s="3"/>
      <c r="D204" s="3"/>
      <c r="E204" s="25" t="s">
        <v>321</v>
      </c>
      <c r="F204" s="3">
        <v>8</v>
      </c>
    </row>
    <row r="205" spans="1:7" x14ac:dyDescent="0.3">
      <c r="A205" s="3">
        <v>17</v>
      </c>
      <c r="B205" s="4">
        <v>45131</v>
      </c>
      <c r="C205" s="3"/>
      <c r="D205" s="3"/>
      <c r="E205" s="25" t="s">
        <v>322</v>
      </c>
      <c r="F205" s="3">
        <v>9</v>
      </c>
    </row>
    <row r="206" spans="1:7" x14ac:dyDescent="0.3">
      <c r="A206" s="3">
        <v>18</v>
      </c>
      <c r="B206" s="4">
        <v>45132</v>
      </c>
      <c r="C206" s="3"/>
      <c r="D206" s="3"/>
      <c r="E206" s="25" t="s">
        <v>323</v>
      </c>
      <c r="F206" s="3">
        <v>8</v>
      </c>
    </row>
    <row r="207" spans="1:7" x14ac:dyDescent="0.3">
      <c r="A207" s="3">
        <v>19</v>
      </c>
      <c r="B207" s="4">
        <v>45133</v>
      </c>
      <c r="C207" s="3"/>
      <c r="D207" s="3"/>
      <c r="E207" s="25" t="s">
        <v>324</v>
      </c>
      <c r="F207" s="3">
        <v>7</v>
      </c>
    </row>
    <row r="208" spans="1:7" x14ac:dyDescent="0.3">
      <c r="A208" s="3">
        <v>20</v>
      </c>
      <c r="B208" s="4">
        <v>45134</v>
      </c>
      <c r="C208" s="3"/>
      <c r="D208" s="3"/>
      <c r="E208" s="25" t="s">
        <v>325</v>
      </c>
      <c r="F208" s="3">
        <v>6</v>
      </c>
    </row>
    <row r="209" spans="1:6" x14ac:dyDescent="0.3">
      <c r="A209" s="3">
        <v>21</v>
      </c>
      <c r="B209" s="4">
        <v>45135</v>
      </c>
      <c r="C209" s="3"/>
      <c r="D209" s="3"/>
      <c r="E209" s="25" t="s">
        <v>326</v>
      </c>
      <c r="F209" s="3">
        <v>10</v>
      </c>
    </row>
    <row r="210" spans="1:6" x14ac:dyDescent="0.3">
      <c r="A210" s="3">
        <v>22</v>
      </c>
      <c r="B210" s="4">
        <v>45136</v>
      </c>
      <c r="C210" s="3"/>
      <c r="D210" s="3"/>
      <c r="E210" s="25" t="s">
        <v>327</v>
      </c>
      <c r="F210" s="3">
        <v>7</v>
      </c>
    </row>
    <row r="211" spans="1:6" x14ac:dyDescent="0.3">
      <c r="A211" s="3">
        <v>23</v>
      </c>
      <c r="B211" s="4">
        <v>45137</v>
      </c>
      <c r="C211" s="3"/>
      <c r="D211" s="3"/>
      <c r="E211" s="25" t="s">
        <v>328</v>
      </c>
      <c r="F211" s="3">
        <v>6</v>
      </c>
    </row>
    <row r="212" spans="1:6" x14ac:dyDescent="0.3">
      <c r="A212" s="3">
        <v>24</v>
      </c>
      <c r="B212" s="4">
        <v>45138</v>
      </c>
      <c r="C212" s="3"/>
      <c r="D212" s="3"/>
      <c r="E212" s="25" t="s">
        <v>328</v>
      </c>
      <c r="F212" s="3">
        <v>6</v>
      </c>
    </row>
    <row r="213" spans="1:6" x14ac:dyDescent="0.3">
      <c r="A213" s="52"/>
      <c r="B213" s="53"/>
      <c r="C213" s="53"/>
      <c r="D213" s="53"/>
      <c r="E213" s="53"/>
      <c r="F213" s="54"/>
    </row>
    <row r="214" spans="1:6" x14ac:dyDescent="0.3">
      <c r="A214" s="3">
        <v>1</v>
      </c>
      <c r="B214" s="4">
        <v>45139</v>
      </c>
      <c r="C214" s="3"/>
      <c r="D214" s="3"/>
      <c r="E214" s="3" t="s">
        <v>329</v>
      </c>
      <c r="F214" s="3">
        <v>2</v>
      </c>
    </row>
    <row r="215" spans="1:6" x14ac:dyDescent="0.3">
      <c r="A215" s="3">
        <v>2</v>
      </c>
      <c r="B215" s="4">
        <v>45141</v>
      </c>
      <c r="C215" s="3"/>
      <c r="D215" s="3"/>
      <c r="E215" s="3" t="s">
        <v>329</v>
      </c>
      <c r="F215" s="3">
        <v>2</v>
      </c>
    </row>
    <row r="216" spans="1:6" x14ac:dyDescent="0.3">
      <c r="A216" s="3">
        <v>3</v>
      </c>
      <c r="B216" s="4">
        <v>45142</v>
      </c>
      <c r="C216" s="3"/>
      <c r="D216" s="3"/>
      <c r="E216" s="3" t="s">
        <v>329</v>
      </c>
      <c r="F216" s="3">
        <v>2</v>
      </c>
    </row>
    <row r="217" spans="1:6" x14ac:dyDescent="0.3">
      <c r="A217" s="3">
        <v>4</v>
      </c>
      <c r="B217" s="4">
        <v>45143</v>
      </c>
      <c r="C217" s="3"/>
      <c r="D217" s="3"/>
      <c r="E217" s="3" t="s">
        <v>330</v>
      </c>
      <c r="F217" s="3">
        <v>3</v>
      </c>
    </row>
    <row r="218" spans="1:6" x14ac:dyDescent="0.3">
      <c r="A218" s="3">
        <v>6</v>
      </c>
      <c r="B218" s="4">
        <v>45144</v>
      </c>
      <c r="C218" s="3"/>
      <c r="D218" s="3"/>
      <c r="E218" s="3" t="s">
        <v>331</v>
      </c>
      <c r="F218" s="3">
        <v>5</v>
      </c>
    </row>
    <row r="219" spans="1:6" x14ac:dyDescent="0.3">
      <c r="A219" s="3">
        <v>7</v>
      </c>
      <c r="B219" s="4">
        <v>45145</v>
      </c>
      <c r="C219" s="3"/>
      <c r="D219" s="3"/>
      <c r="E219" s="3" t="s">
        <v>332</v>
      </c>
      <c r="F219" s="3">
        <v>4</v>
      </c>
    </row>
    <row r="220" spans="1:6" x14ac:dyDescent="0.3">
      <c r="A220" s="3">
        <v>8</v>
      </c>
      <c r="B220" s="4">
        <v>45146</v>
      </c>
      <c r="C220" s="3"/>
      <c r="D220" s="3"/>
      <c r="E220" s="3" t="s">
        <v>332</v>
      </c>
      <c r="F220" s="3">
        <v>4</v>
      </c>
    </row>
    <row r="221" spans="1:6" x14ac:dyDescent="0.3">
      <c r="A221" s="3">
        <v>9</v>
      </c>
      <c r="B221" s="4">
        <v>45147</v>
      </c>
      <c r="C221" s="3"/>
      <c r="D221" s="3"/>
      <c r="E221" s="3" t="s">
        <v>331</v>
      </c>
      <c r="F221" s="3">
        <v>5</v>
      </c>
    </row>
    <row r="222" spans="1:6" x14ac:dyDescent="0.3">
      <c r="A222" s="3">
        <v>10</v>
      </c>
      <c r="B222" s="4">
        <v>45149</v>
      </c>
      <c r="C222" s="3"/>
      <c r="D222" s="3"/>
      <c r="E222" s="3" t="s">
        <v>336</v>
      </c>
      <c r="F222" s="3">
        <v>3</v>
      </c>
    </row>
    <row r="223" spans="1:6" x14ac:dyDescent="0.3">
      <c r="A223" s="3">
        <v>11</v>
      </c>
      <c r="B223" s="4">
        <v>45150</v>
      </c>
      <c r="C223" s="3"/>
      <c r="D223" s="3"/>
      <c r="E223" s="3" t="s">
        <v>337</v>
      </c>
      <c r="F223" s="3">
        <v>3</v>
      </c>
    </row>
    <row r="224" spans="1:6" x14ac:dyDescent="0.3">
      <c r="A224" s="3">
        <v>12</v>
      </c>
      <c r="B224" s="4">
        <v>45151</v>
      </c>
      <c r="C224" s="3"/>
      <c r="D224" s="3"/>
      <c r="E224" s="3" t="s">
        <v>329</v>
      </c>
      <c r="F224" s="3">
        <v>2</v>
      </c>
    </row>
    <row r="225" spans="1:6" x14ac:dyDescent="0.3">
      <c r="A225" s="3">
        <v>13</v>
      </c>
      <c r="B225" s="4">
        <v>45152</v>
      </c>
      <c r="C225" s="3"/>
      <c r="D225" s="3"/>
      <c r="E225" s="3" t="s">
        <v>329</v>
      </c>
      <c r="F225" s="3">
        <v>2</v>
      </c>
    </row>
    <row r="226" spans="1:6" x14ac:dyDescent="0.3">
      <c r="A226" s="3">
        <v>14</v>
      </c>
      <c r="B226" s="4">
        <v>45153</v>
      </c>
      <c r="C226" s="3"/>
      <c r="D226" s="3"/>
      <c r="E226" s="3" t="s">
        <v>338</v>
      </c>
      <c r="F226" s="3">
        <v>1</v>
      </c>
    </row>
    <row r="227" spans="1:6" x14ac:dyDescent="0.3">
      <c r="A227" s="3">
        <v>15</v>
      </c>
      <c r="B227" s="4">
        <v>45154</v>
      </c>
      <c r="C227" s="3"/>
      <c r="D227" s="3"/>
      <c r="E227" s="3" t="s">
        <v>329</v>
      </c>
      <c r="F227" s="3">
        <v>2</v>
      </c>
    </row>
    <row r="228" spans="1:6" x14ac:dyDescent="0.3">
      <c r="A228" s="3">
        <v>16</v>
      </c>
      <c r="B228" s="4">
        <v>45155</v>
      </c>
      <c r="C228" s="3"/>
      <c r="D228" s="3"/>
      <c r="E228" s="3" t="s">
        <v>339</v>
      </c>
      <c r="F228" s="3">
        <v>4</v>
      </c>
    </row>
    <row r="229" spans="1:6" x14ac:dyDescent="0.3">
      <c r="A229" s="3">
        <v>17</v>
      </c>
      <c r="B229" s="4">
        <v>45156</v>
      </c>
      <c r="C229" s="3"/>
      <c r="D229" s="3"/>
      <c r="E229" s="3" t="s">
        <v>340</v>
      </c>
      <c r="F229" s="3">
        <v>5</v>
      </c>
    </row>
    <row r="230" spans="1:6" x14ac:dyDescent="0.3">
      <c r="A230" s="3">
        <v>18</v>
      </c>
      <c r="B230" s="4">
        <v>45157</v>
      </c>
      <c r="C230" s="3"/>
      <c r="D230" s="3"/>
      <c r="E230" s="3" t="s">
        <v>339</v>
      </c>
      <c r="F230" s="3">
        <v>4</v>
      </c>
    </row>
    <row r="231" spans="1:6" x14ac:dyDescent="0.3">
      <c r="A231" s="3">
        <v>19</v>
      </c>
      <c r="B231" s="4">
        <v>45158</v>
      </c>
      <c r="C231" s="3"/>
      <c r="D231" s="3"/>
      <c r="E231" s="3" t="s">
        <v>329</v>
      </c>
      <c r="F231" s="3">
        <v>2</v>
      </c>
    </row>
    <row r="232" spans="1:6" x14ac:dyDescent="0.3">
      <c r="A232" s="3">
        <v>20</v>
      </c>
      <c r="B232" s="4">
        <v>45161</v>
      </c>
      <c r="C232" s="3"/>
      <c r="D232" s="3"/>
      <c r="E232" s="3" t="s">
        <v>356</v>
      </c>
      <c r="F232" s="3">
        <v>3</v>
      </c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52"/>
      <c r="B234" s="53"/>
      <c r="C234" s="53"/>
      <c r="D234" s="53"/>
      <c r="E234" s="53"/>
      <c r="F234" s="54"/>
    </row>
    <row r="235" spans="1:6" x14ac:dyDescent="0.3">
      <c r="A235" s="3">
        <v>1</v>
      </c>
      <c r="B235" s="4">
        <v>45173</v>
      </c>
      <c r="C235" s="3"/>
      <c r="D235" s="3"/>
      <c r="E235" s="3" t="s">
        <v>357</v>
      </c>
      <c r="F235" s="3">
        <v>4</v>
      </c>
    </row>
    <row r="236" spans="1:6" x14ac:dyDescent="0.3">
      <c r="A236" s="3">
        <v>2</v>
      </c>
      <c r="B236" s="4">
        <v>45174</v>
      </c>
      <c r="C236" s="3"/>
      <c r="D236" s="3"/>
      <c r="E236" s="3" t="s">
        <v>357</v>
      </c>
      <c r="F236" s="3">
        <v>4</v>
      </c>
    </row>
    <row r="237" spans="1:6" x14ac:dyDescent="0.3">
      <c r="A237" s="3">
        <v>3</v>
      </c>
      <c r="B237" s="4">
        <v>45175</v>
      </c>
      <c r="C237" s="3"/>
      <c r="D237" s="3"/>
      <c r="E237" s="3" t="s">
        <v>357</v>
      </c>
      <c r="F237" s="3">
        <v>4</v>
      </c>
    </row>
    <row r="238" spans="1:6" x14ac:dyDescent="0.3">
      <c r="A238" s="3">
        <v>4</v>
      </c>
      <c r="B238" s="4">
        <v>45176</v>
      </c>
      <c r="C238" s="3"/>
      <c r="D238" s="3"/>
      <c r="E238" s="3" t="s">
        <v>357</v>
      </c>
      <c r="F238" s="3">
        <v>4</v>
      </c>
    </row>
    <row r="239" spans="1:6" x14ac:dyDescent="0.3">
      <c r="A239" s="3">
        <v>5</v>
      </c>
      <c r="B239" s="4">
        <v>45178</v>
      </c>
      <c r="C239" s="3"/>
      <c r="D239" s="3"/>
      <c r="E239" s="3" t="s">
        <v>358</v>
      </c>
      <c r="F239" s="3">
        <v>2</v>
      </c>
    </row>
    <row r="240" spans="1:6" x14ac:dyDescent="0.3">
      <c r="A240" s="3">
        <v>6</v>
      </c>
      <c r="B240" s="4">
        <v>45179</v>
      </c>
      <c r="C240" s="3"/>
      <c r="D240" s="3"/>
      <c r="E240" s="3" t="s">
        <v>358</v>
      </c>
      <c r="F240" s="3">
        <v>2</v>
      </c>
    </row>
    <row r="241" spans="1:6" x14ac:dyDescent="0.3">
      <c r="A241" s="3">
        <v>7</v>
      </c>
      <c r="B241" s="4">
        <v>45180</v>
      </c>
      <c r="C241" s="3"/>
      <c r="D241" s="3"/>
      <c r="E241" s="3" t="s">
        <v>357</v>
      </c>
      <c r="F241" s="3">
        <v>4</v>
      </c>
    </row>
    <row r="242" spans="1:6" x14ac:dyDescent="0.3">
      <c r="A242" s="3">
        <v>8</v>
      </c>
      <c r="B242" s="4">
        <v>45181</v>
      </c>
      <c r="C242" s="3"/>
      <c r="D242" s="3"/>
      <c r="E242" s="3" t="s">
        <v>359</v>
      </c>
      <c r="F242" s="3">
        <v>1</v>
      </c>
    </row>
    <row r="243" spans="1:6" x14ac:dyDescent="0.3">
      <c r="A243" s="3">
        <v>9</v>
      </c>
      <c r="B243" s="4">
        <v>45182</v>
      </c>
      <c r="C243" s="3"/>
      <c r="D243" s="3"/>
      <c r="E243" s="3" t="s">
        <v>360</v>
      </c>
      <c r="F243" s="3">
        <v>4.5</v>
      </c>
    </row>
    <row r="244" spans="1:6" x14ac:dyDescent="0.3">
      <c r="A244" s="3">
        <v>10</v>
      </c>
      <c r="B244" s="4">
        <v>45183</v>
      </c>
      <c r="C244" s="3"/>
      <c r="D244" s="3"/>
      <c r="E244" s="3"/>
      <c r="F244" s="3"/>
    </row>
    <row r="245" spans="1:6" x14ac:dyDescent="0.3">
      <c r="A245" s="3">
        <v>11</v>
      </c>
      <c r="B245" s="4">
        <v>45184</v>
      </c>
      <c r="C245" s="3"/>
      <c r="D245" s="3"/>
      <c r="E245" s="3"/>
      <c r="F245" s="3"/>
    </row>
    <row r="246" spans="1:6" x14ac:dyDescent="0.3">
      <c r="A246" s="3">
        <v>12</v>
      </c>
      <c r="B246" s="4">
        <v>45185</v>
      </c>
      <c r="C246" s="3"/>
      <c r="D246" s="3"/>
      <c r="E246" s="3"/>
      <c r="F246" s="3"/>
    </row>
    <row r="247" spans="1:6" x14ac:dyDescent="0.3">
      <c r="A247" s="3">
        <v>13</v>
      </c>
      <c r="B247" s="4">
        <v>45186</v>
      </c>
      <c r="C247" s="3"/>
      <c r="D247" s="3"/>
      <c r="E247" s="3"/>
      <c r="F247" s="3"/>
    </row>
    <row r="248" spans="1:6" x14ac:dyDescent="0.3">
      <c r="A248" s="3">
        <v>14</v>
      </c>
      <c r="B248" s="4">
        <v>45187</v>
      </c>
      <c r="C248" s="3"/>
      <c r="D248" s="3"/>
      <c r="E248" s="3"/>
      <c r="F248" s="3"/>
    </row>
    <row r="249" spans="1:6" x14ac:dyDescent="0.3">
      <c r="A249" s="3">
        <v>15</v>
      </c>
      <c r="B249" s="4">
        <v>45188</v>
      </c>
      <c r="C249" s="3"/>
      <c r="D249" s="3"/>
      <c r="E249" s="3"/>
      <c r="F249" s="3"/>
    </row>
    <row r="250" spans="1:6" x14ac:dyDescent="0.3">
      <c r="A250" s="3">
        <v>16</v>
      </c>
      <c r="B250" s="4">
        <v>45189</v>
      </c>
      <c r="C250" s="3"/>
      <c r="D250" s="3"/>
      <c r="E250" s="3"/>
      <c r="F250" s="3"/>
    </row>
    <row r="251" spans="1:6" x14ac:dyDescent="0.3">
      <c r="A251" s="3">
        <v>17</v>
      </c>
      <c r="B251" s="4">
        <v>45190</v>
      </c>
      <c r="C251" s="3"/>
      <c r="D251" s="3"/>
      <c r="E251" s="3" t="s">
        <v>363</v>
      </c>
      <c r="F251" s="3">
        <v>8</v>
      </c>
    </row>
    <row r="252" spans="1:6" x14ac:dyDescent="0.3">
      <c r="A252" s="3">
        <v>18</v>
      </c>
      <c r="B252" s="4">
        <v>45191</v>
      </c>
      <c r="C252" s="3"/>
      <c r="D252" s="3"/>
      <c r="E252" s="3" t="s">
        <v>366</v>
      </c>
      <c r="F252" s="3">
        <v>8</v>
      </c>
    </row>
    <row r="253" spans="1:6" x14ac:dyDescent="0.3">
      <c r="A253" s="3">
        <v>19</v>
      </c>
      <c r="B253" s="4">
        <v>45192</v>
      </c>
      <c r="C253" s="3"/>
      <c r="D253" s="3"/>
      <c r="E253" s="3" t="s">
        <v>373</v>
      </c>
      <c r="F253" s="3">
        <v>4</v>
      </c>
    </row>
    <row r="254" spans="1:6" x14ac:dyDescent="0.3">
      <c r="A254" s="3">
        <v>20</v>
      </c>
      <c r="B254" s="4">
        <v>45193</v>
      </c>
      <c r="C254" s="3"/>
      <c r="D254" s="3"/>
      <c r="E254" s="3" t="s">
        <v>374</v>
      </c>
      <c r="F254" s="3">
        <v>5</v>
      </c>
    </row>
    <row r="255" spans="1:6" x14ac:dyDescent="0.3">
      <c r="A255" s="3">
        <v>21</v>
      </c>
      <c r="B255" s="4">
        <v>45194</v>
      </c>
      <c r="C255" s="3"/>
      <c r="D255" s="3"/>
      <c r="E255" s="3" t="s">
        <v>374</v>
      </c>
      <c r="F255" s="3">
        <v>5</v>
      </c>
    </row>
    <row r="256" spans="1:6" x14ac:dyDescent="0.3">
      <c r="A256" s="3">
        <v>22</v>
      </c>
      <c r="B256" s="4">
        <v>45195</v>
      </c>
      <c r="C256" s="3"/>
      <c r="D256" s="3"/>
      <c r="E256" s="3" t="s">
        <v>375</v>
      </c>
      <c r="F256" s="3">
        <v>9</v>
      </c>
    </row>
    <row r="257" spans="1:6" x14ac:dyDescent="0.3">
      <c r="A257" s="3">
        <v>23</v>
      </c>
      <c r="B257" s="4">
        <v>45196</v>
      </c>
      <c r="C257" s="3"/>
      <c r="D257" s="3"/>
      <c r="E257" s="3" t="s">
        <v>376</v>
      </c>
      <c r="F257" s="3">
        <v>6</v>
      </c>
    </row>
    <row r="258" spans="1:6" x14ac:dyDescent="0.3">
      <c r="A258" s="3">
        <v>24</v>
      </c>
      <c r="B258" s="4">
        <v>45197</v>
      </c>
      <c r="C258" s="3"/>
      <c r="D258" s="3"/>
      <c r="E258" s="3" t="s">
        <v>377</v>
      </c>
      <c r="F258" s="3">
        <v>6</v>
      </c>
    </row>
    <row r="259" spans="1:6" x14ac:dyDescent="0.3">
      <c r="A259" s="3">
        <v>25</v>
      </c>
      <c r="B259" s="4">
        <v>45198</v>
      </c>
      <c r="C259" s="3"/>
      <c r="D259" s="3"/>
      <c r="E259" s="3" t="s">
        <v>379</v>
      </c>
      <c r="F259" s="3">
        <v>8</v>
      </c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52"/>
      <c r="B261" s="53"/>
      <c r="C261" s="53"/>
      <c r="D261" s="53"/>
      <c r="E261" s="53"/>
      <c r="F261" s="54"/>
    </row>
    <row r="262" spans="1:6" x14ac:dyDescent="0.3">
      <c r="A262" s="3">
        <v>1</v>
      </c>
      <c r="B262" s="4">
        <v>45206</v>
      </c>
      <c r="C262" s="3"/>
      <c r="D262" s="3"/>
      <c r="E262" s="3" t="s">
        <v>380</v>
      </c>
      <c r="F262" s="3">
        <v>8</v>
      </c>
    </row>
    <row r="263" spans="1:6" x14ac:dyDescent="0.3">
      <c r="A263" s="3">
        <v>2</v>
      </c>
      <c r="B263" s="4">
        <v>45207</v>
      </c>
      <c r="C263" s="3"/>
      <c r="D263" s="3"/>
      <c r="E263" s="3" t="s">
        <v>381</v>
      </c>
      <c r="F263" s="3">
        <v>6</v>
      </c>
    </row>
    <row r="264" spans="1:6" x14ac:dyDescent="0.3">
      <c r="A264" s="3">
        <v>3</v>
      </c>
      <c r="B264" s="4">
        <v>45208</v>
      </c>
      <c r="C264" s="3"/>
      <c r="D264" s="3"/>
      <c r="E264" s="3" t="s">
        <v>382</v>
      </c>
      <c r="F264" s="3">
        <v>8</v>
      </c>
    </row>
    <row r="265" spans="1:6" x14ac:dyDescent="0.3">
      <c r="A265" s="3">
        <v>4</v>
      </c>
      <c r="B265" s="4">
        <v>45209</v>
      </c>
      <c r="C265" s="3"/>
      <c r="D265" s="3"/>
      <c r="E265" s="3" t="s">
        <v>382</v>
      </c>
      <c r="F265" s="3">
        <v>8</v>
      </c>
    </row>
    <row r="266" spans="1:6" x14ac:dyDescent="0.3">
      <c r="A266" s="3">
        <v>5</v>
      </c>
      <c r="B266" s="4">
        <v>45210</v>
      </c>
      <c r="C266" s="3"/>
      <c r="D266" s="3"/>
      <c r="E266" s="3" t="s">
        <v>382</v>
      </c>
      <c r="F266" s="3">
        <v>8</v>
      </c>
    </row>
    <row r="267" spans="1:6" x14ac:dyDescent="0.3">
      <c r="A267" s="3">
        <v>6</v>
      </c>
      <c r="B267" s="4">
        <v>45211</v>
      </c>
      <c r="C267" s="3"/>
      <c r="D267" s="3"/>
      <c r="E267" s="3" t="s">
        <v>383</v>
      </c>
      <c r="F267" s="3">
        <v>9</v>
      </c>
    </row>
    <row r="268" spans="1:6" x14ac:dyDescent="0.3">
      <c r="A268" s="3">
        <v>7</v>
      </c>
      <c r="B268" s="4">
        <v>45212</v>
      </c>
      <c r="C268" s="3"/>
      <c r="D268" s="3"/>
      <c r="E268" s="3" t="s">
        <v>382</v>
      </c>
      <c r="F268" s="3">
        <v>8</v>
      </c>
    </row>
    <row r="269" spans="1:6" x14ac:dyDescent="0.3">
      <c r="A269" s="3">
        <v>8</v>
      </c>
      <c r="B269" s="4">
        <v>45213</v>
      </c>
      <c r="C269" s="3"/>
      <c r="D269" s="3"/>
      <c r="E269" s="3" t="s">
        <v>383</v>
      </c>
      <c r="F269" s="3">
        <v>9</v>
      </c>
    </row>
    <row r="270" spans="1:6" x14ac:dyDescent="0.3">
      <c r="A270" s="3">
        <v>9</v>
      </c>
      <c r="B270" s="4">
        <v>45214</v>
      </c>
      <c r="C270" s="3"/>
      <c r="D270" s="3"/>
      <c r="E270" s="3" t="s">
        <v>383</v>
      </c>
      <c r="F270" s="3">
        <v>9</v>
      </c>
    </row>
    <row r="271" spans="1:6" x14ac:dyDescent="0.3">
      <c r="A271" s="3">
        <v>10</v>
      </c>
      <c r="B271" s="4">
        <v>45215</v>
      </c>
      <c r="C271" s="3"/>
      <c r="D271" s="3"/>
      <c r="E271" s="3" t="s">
        <v>381</v>
      </c>
      <c r="F271" s="3">
        <v>6</v>
      </c>
    </row>
    <row r="272" spans="1:6" x14ac:dyDescent="0.3">
      <c r="A272" s="3">
        <v>11</v>
      </c>
      <c r="B272" s="4">
        <v>45216</v>
      </c>
      <c r="C272" s="3"/>
      <c r="D272" s="3"/>
      <c r="E272" s="3" t="s">
        <v>384</v>
      </c>
      <c r="F272" s="3">
        <v>8</v>
      </c>
    </row>
    <row r="273" spans="1:6" x14ac:dyDescent="0.3">
      <c r="A273" s="3">
        <v>12</v>
      </c>
      <c r="B273" s="4">
        <v>45219</v>
      </c>
      <c r="C273" s="3"/>
      <c r="D273" s="3"/>
      <c r="E273" s="3" t="s">
        <v>385</v>
      </c>
      <c r="F273" s="3">
        <v>5</v>
      </c>
    </row>
    <row r="274" spans="1:6" x14ac:dyDescent="0.3">
      <c r="A274" s="3">
        <v>13</v>
      </c>
      <c r="B274" s="4">
        <v>45229</v>
      </c>
      <c r="C274" s="3"/>
      <c r="D274" s="3"/>
      <c r="E274" s="3" t="s">
        <v>389</v>
      </c>
      <c r="F274" s="3">
        <v>4</v>
      </c>
    </row>
    <row r="275" spans="1:6" x14ac:dyDescent="0.3">
      <c r="A275" s="3">
        <v>14</v>
      </c>
      <c r="B275" s="4">
        <v>45230</v>
      </c>
      <c r="C275" s="3"/>
      <c r="D275" s="3"/>
      <c r="E275" s="3" t="s">
        <v>385</v>
      </c>
      <c r="F275" s="3">
        <v>5</v>
      </c>
    </row>
    <row r="276" spans="1:6" x14ac:dyDescent="0.3">
      <c r="A276" s="52"/>
      <c r="B276" s="53"/>
      <c r="C276" s="53"/>
      <c r="D276" s="53"/>
      <c r="E276" s="53"/>
      <c r="F276" s="54"/>
    </row>
    <row r="277" spans="1:6" x14ac:dyDescent="0.3">
      <c r="A277" s="3">
        <v>1</v>
      </c>
      <c r="B277" s="4">
        <v>45231</v>
      </c>
      <c r="C277" s="3"/>
      <c r="D277" s="3"/>
      <c r="E277" s="3" t="s">
        <v>385</v>
      </c>
      <c r="F277" s="3">
        <v>5</v>
      </c>
    </row>
    <row r="278" spans="1:6" x14ac:dyDescent="0.3">
      <c r="A278" s="3">
        <v>2</v>
      </c>
      <c r="B278" s="4">
        <v>45232</v>
      </c>
      <c r="C278" s="3"/>
      <c r="D278" s="3"/>
      <c r="E278" s="3" t="s">
        <v>385</v>
      </c>
      <c r="F278" s="3">
        <v>5</v>
      </c>
    </row>
    <row r="279" spans="1:6" x14ac:dyDescent="0.3">
      <c r="A279" s="3">
        <v>3</v>
      </c>
      <c r="B279" s="4">
        <v>45233</v>
      </c>
      <c r="C279" s="3"/>
      <c r="D279" s="3"/>
      <c r="E279" s="3" t="s">
        <v>385</v>
      </c>
      <c r="F279" s="3">
        <v>5</v>
      </c>
    </row>
    <row r="280" spans="1:6" x14ac:dyDescent="0.3">
      <c r="A280" s="3">
        <v>4</v>
      </c>
      <c r="B280" s="4">
        <v>45234</v>
      </c>
      <c r="C280" s="3"/>
      <c r="D280" s="3"/>
      <c r="E280" s="3" t="s">
        <v>385</v>
      </c>
      <c r="F280" s="3">
        <v>5</v>
      </c>
    </row>
    <row r="281" spans="1:6" x14ac:dyDescent="0.3">
      <c r="A281" s="3">
        <v>5</v>
      </c>
      <c r="B281" s="4">
        <v>45235</v>
      </c>
      <c r="C281" s="3"/>
      <c r="D281" s="3"/>
      <c r="E281" s="3" t="s">
        <v>385</v>
      </c>
      <c r="F281" s="3">
        <v>5</v>
      </c>
    </row>
    <row r="282" spans="1:6" x14ac:dyDescent="0.3">
      <c r="A282" s="3">
        <v>6</v>
      </c>
      <c r="B282" s="4">
        <v>45236</v>
      </c>
      <c r="C282" s="3"/>
      <c r="D282" s="3"/>
      <c r="E282" s="3" t="s">
        <v>385</v>
      </c>
      <c r="F282" s="3">
        <v>5</v>
      </c>
    </row>
    <row r="283" spans="1:6" x14ac:dyDescent="0.3">
      <c r="A283" s="3">
        <v>7</v>
      </c>
      <c r="B283" s="4">
        <v>45238</v>
      </c>
      <c r="C283" s="3"/>
      <c r="D283" s="3"/>
      <c r="E283" s="3" t="s">
        <v>391</v>
      </c>
      <c r="F283" s="3">
        <v>2</v>
      </c>
    </row>
    <row r="284" spans="1:6" x14ac:dyDescent="0.3">
      <c r="A284" s="3">
        <v>8</v>
      </c>
      <c r="B284" s="4">
        <v>45239</v>
      </c>
      <c r="C284" s="3"/>
      <c r="D284" s="3"/>
      <c r="E284" s="3" t="s">
        <v>391</v>
      </c>
      <c r="F284" s="3">
        <v>2</v>
      </c>
    </row>
    <row r="285" spans="1:6" x14ac:dyDescent="0.3">
      <c r="A285" s="3">
        <v>9</v>
      </c>
      <c r="B285" s="4">
        <v>45240</v>
      </c>
      <c r="C285" s="3"/>
      <c r="D285" s="3"/>
      <c r="E285" s="3" t="s">
        <v>391</v>
      </c>
      <c r="F285" s="3">
        <v>2</v>
      </c>
    </row>
    <row r="286" spans="1:6" x14ac:dyDescent="0.3">
      <c r="A286" s="3">
        <v>10</v>
      </c>
      <c r="B286" s="4">
        <v>45241</v>
      </c>
      <c r="C286" s="3"/>
      <c r="D286" s="3"/>
      <c r="E286" s="3" t="s">
        <v>391</v>
      </c>
      <c r="F286" s="3">
        <v>2</v>
      </c>
    </row>
    <row r="287" spans="1:6" x14ac:dyDescent="0.3">
      <c r="A287" s="3">
        <v>11</v>
      </c>
      <c r="B287" s="4">
        <v>45242</v>
      </c>
      <c r="C287" s="3"/>
      <c r="D287" s="3"/>
      <c r="E287" s="3" t="s">
        <v>391</v>
      </c>
      <c r="F287" s="3">
        <v>2</v>
      </c>
    </row>
    <row r="288" spans="1:6" x14ac:dyDescent="0.3">
      <c r="A288" s="3">
        <v>12</v>
      </c>
      <c r="B288" s="4">
        <v>45243</v>
      </c>
      <c r="C288" s="3"/>
      <c r="D288" s="3"/>
      <c r="E288" s="3" t="s">
        <v>391</v>
      </c>
      <c r="F288" s="3">
        <v>2</v>
      </c>
    </row>
    <row r="289" spans="1:6" x14ac:dyDescent="0.3">
      <c r="A289" s="3">
        <v>13</v>
      </c>
      <c r="B289" s="4">
        <v>45244</v>
      </c>
      <c r="C289" s="3"/>
      <c r="D289" s="3"/>
      <c r="E289" s="3" t="s">
        <v>391</v>
      </c>
      <c r="F289" s="3">
        <v>2</v>
      </c>
    </row>
    <row r="290" spans="1:6" x14ac:dyDescent="0.3">
      <c r="A290" s="3">
        <v>14</v>
      </c>
      <c r="B290" s="4">
        <v>45245</v>
      </c>
      <c r="C290" s="3"/>
      <c r="D290" s="3"/>
      <c r="E290" s="3" t="s">
        <v>391</v>
      </c>
      <c r="F290" s="3">
        <v>2</v>
      </c>
    </row>
    <row r="291" spans="1:6" x14ac:dyDescent="0.3">
      <c r="A291" s="52"/>
      <c r="B291" s="53"/>
      <c r="C291" s="53"/>
      <c r="D291" s="53"/>
      <c r="E291" s="53"/>
      <c r="F291" s="54"/>
    </row>
    <row r="292" spans="1:6" x14ac:dyDescent="0.3">
      <c r="A292" s="3">
        <v>1</v>
      </c>
      <c r="B292" s="4">
        <v>45275</v>
      </c>
      <c r="C292" s="3"/>
      <c r="D292" s="3"/>
      <c r="E292" s="3" t="s">
        <v>392</v>
      </c>
      <c r="F292" s="3">
        <v>3</v>
      </c>
    </row>
    <row r="293" spans="1:6" x14ac:dyDescent="0.3">
      <c r="A293" s="3">
        <v>2</v>
      </c>
      <c r="B293" s="4">
        <v>45278</v>
      </c>
      <c r="C293" s="3"/>
      <c r="D293" s="3"/>
      <c r="E293" s="3" t="s">
        <v>393</v>
      </c>
      <c r="F293" s="3">
        <v>7</v>
      </c>
    </row>
    <row r="294" spans="1:6" x14ac:dyDescent="0.3">
      <c r="A294" s="3">
        <v>3</v>
      </c>
      <c r="B294" s="4">
        <v>45280</v>
      </c>
      <c r="C294" s="3"/>
      <c r="D294" s="3"/>
      <c r="E294" s="3" t="s">
        <v>400</v>
      </c>
      <c r="F294" s="3">
        <v>10</v>
      </c>
    </row>
    <row r="295" spans="1:6" x14ac:dyDescent="0.3">
      <c r="A295" s="3">
        <v>4</v>
      </c>
      <c r="B295" s="4">
        <v>45281</v>
      </c>
      <c r="C295" s="3"/>
      <c r="D295" s="3"/>
      <c r="E295" s="3" t="s">
        <v>406</v>
      </c>
      <c r="F295" s="3">
        <v>7</v>
      </c>
    </row>
    <row r="296" spans="1:6" x14ac:dyDescent="0.3">
      <c r="A296" s="3">
        <v>5</v>
      </c>
      <c r="B296" s="4">
        <v>45282</v>
      </c>
      <c r="C296" s="3"/>
      <c r="D296" s="3"/>
      <c r="E296" s="3" t="s">
        <v>406</v>
      </c>
      <c r="F296" s="3">
        <v>7</v>
      </c>
    </row>
    <row r="297" spans="1:6" x14ac:dyDescent="0.3">
      <c r="A297" s="3">
        <v>6</v>
      </c>
      <c r="B297" s="4">
        <v>45283</v>
      </c>
      <c r="C297" s="3"/>
      <c r="D297" s="3"/>
      <c r="E297" s="3" t="s">
        <v>405</v>
      </c>
      <c r="F297" s="3">
        <v>6</v>
      </c>
    </row>
    <row r="298" spans="1:6" x14ac:dyDescent="0.3">
      <c r="A298" s="3">
        <v>7</v>
      </c>
      <c r="B298" s="4">
        <v>45284</v>
      </c>
      <c r="C298" s="2"/>
      <c r="D298" s="2"/>
      <c r="E298" s="3" t="s">
        <v>417</v>
      </c>
      <c r="F298" s="2"/>
    </row>
    <row r="299" spans="1:6" x14ac:dyDescent="0.3">
      <c r="A299" s="3">
        <v>8</v>
      </c>
      <c r="B299" s="4">
        <v>45285</v>
      </c>
      <c r="C299" s="2"/>
      <c r="D299" s="2"/>
      <c r="E299" s="3" t="s">
        <v>417</v>
      </c>
      <c r="F299" s="2"/>
    </row>
    <row r="300" spans="1:6" x14ac:dyDescent="0.3">
      <c r="A300" s="3">
        <v>9</v>
      </c>
      <c r="B300" s="4">
        <v>45286</v>
      </c>
      <c r="C300" s="2"/>
      <c r="D300" s="2"/>
      <c r="E300" s="3" t="s">
        <v>417</v>
      </c>
      <c r="F300" s="2"/>
    </row>
    <row r="301" spans="1:6" x14ac:dyDescent="0.3">
      <c r="A301" s="3">
        <v>10</v>
      </c>
      <c r="B301" s="4">
        <v>45287</v>
      </c>
      <c r="C301" s="2"/>
      <c r="D301" s="2"/>
      <c r="E301" s="3" t="s">
        <v>417</v>
      </c>
      <c r="F301" s="2"/>
    </row>
    <row r="302" spans="1:6" x14ac:dyDescent="0.3">
      <c r="A302" s="3">
        <v>11</v>
      </c>
      <c r="B302" s="4">
        <v>45288</v>
      </c>
      <c r="C302" s="2"/>
      <c r="D302" s="2"/>
      <c r="E302" s="3" t="s">
        <v>417</v>
      </c>
      <c r="F302" s="2"/>
    </row>
    <row r="303" spans="1:6" x14ac:dyDescent="0.3">
      <c r="A303" s="3">
        <v>12</v>
      </c>
      <c r="B303" s="4">
        <v>45289</v>
      </c>
      <c r="C303" s="2"/>
      <c r="D303" s="2"/>
      <c r="E303" s="3" t="s">
        <v>406</v>
      </c>
      <c r="F303" s="3">
        <v>7</v>
      </c>
    </row>
    <row r="304" spans="1:6" x14ac:dyDescent="0.3">
      <c r="A304" s="3">
        <v>13</v>
      </c>
      <c r="B304" s="4">
        <v>45290</v>
      </c>
      <c r="C304" s="2"/>
      <c r="D304" s="2"/>
      <c r="E304" s="3" t="s">
        <v>406</v>
      </c>
      <c r="F304" s="3">
        <v>7</v>
      </c>
    </row>
    <row r="305" spans="1:6" x14ac:dyDescent="0.3">
      <c r="A305" s="52"/>
      <c r="B305" s="53"/>
      <c r="C305" s="53"/>
      <c r="D305" s="53"/>
      <c r="E305" s="53"/>
      <c r="F305" s="54"/>
    </row>
    <row r="306" spans="1:6" x14ac:dyDescent="0.3">
      <c r="A306" s="3">
        <v>1</v>
      </c>
      <c r="B306" s="4">
        <v>45292</v>
      </c>
      <c r="C306" s="3"/>
      <c r="D306" s="3"/>
      <c r="E306" s="3" t="s">
        <v>406</v>
      </c>
      <c r="F306" s="3">
        <v>7</v>
      </c>
    </row>
    <row r="307" spans="1:6" x14ac:dyDescent="0.3">
      <c r="A307" s="3">
        <v>2</v>
      </c>
      <c r="B307" s="4">
        <v>45293</v>
      </c>
      <c r="C307" s="3"/>
      <c r="D307" s="3"/>
      <c r="E307" s="3" t="s">
        <v>420</v>
      </c>
      <c r="F307" s="3">
        <v>12</v>
      </c>
    </row>
    <row r="308" spans="1:6" x14ac:dyDescent="0.3">
      <c r="A308" s="3">
        <v>3</v>
      </c>
      <c r="B308" s="4">
        <v>45294</v>
      </c>
      <c r="C308" s="3"/>
      <c r="D308" s="3"/>
      <c r="E308" s="3" t="s">
        <v>418</v>
      </c>
      <c r="F308" s="3">
        <v>11</v>
      </c>
    </row>
    <row r="309" spans="1:6" x14ac:dyDescent="0.3">
      <c r="A309" s="3">
        <v>4</v>
      </c>
      <c r="B309" s="4">
        <v>45295</v>
      </c>
      <c r="C309" s="3"/>
      <c r="D309" s="3"/>
      <c r="E309" s="3" t="s">
        <v>421</v>
      </c>
      <c r="F309" s="3">
        <v>5</v>
      </c>
    </row>
    <row r="310" spans="1:6" x14ac:dyDescent="0.3">
      <c r="A310" s="3">
        <v>5</v>
      </c>
      <c r="B310" s="4">
        <v>45296</v>
      </c>
      <c r="C310" s="7"/>
      <c r="D310" s="7"/>
      <c r="E310" s="3" t="s">
        <v>423</v>
      </c>
      <c r="F310" s="7">
        <v>8</v>
      </c>
    </row>
    <row r="311" spans="1:6" x14ac:dyDescent="0.3">
      <c r="A311" s="3">
        <v>6</v>
      </c>
      <c r="B311" s="4">
        <v>45297</v>
      </c>
      <c r="C311" s="7"/>
      <c r="D311" s="7"/>
      <c r="E311" s="3" t="s">
        <v>421</v>
      </c>
      <c r="F311" s="7">
        <v>5</v>
      </c>
    </row>
    <row r="312" spans="1:6" x14ac:dyDescent="0.3">
      <c r="A312" s="3">
        <v>7</v>
      </c>
      <c r="B312" s="4">
        <v>45298</v>
      </c>
      <c r="C312" s="7"/>
      <c r="D312" s="7"/>
      <c r="E312" s="7" t="s">
        <v>424</v>
      </c>
      <c r="F312" s="7">
        <v>4</v>
      </c>
    </row>
    <row r="313" spans="1:6" x14ac:dyDescent="0.3">
      <c r="A313" s="3">
        <v>8</v>
      </c>
      <c r="B313" s="4">
        <v>45299</v>
      </c>
      <c r="C313" s="7"/>
      <c r="D313" s="7"/>
      <c r="E313" s="7" t="s">
        <v>424</v>
      </c>
      <c r="F313" s="7">
        <v>4</v>
      </c>
    </row>
    <row r="314" spans="1:6" x14ac:dyDescent="0.3">
      <c r="A314" s="3">
        <v>9</v>
      </c>
      <c r="B314" s="4">
        <v>45300</v>
      </c>
      <c r="C314" s="7"/>
      <c r="D314" s="7"/>
      <c r="E314" s="7" t="s">
        <v>417</v>
      </c>
      <c r="F314" s="7"/>
    </row>
    <row r="315" spans="1:6" x14ac:dyDescent="0.3">
      <c r="A315" s="3">
        <v>10</v>
      </c>
      <c r="B315" s="4">
        <v>45301</v>
      </c>
      <c r="C315" s="7"/>
      <c r="D315" s="7"/>
      <c r="E315" s="7" t="s">
        <v>417</v>
      </c>
      <c r="F315" s="7"/>
    </row>
    <row r="316" spans="1:6" x14ac:dyDescent="0.3">
      <c r="A316" s="3">
        <v>11</v>
      </c>
      <c r="B316" s="4">
        <v>45302</v>
      </c>
      <c r="C316" s="7"/>
      <c r="D316" s="7"/>
      <c r="E316" s="7" t="s">
        <v>430</v>
      </c>
      <c r="F316" s="7">
        <v>2</v>
      </c>
    </row>
    <row r="317" spans="1:6" x14ac:dyDescent="0.3">
      <c r="A317" s="3">
        <v>12</v>
      </c>
      <c r="B317" s="4">
        <v>45303</v>
      </c>
      <c r="C317" s="7"/>
      <c r="D317" s="7"/>
      <c r="E317" s="7" t="s">
        <v>431</v>
      </c>
      <c r="F317" s="7">
        <v>3</v>
      </c>
    </row>
    <row r="318" spans="1:6" x14ac:dyDescent="0.3">
      <c r="A318" s="3">
        <v>13</v>
      </c>
      <c r="B318" s="4">
        <v>45304</v>
      </c>
      <c r="C318" s="7"/>
      <c r="D318" s="7"/>
      <c r="E318" s="7" t="s">
        <v>432</v>
      </c>
      <c r="F318" s="7">
        <v>4</v>
      </c>
    </row>
    <row r="319" spans="1:6" x14ac:dyDescent="0.3">
      <c r="A319" s="3">
        <v>14</v>
      </c>
      <c r="B319" s="4">
        <v>45305</v>
      </c>
      <c r="C319" s="7"/>
      <c r="D319" s="7"/>
      <c r="E319" s="7" t="s">
        <v>432</v>
      </c>
      <c r="F319" s="7">
        <v>4</v>
      </c>
    </row>
    <row r="320" spans="1:6" x14ac:dyDescent="0.3">
      <c r="A320" s="3">
        <v>15</v>
      </c>
      <c r="B320" s="4">
        <v>45306</v>
      </c>
      <c r="C320" s="7"/>
      <c r="D320" s="7"/>
      <c r="E320" s="7" t="s">
        <v>432</v>
      </c>
      <c r="F320" s="7">
        <v>4</v>
      </c>
    </row>
    <row r="321" spans="1:6" x14ac:dyDescent="0.3">
      <c r="A321" s="3">
        <v>16</v>
      </c>
      <c r="B321" s="4">
        <v>45307</v>
      </c>
      <c r="C321" s="3"/>
      <c r="D321" s="3"/>
      <c r="E321" s="7" t="s">
        <v>432</v>
      </c>
      <c r="F321" s="7">
        <v>4</v>
      </c>
    </row>
    <row r="322" spans="1:6" x14ac:dyDescent="0.3">
      <c r="A322" s="3">
        <v>17</v>
      </c>
      <c r="B322" s="4">
        <v>45308</v>
      </c>
      <c r="C322" s="3"/>
      <c r="D322" s="3"/>
      <c r="E322" s="7" t="s">
        <v>433</v>
      </c>
      <c r="F322" s="3">
        <v>7.5</v>
      </c>
    </row>
    <row r="323" spans="1:6" x14ac:dyDescent="0.3">
      <c r="A323" s="3">
        <v>18</v>
      </c>
      <c r="B323" s="4">
        <v>45309</v>
      </c>
      <c r="C323" s="3"/>
      <c r="D323" s="3"/>
      <c r="E323" s="3" t="s">
        <v>434</v>
      </c>
      <c r="F323" s="3">
        <v>9</v>
      </c>
    </row>
    <row r="324" spans="1:6" x14ac:dyDescent="0.3">
      <c r="A324" s="3">
        <v>19</v>
      </c>
      <c r="B324" s="4">
        <v>45310</v>
      </c>
      <c r="C324" s="3"/>
      <c r="D324" s="3"/>
      <c r="E324" s="3" t="s">
        <v>437</v>
      </c>
      <c r="F324" s="3">
        <v>11</v>
      </c>
    </row>
    <row r="325" spans="1:6" x14ac:dyDescent="0.3">
      <c r="A325" s="3">
        <v>20</v>
      </c>
      <c r="B325" s="4">
        <v>45311</v>
      </c>
      <c r="C325" s="3"/>
      <c r="D325" s="3"/>
      <c r="E325" s="3" t="s">
        <v>443</v>
      </c>
      <c r="F325" s="3">
        <v>5</v>
      </c>
    </row>
    <row r="326" spans="1:6" x14ac:dyDescent="0.3">
      <c r="A326" s="3">
        <v>21</v>
      </c>
      <c r="B326" s="4">
        <v>45312</v>
      </c>
      <c r="C326" s="3"/>
      <c r="D326" s="3"/>
      <c r="E326" s="3" t="s">
        <v>444</v>
      </c>
      <c r="F326" s="3">
        <v>9</v>
      </c>
    </row>
    <row r="327" spans="1:6" x14ac:dyDescent="0.3">
      <c r="A327" s="3">
        <v>22</v>
      </c>
      <c r="B327" s="4">
        <v>45313</v>
      </c>
      <c r="C327" s="3"/>
      <c r="D327" s="3"/>
      <c r="E327" s="3" t="s">
        <v>444</v>
      </c>
      <c r="F327" s="3">
        <v>9</v>
      </c>
    </row>
    <row r="328" spans="1:6" x14ac:dyDescent="0.3">
      <c r="A328" s="3">
        <v>23</v>
      </c>
      <c r="B328" s="4">
        <v>45314</v>
      </c>
      <c r="C328" s="3"/>
      <c r="D328" s="3"/>
      <c r="E328" s="3" t="s">
        <v>445</v>
      </c>
      <c r="F328" s="3">
        <v>8</v>
      </c>
    </row>
    <row r="329" spans="1:6" x14ac:dyDescent="0.3">
      <c r="A329" s="3">
        <v>24</v>
      </c>
      <c r="B329" s="4">
        <v>45315</v>
      </c>
      <c r="C329" s="3"/>
      <c r="D329" s="3"/>
      <c r="E329" s="3" t="s">
        <v>446</v>
      </c>
      <c r="F329" s="3">
        <v>5</v>
      </c>
    </row>
    <row r="330" spans="1:6" x14ac:dyDescent="0.3">
      <c r="A330" s="3">
        <v>25</v>
      </c>
      <c r="B330" s="4">
        <v>45316</v>
      </c>
      <c r="C330" s="3"/>
      <c r="D330" s="3"/>
      <c r="E330" s="3" t="s">
        <v>446</v>
      </c>
      <c r="F330" s="3">
        <v>5</v>
      </c>
    </row>
    <row r="331" spans="1:6" x14ac:dyDescent="0.3">
      <c r="A331" s="3">
        <v>26</v>
      </c>
      <c r="B331" s="4">
        <v>45317</v>
      </c>
      <c r="C331" s="3"/>
      <c r="D331" s="3"/>
      <c r="E331" s="3" t="s">
        <v>446</v>
      </c>
      <c r="F331" s="3">
        <v>5</v>
      </c>
    </row>
    <row r="332" spans="1:6" x14ac:dyDescent="0.3">
      <c r="A332" s="52"/>
      <c r="B332" s="53"/>
      <c r="C332" s="53"/>
      <c r="D332" s="53"/>
      <c r="E332" s="53"/>
      <c r="F332" s="54"/>
    </row>
    <row r="333" spans="1:6" x14ac:dyDescent="0.3">
      <c r="A333" s="3">
        <v>1</v>
      </c>
      <c r="B333" s="4">
        <v>45337</v>
      </c>
      <c r="C333" s="3"/>
      <c r="D333" s="3"/>
      <c r="E333" s="3" t="s">
        <v>453</v>
      </c>
      <c r="F333" s="3">
        <v>4</v>
      </c>
    </row>
    <row r="334" spans="1:6" x14ac:dyDescent="0.3">
      <c r="A334" s="3">
        <v>2</v>
      </c>
      <c r="B334" s="4">
        <v>45338</v>
      </c>
      <c r="C334" s="3"/>
      <c r="D334" s="3"/>
      <c r="E334" s="3" t="s">
        <v>453</v>
      </c>
      <c r="F334" s="3">
        <v>4</v>
      </c>
    </row>
    <row r="335" spans="1:6" x14ac:dyDescent="0.3">
      <c r="A335" s="3"/>
      <c r="B335" s="4">
        <v>45339</v>
      </c>
      <c r="C335" s="3"/>
      <c r="D335" s="3"/>
      <c r="E335" s="3" t="s">
        <v>453</v>
      </c>
      <c r="F335" s="3">
        <v>4</v>
      </c>
    </row>
    <row r="336" spans="1:6" x14ac:dyDescent="0.3">
      <c r="A336" s="3"/>
      <c r="B336" s="4">
        <v>45340</v>
      </c>
      <c r="C336" s="3"/>
      <c r="D336" s="3"/>
      <c r="E336" s="3"/>
      <c r="F336" s="3"/>
    </row>
    <row r="337" spans="1:6" x14ac:dyDescent="0.3">
      <c r="A337" s="3"/>
      <c r="B337" s="4">
        <v>45341</v>
      </c>
      <c r="C337" s="3"/>
      <c r="D337" s="3"/>
      <c r="E337" s="3"/>
      <c r="F337" s="3"/>
    </row>
    <row r="338" spans="1:6" x14ac:dyDescent="0.3">
      <c r="A338" s="3"/>
      <c r="B338" s="4">
        <v>45342</v>
      </c>
      <c r="C338" s="3"/>
      <c r="D338" s="3"/>
      <c r="E338" s="3"/>
      <c r="F338" s="3"/>
    </row>
    <row r="339" spans="1:6" x14ac:dyDescent="0.3">
      <c r="A339" s="3"/>
      <c r="B339" s="4">
        <v>45343</v>
      </c>
      <c r="C339" s="3"/>
      <c r="D339" s="3"/>
      <c r="E339" s="3"/>
      <c r="F339" s="3"/>
    </row>
    <row r="340" spans="1:6" x14ac:dyDescent="0.3">
      <c r="A340" s="3"/>
      <c r="B340" s="4">
        <v>45344</v>
      </c>
      <c r="C340" s="3"/>
      <c r="D340" s="3"/>
      <c r="E340" s="3"/>
      <c r="F340" s="3"/>
    </row>
    <row r="341" spans="1:6" x14ac:dyDescent="0.3">
      <c r="E341"/>
    </row>
  </sheetData>
  <mergeCells count="11">
    <mergeCell ref="A332:F332"/>
    <mergeCell ref="A305:F305"/>
    <mergeCell ref="A291:F291"/>
    <mergeCell ref="A276:F276"/>
    <mergeCell ref="A261:F261"/>
    <mergeCell ref="A234:F234"/>
    <mergeCell ref="A1:D1"/>
    <mergeCell ref="A32:F32"/>
    <mergeCell ref="A61:F61"/>
    <mergeCell ref="A188:F188"/>
    <mergeCell ref="A213:F213"/>
  </mergeCells>
  <pageMargins left="0.7" right="0.7" top="0.75" bottom="0.75" header="0.3" footer="0.3"/>
  <pageSetup orientation="portrait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tabSelected="1" workbookViewId="0">
      <selection activeCell="B14" sqref="B14"/>
    </sheetView>
  </sheetViews>
  <sheetFormatPr defaultRowHeight="14.4" x14ac:dyDescent="0.3"/>
  <cols>
    <col min="3" max="3" width="29.33203125" bestFit="1" customWidth="1"/>
    <col min="4" max="4" width="11.44140625" bestFit="1" customWidth="1"/>
    <col min="5" max="5" width="18.33203125" bestFit="1" customWidth="1"/>
    <col min="6" max="6" width="10.109375" bestFit="1" customWidth="1"/>
  </cols>
  <sheetData>
    <row r="1" spans="1:11" ht="20.399999999999999" x14ac:dyDescent="0.35">
      <c r="A1" s="49" t="s">
        <v>451</v>
      </c>
      <c r="B1" s="50"/>
      <c r="C1" s="50"/>
      <c r="D1" s="50"/>
      <c r="E1" s="50"/>
      <c r="F1" s="51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3">
      <c r="A3" s="3">
        <v>1</v>
      </c>
      <c r="B3" s="4">
        <v>45308</v>
      </c>
      <c r="C3" s="3" t="s">
        <v>146</v>
      </c>
      <c r="D3" s="3" t="s">
        <v>130</v>
      </c>
      <c r="E3" s="3">
        <v>60</v>
      </c>
      <c r="F3" s="3"/>
    </row>
    <row r="4" spans="1:11" x14ac:dyDescent="0.3">
      <c r="A4" s="3">
        <v>2</v>
      </c>
      <c r="B4" s="4">
        <v>45310</v>
      </c>
      <c r="C4" s="3" t="s">
        <v>146</v>
      </c>
      <c r="D4" s="3" t="s">
        <v>130</v>
      </c>
      <c r="E4" s="3">
        <v>20</v>
      </c>
      <c r="F4" s="3"/>
    </row>
    <row r="5" spans="1:11" x14ac:dyDescent="0.3">
      <c r="A5" s="3">
        <v>3</v>
      </c>
      <c r="B5" s="4">
        <v>45312</v>
      </c>
      <c r="C5" s="3" t="s">
        <v>146</v>
      </c>
      <c r="D5" s="3" t="s">
        <v>130</v>
      </c>
      <c r="E5" s="3">
        <v>23</v>
      </c>
      <c r="F5" s="3"/>
    </row>
    <row r="6" spans="1:11" x14ac:dyDescent="0.3">
      <c r="A6" s="3">
        <v>4</v>
      </c>
      <c r="B6" s="4">
        <v>45314</v>
      </c>
      <c r="C6" s="3" t="s">
        <v>146</v>
      </c>
      <c r="D6" s="3" t="s">
        <v>130</v>
      </c>
      <c r="E6" s="3">
        <v>156</v>
      </c>
      <c r="F6" s="3"/>
    </row>
    <row r="7" spans="1:11" x14ac:dyDescent="0.3">
      <c r="A7" s="3">
        <v>5</v>
      </c>
      <c r="B7" s="4">
        <v>45317</v>
      </c>
      <c r="C7" s="3" t="s">
        <v>146</v>
      </c>
      <c r="D7" s="3" t="s">
        <v>130</v>
      </c>
      <c r="E7" s="3">
        <v>10</v>
      </c>
      <c r="F7" s="3"/>
    </row>
    <row r="8" spans="1:11" x14ac:dyDescent="0.3">
      <c r="A8" s="3">
        <v>6</v>
      </c>
      <c r="B8" s="4">
        <v>45365</v>
      </c>
      <c r="C8" s="3" t="s">
        <v>146</v>
      </c>
      <c r="D8" s="3" t="s">
        <v>130</v>
      </c>
      <c r="E8" s="3">
        <v>15</v>
      </c>
      <c r="F8" s="3"/>
    </row>
    <row r="9" spans="1:11" x14ac:dyDescent="0.3">
      <c r="A9" s="3">
        <v>7</v>
      </c>
      <c r="B9" s="4">
        <v>45368</v>
      </c>
      <c r="C9" s="17" t="s">
        <v>146</v>
      </c>
      <c r="D9" s="3" t="s">
        <v>130</v>
      </c>
      <c r="E9" s="3">
        <v>20</v>
      </c>
      <c r="F9" s="3"/>
    </row>
    <row r="10" spans="1:11" x14ac:dyDescent="0.3">
      <c r="A10" s="59" t="s">
        <v>452</v>
      </c>
      <c r="B10" s="60"/>
      <c r="C10" s="61"/>
      <c r="D10" s="30"/>
      <c r="E10" s="30">
        <f>E3+E4+E5+E6+E7+E8+E9</f>
        <v>304</v>
      </c>
      <c r="F10" s="18"/>
      <c r="I10" t="s">
        <v>455</v>
      </c>
    </row>
    <row r="11" spans="1:11" ht="15" thickBot="1" x14ac:dyDescent="0.35">
      <c r="K11" t="s">
        <v>149</v>
      </c>
    </row>
    <row r="12" spans="1:11" ht="25.2" x14ac:dyDescent="0.6">
      <c r="A12" s="32" t="s">
        <v>450</v>
      </c>
      <c r="B12" s="33"/>
      <c r="C12" s="33"/>
      <c r="D12" s="33"/>
      <c r="E12" s="33"/>
      <c r="F12" s="34"/>
    </row>
    <row r="13" spans="1:11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11" x14ac:dyDescent="0.3">
      <c r="A14" s="3">
        <v>1</v>
      </c>
      <c r="B14" s="4">
        <v>45310</v>
      </c>
      <c r="C14" s="3" t="s">
        <v>133</v>
      </c>
      <c r="D14" s="3" t="s">
        <v>138</v>
      </c>
      <c r="E14" s="3">
        <v>20</v>
      </c>
      <c r="F14" s="3"/>
    </row>
    <row r="15" spans="1:11" x14ac:dyDescent="0.3">
      <c r="A15" s="3">
        <v>2</v>
      </c>
      <c r="B15" s="4">
        <v>45314</v>
      </c>
      <c r="C15" s="3" t="s">
        <v>133</v>
      </c>
      <c r="D15" s="3" t="s">
        <v>138</v>
      </c>
      <c r="E15" s="3">
        <v>195</v>
      </c>
      <c r="F15" s="3"/>
    </row>
    <row r="16" spans="1:11" x14ac:dyDescent="0.3">
      <c r="A16" s="3">
        <v>3</v>
      </c>
      <c r="B16" s="4">
        <v>45368</v>
      </c>
      <c r="C16" s="3" t="s">
        <v>133</v>
      </c>
      <c r="D16" s="3" t="s">
        <v>138</v>
      </c>
      <c r="E16" s="3">
        <v>7</v>
      </c>
      <c r="F16" s="3"/>
    </row>
    <row r="17" spans="1:6" x14ac:dyDescent="0.3">
      <c r="A17" s="59" t="s">
        <v>452</v>
      </c>
      <c r="B17" s="60"/>
      <c r="C17" s="61"/>
      <c r="D17" s="30"/>
      <c r="E17" s="30">
        <f>E14+E15+E16</f>
        <v>222</v>
      </c>
      <c r="F17" s="18"/>
    </row>
    <row r="18" spans="1:6" ht="15" thickBot="1" x14ac:dyDescent="0.35"/>
    <row r="19" spans="1:6" ht="25.2" x14ac:dyDescent="0.6">
      <c r="A19" s="32" t="s">
        <v>235</v>
      </c>
      <c r="B19" s="33"/>
      <c r="C19" s="33"/>
      <c r="D19" s="33"/>
      <c r="E19" s="33"/>
      <c r="F19" s="34"/>
    </row>
    <row r="20" spans="1:6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3">
      <c r="A21" s="3">
        <v>1</v>
      </c>
      <c r="B21" s="4">
        <v>45310</v>
      </c>
      <c r="C21" s="3" t="s">
        <v>133</v>
      </c>
      <c r="D21" s="3" t="s">
        <v>85</v>
      </c>
      <c r="E21" s="3">
        <v>10</v>
      </c>
      <c r="F21" s="2"/>
    </row>
    <row r="22" spans="1:6" x14ac:dyDescent="0.3">
      <c r="A22" s="3">
        <v>2</v>
      </c>
      <c r="B22" s="4">
        <v>45317</v>
      </c>
      <c r="C22" s="3" t="s">
        <v>133</v>
      </c>
      <c r="D22" s="3" t="s">
        <v>85</v>
      </c>
      <c r="E22" s="3">
        <v>3</v>
      </c>
      <c r="F22" s="2"/>
    </row>
    <row r="23" spans="1:6" x14ac:dyDescent="0.3">
      <c r="A23" s="3">
        <v>3</v>
      </c>
      <c r="B23" s="4">
        <v>45365</v>
      </c>
      <c r="C23" s="3" t="s">
        <v>133</v>
      </c>
      <c r="D23" s="3" t="s">
        <v>454</v>
      </c>
      <c r="E23" s="3">
        <v>3</v>
      </c>
      <c r="F23" s="2"/>
    </row>
    <row r="24" spans="1:6" x14ac:dyDescent="0.3">
      <c r="A24" s="3"/>
      <c r="B24" s="4"/>
      <c r="C24" s="3"/>
      <c r="D24" s="3"/>
      <c r="E24" s="3"/>
      <c r="F24" s="2"/>
    </row>
    <row r="25" spans="1:6" x14ac:dyDescent="0.3">
      <c r="A25" s="59" t="s">
        <v>452</v>
      </c>
      <c r="B25" s="60"/>
      <c r="C25" s="61"/>
      <c r="D25" s="30"/>
      <c r="E25" s="30">
        <f>E21+E22+E23</f>
        <v>16</v>
      </c>
      <c r="F25" s="31"/>
    </row>
  </sheetData>
  <mergeCells count="6">
    <mergeCell ref="A25:C25"/>
    <mergeCell ref="A1:F1"/>
    <mergeCell ref="A12:F12"/>
    <mergeCell ref="A19:F19"/>
    <mergeCell ref="A17:C17"/>
    <mergeCell ref="A10:C1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CEMENT</vt:lpstr>
      <vt:lpstr>BRICKS</vt:lpstr>
      <vt:lpstr>TMT</vt:lpstr>
      <vt:lpstr>STONE</vt:lpstr>
      <vt:lpstr>SAND</vt:lpstr>
      <vt:lpstr>HARDWARE</vt:lpstr>
      <vt:lpstr>LABOUR </vt:lpstr>
      <vt:lpstr>CLUB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cp:lastPrinted>2024-03-15T05:57:53Z</cp:lastPrinted>
  <dcterms:created xsi:type="dcterms:W3CDTF">2022-11-22T06:10:27Z</dcterms:created>
  <dcterms:modified xsi:type="dcterms:W3CDTF">2026-07-09T07:18:42Z</dcterms:modified>
</cp:coreProperties>
</file>