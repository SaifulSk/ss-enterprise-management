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768f2b66d3ccfa/Desktop/SANJU WORK/AUSTIN ALL/"/>
    </mc:Choice>
  </mc:AlternateContent>
  <xr:revisionPtr revIDLastSave="620" documentId="13_ncr:1_{DCB9DBC0-CC70-4134-9374-C952FD8F0F62}" xr6:coauthVersionLast="47" xr6:coauthVersionMax="47" xr10:uidLastSave="{BAE30009-DDA7-4D4D-B7E0-B4A8522C50B1}"/>
  <bookViews>
    <workbookView xWindow="-108" yWindow="-108" windowWidth="23256" windowHeight="12456" xr2:uid="{00000000-000D-0000-FFFF-FFFF00000000}"/>
  </bookViews>
  <sheets>
    <sheet name="LABOUR" sheetId="8" r:id="rId1"/>
    <sheet name="CEMENT" sheetId="1" r:id="rId2"/>
    <sheet name="TMT" sheetId="2" r:id="rId3"/>
    <sheet name="SAND" sheetId="3" r:id="rId4"/>
    <sheet name="STONE" sheetId="4" r:id="rId5"/>
    <sheet name="BRICKS" sheetId="5" r:id="rId6"/>
    <sheet name="Sheet1" sheetId="6" r:id="rId7"/>
    <sheet name="NEW" sheetId="7" r:id="rId8"/>
    <sheet name="Sheet3" sheetId="10" state="hidden" r:id="rId9"/>
    <sheet name="Sheet2" sheetId="11" state="hidden" r:id="rId10"/>
    <sheet name="JCB WORK" sheetId="12" r:id="rId11"/>
    <sheet name="Sheet4" sheetId="13" r:id="rId12"/>
    <sheet name="Sheet5" sheetId="14" r:id="rId13"/>
  </sheets>
  <definedNames>
    <definedName name="_xlnm._FilterDatabase" localSheetId="3" hidden="1">SAND!$A$1:$L$80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5" i="8" l="1"/>
  <c r="F38" i="14" l="1"/>
  <c r="F37" i="14"/>
  <c r="F36" i="14"/>
  <c r="D32" i="14"/>
  <c r="D88" i="2"/>
  <c r="F39" i="14" l="1"/>
  <c r="C10" i="13"/>
  <c r="C8" i="13"/>
  <c r="F18" i="14"/>
  <c r="F17" i="14"/>
  <c r="F16" i="14"/>
  <c r="K12" i="14"/>
  <c r="D12" i="14"/>
  <c r="F19" i="14" l="1"/>
  <c r="F16" i="13"/>
  <c r="F15" i="13"/>
  <c r="F12" i="13"/>
  <c r="F5" i="13"/>
  <c r="F6" i="13"/>
  <c r="F7" i="13"/>
  <c r="F8" i="13"/>
  <c r="F9" i="13"/>
  <c r="F10" i="13"/>
  <c r="F4" i="13"/>
  <c r="C12" i="6"/>
  <c r="M21" i="2"/>
  <c r="H39" i="4"/>
  <c r="I39" i="3"/>
  <c r="E15" i="1"/>
  <c r="E6" i="1"/>
  <c r="F14" i="13" l="1"/>
  <c r="F17" i="13" s="1"/>
  <c r="F19" i="13" s="1"/>
</calcChain>
</file>

<file path=xl/sharedStrings.xml><?xml version="1.0" encoding="utf-8"?>
<sst xmlns="http://schemas.openxmlformats.org/spreadsheetml/2006/main" count="1490" uniqueCount="477">
  <si>
    <t>CEMENT (MAY)</t>
  </si>
  <si>
    <t xml:space="preserve">SR NO </t>
  </si>
  <si>
    <t>DATE</t>
  </si>
  <si>
    <t>FROM WHERE TO WHERE</t>
  </si>
  <si>
    <t>BRAND</t>
  </si>
  <si>
    <t xml:space="preserve"> DETAILS (BAG)</t>
  </si>
  <si>
    <t>JSW</t>
  </si>
  <si>
    <t>OFFICE TO AUSTINE PLY</t>
  </si>
  <si>
    <t>AUSTIN TO SASTITALA</t>
  </si>
  <si>
    <t>CEMENT (JUNE)</t>
  </si>
  <si>
    <t xml:space="preserve">ULTRATECH </t>
  </si>
  <si>
    <t>BANSAL TO AUSTINE</t>
  </si>
  <si>
    <t>TMT(MAY)</t>
  </si>
  <si>
    <t>BRAND (SIZE)</t>
  </si>
  <si>
    <t xml:space="preserve"> DETAILS (PCS)</t>
  </si>
  <si>
    <t>8 MM (8 BANDLE)</t>
  </si>
  <si>
    <t>BISHNUPUR TO AUSTIN (BSP)</t>
  </si>
  <si>
    <t>12 MM (1 BANDLE)</t>
  </si>
  <si>
    <t>SAND(MAY)</t>
  </si>
  <si>
    <t xml:space="preserve"> DETAILS (FT)</t>
  </si>
  <si>
    <t>SAND</t>
  </si>
  <si>
    <t>2 TRIP</t>
  </si>
  <si>
    <t>JIYA TO BSP</t>
  </si>
  <si>
    <t>1 TRIP</t>
  </si>
  <si>
    <t>CORE SAND</t>
  </si>
  <si>
    <t>SAND(JUNE)</t>
  </si>
  <si>
    <t>BANSAL TO AUSTINE PLY</t>
  </si>
  <si>
    <t>STONE(MAY)</t>
  </si>
  <si>
    <t>SIZE</t>
  </si>
  <si>
    <t xml:space="preserve"> DETAILS (KG)</t>
  </si>
  <si>
    <t>5*8</t>
  </si>
  <si>
    <t>250 CFT</t>
  </si>
  <si>
    <t>STONE(JUNE)</t>
  </si>
  <si>
    <t>BRICKS(JUNE)</t>
  </si>
  <si>
    <t xml:space="preserve">AUSTIN PLY TO OFFICE </t>
  </si>
  <si>
    <t>RAJU TEMPO</t>
  </si>
  <si>
    <t>1 TRIP (180PCS)</t>
  </si>
  <si>
    <t>25 BAG (1 TRIP)</t>
  </si>
  <si>
    <t>AUSTIN</t>
  </si>
  <si>
    <t>BANSAL TO AUSTIN</t>
  </si>
  <si>
    <t>SAND(JULY)</t>
  </si>
  <si>
    <t>STONE(JULY)</t>
  </si>
  <si>
    <t xml:space="preserve">BANSAL TO AUSTINE </t>
  </si>
  <si>
    <t>CEMENT (JULY)</t>
  </si>
  <si>
    <t>AUSTIN PLY</t>
  </si>
  <si>
    <t>M.SAND</t>
  </si>
  <si>
    <t>550 CFT</t>
  </si>
  <si>
    <t>CEMENT (AUG)</t>
  </si>
  <si>
    <t xml:space="preserve">BANSAL TO AUSTIN </t>
  </si>
  <si>
    <t>SAND(AUG)</t>
  </si>
  <si>
    <t xml:space="preserve">BANSAL TO AUTIN </t>
  </si>
  <si>
    <t>STONE(AUG)</t>
  </si>
  <si>
    <t>BRICKS(AUG)</t>
  </si>
  <si>
    <t xml:space="preserve">AUSTIN TO AUSITN </t>
  </si>
  <si>
    <t>RUBISH - RAJU TEMPO</t>
  </si>
  <si>
    <t>TMT(AUG)</t>
  </si>
  <si>
    <t xml:space="preserve">SS OFFICE TO AUSTIN </t>
  </si>
  <si>
    <t>8MM</t>
  </si>
  <si>
    <t>21P</t>
  </si>
  <si>
    <t>10MM</t>
  </si>
  <si>
    <t>5P</t>
  </si>
  <si>
    <t>AUSTIN TMT PURCHASE</t>
  </si>
  <si>
    <t>36P</t>
  </si>
  <si>
    <t>R.S-13068</t>
  </si>
  <si>
    <t>SS OFFICE TO AUSTIN</t>
  </si>
  <si>
    <t>25 BAG</t>
  </si>
  <si>
    <t>4 TRIP</t>
  </si>
  <si>
    <t>RUBISH - 2 TRIP</t>
  </si>
  <si>
    <t>75 BAG</t>
  </si>
  <si>
    <t>2 TRIP - 50 BAG</t>
  </si>
  <si>
    <t>300 P - TRIP</t>
  </si>
  <si>
    <t>SALAPURIA TO AUSTIN</t>
  </si>
  <si>
    <t>RUBISH 4 TRIP RAJU TEMPO</t>
  </si>
  <si>
    <t xml:space="preserve">AUSTIN TO BANSAL RETURN </t>
  </si>
  <si>
    <t>10 BAG</t>
  </si>
  <si>
    <t xml:space="preserve">AUSTIN TO BANSAL </t>
  </si>
  <si>
    <t>SAND(SEP)</t>
  </si>
  <si>
    <t>9 BAG</t>
  </si>
  <si>
    <t>STONE(SEP)</t>
  </si>
  <si>
    <t>12 BAG</t>
  </si>
  <si>
    <t>CEMENT (SEP)</t>
  </si>
  <si>
    <t>4 BAG</t>
  </si>
  <si>
    <t>TMT(SEP)</t>
  </si>
  <si>
    <t>12 MM</t>
  </si>
  <si>
    <t xml:space="preserve"> TMT BIM (FIT)</t>
  </si>
  <si>
    <t>2P</t>
  </si>
  <si>
    <t>287 BAG</t>
  </si>
  <si>
    <t>980 PCS</t>
  </si>
  <si>
    <t>7 TRIP RUBISH</t>
  </si>
  <si>
    <t>201 BAG</t>
  </si>
  <si>
    <t xml:space="preserve"> TOTAL</t>
  </si>
  <si>
    <t>12MM</t>
  </si>
  <si>
    <t>10 MM</t>
  </si>
  <si>
    <t>12 MM BIM</t>
  </si>
  <si>
    <t>249P</t>
  </si>
  <si>
    <t xml:space="preserve"> 350 PER BAG</t>
  </si>
  <si>
    <t xml:space="preserve">TOTAL </t>
  </si>
  <si>
    <t>374 BAG</t>
  </si>
  <si>
    <t>27000 KG</t>
  </si>
  <si>
    <t>13500 KG</t>
  </si>
  <si>
    <t>TOTAL</t>
  </si>
  <si>
    <t xml:space="preserve">CIVIL  WORK </t>
  </si>
  <si>
    <t xml:space="preserve">LABOUR </t>
  </si>
  <si>
    <t xml:space="preserve">IRON </t>
  </si>
  <si>
    <t xml:space="preserve">HARD WARE </t>
  </si>
  <si>
    <t xml:space="preserve">MATERIALS </t>
  </si>
  <si>
    <t xml:space="preserve">OTHER'S WORK  </t>
  </si>
  <si>
    <t>EXPENCES</t>
  </si>
  <si>
    <t>TILL</t>
  </si>
  <si>
    <t xml:space="preserve">RED SAND </t>
  </si>
  <si>
    <t>600CFT</t>
  </si>
  <si>
    <t>AUSTIN PLY (WB41E3781)</t>
  </si>
  <si>
    <t>AUSTIN PLY (WB53C1416)</t>
  </si>
  <si>
    <t>25970 KGS</t>
  </si>
  <si>
    <t>2 BAG</t>
  </si>
  <si>
    <t>BRICKS(SEP)</t>
  </si>
  <si>
    <t xml:space="preserve">SASTITALA TO AUSTIN </t>
  </si>
  <si>
    <t>3 TRIP</t>
  </si>
  <si>
    <t xml:space="preserve">SALAPURIA TO AUSTIN CEMENT </t>
  </si>
  <si>
    <t>5 TRIP</t>
  </si>
  <si>
    <t xml:space="preserve">AUSTIN TO SALAPURIA RETURN </t>
  </si>
  <si>
    <t xml:space="preserve">AUSTIN PLY </t>
  </si>
  <si>
    <t>SLIVER SAND</t>
  </si>
  <si>
    <t>400 CFT</t>
  </si>
  <si>
    <t xml:space="preserve">AUSTIN TO AMTALA HOSPITAL </t>
  </si>
  <si>
    <t>RED SAND</t>
  </si>
  <si>
    <t>HALF CAR</t>
  </si>
  <si>
    <t>14 BAG</t>
  </si>
  <si>
    <t>DATE - 7/10/22</t>
  </si>
  <si>
    <t>TILL DATE</t>
  </si>
  <si>
    <t>TMT(JAN - 2023)</t>
  </si>
  <si>
    <t>PLATE</t>
  </si>
  <si>
    <t>6MM -7P-1932KG</t>
  </si>
  <si>
    <t>8MM-3P-603KG</t>
  </si>
  <si>
    <t>12MM-1P-330KG</t>
  </si>
  <si>
    <t>CHANNEL</t>
  </si>
  <si>
    <t>100*50-5P-290KG</t>
  </si>
  <si>
    <t>75*40-13P-567KG</t>
  </si>
  <si>
    <t>40*8-42P-644KG</t>
  </si>
  <si>
    <t>80*40-36P-1544KG</t>
  </si>
  <si>
    <t>PIPE</t>
  </si>
  <si>
    <t>FLAT</t>
  </si>
  <si>
    <t>SHREE LAXMI IRON TO AUSTIN PLY(WB19F-9994)</t>
  </si>
  <si>
    <t>SR NO</t>
  </si>
  <si>
    <t xml:space="preserve">DATE </t>
  </si>
  <si>
    <t>LABOUR</t>
  </si>
  <si>
    <t xml:space="preserve">SITE </t>
  </si>
  <si>
    <t xml:space="preserve"> LABOUR NEW 2023</t>
  </si>
  <si>
    <t>SARFUDDIN + 1 , INJA +2</t>
  </si>
  <si>
    <t xml:space="preserve">SARFUDDIN + 1 </t>
  </si>
  <si>
    <t>SARFUDDIN + 1 , INJA +1</t>
  </si>
  <si>
    <t>SARFUDDIN</t>
  </si>
  <si>
    <t>SAND(FEB)2023</t>
  </si>
  <si>
    <t>SALAPURIA TO AUSTIN PLY</t>
  </si>
  <si>
    <t>CEMENT (FEB)</t>
  </si>
  <si>
    <t xml:space="preserve">SALAPURIA TO AUSTIN </t>
  </si>
  <si>
    <t>STONE(FEB)</t>
  </si>
  <si>
    <t>TMT(feb- 2023)</t>
  </si>
  <si>
    <t>salapuria to austin</t>
  </si>
  <si>
    <t>16 ft -5p</t>
  </si>
  <si>
    <t>5 ft - 32p</t>
  </si>
  <si>
    <t>TMT(MAR- 2023)</t>
  </si>
  <si>
    <t>30P</t>
  </si>
  <si>
    <t>BRICKS(MAR -2023)</t>
  </si>
  <si>
    <t>200P</t>
  </si>
  <si>
    <t>SAND(MAR)2023</t>
  </si>
  <si>
    <t>CEMENT (MAR)</t>
  </si>
  <si>
    <t>ULTRATECH</t>
  </si>
  <si>
    <t>11 BAG</t>
  </si>
  <si>
    <t xml:space="preserve"> AUSTIN  TO SALAPURIA RETURN</t>
  </si>
  <si>
    <t xml:space="preserve"> AUSTIN TO SALAPURIA RETURN </t>
  </si>
  <si>
    <t xml:space="preserve">RINKU BUILDERS TO AUSTIN PLY </t>
  </si>
  <si>
    <t>DALMIA</t>
  </si>
  <si>
    <t xml:space="preserve">RINKU BUILDER TO AUSTIN PLY </t>
  </si>
  <si>
    <t>R.T</t>
  </si>
  <si>
    <t xml:space="preserve">RINKU BUILDER AUSTIN </t>
  </si>
  <si>
    <t>BRICK</t>
  </si>
  <si>
    <t xml:space="preserve">R.T </t>
  </si>
  <si>
    <t>SS OFFICE TO AUSTIN PLY</t>
  </si>
  <si>
    <t>BRAND (BAG)</t>
  </si>
  <si>
    <t>CEMENT (APRIL)</t>
  </si>
  <si>
    <t>SAND(APRIL)2023</t>
  </si>
  <si>
    <t>STONE(MAR)</t>
  </si>
  <si>
    <t>STONE(APRIL)</t>
  </si>
  <si>
    <t>RINKU TO AUSTIN</t>
  </si>
  <si>
    <t>BRICKS(APRIL -2023)</t>
  </si>
  <si>
    <t>1/2"</t>
  </si>
  <si>
    <t>AUSTIN TO SANTINIR PROJECT</t>
  </si>
  <si>
    <t xml:space="preserve">AUSTIN TO SANTINIR PROJECT </t>
  </si>
  <si>
    <t>1 BAG</t>
  </si>
  <si>
    <t xml:space="preserve">SAND </t>
  </si>
  <si>
    <t>CEMENT (JULY-2023)</t>
  </si>
  <si>
    <t>GREEN PLY TO AUSTIN PLY</t>
  </si>
  <si>
    <t>TMT(JULY- 2023)</t>
  </si>
  <si>
    <t>8 MM</t>
  </si>
  <si>
    <t>5 BUNDLE</t>
  </si>
  <si>
    <t>WOOD CUTTER-1P,KEY-1P, RANGE -1P</t>
  </si>
  <si>
    <t>STONE(JULY-2023)</t>
  </si>
  <si>
    <t>SANTINIR TO AUSTIN</t>
  </si>
  <si>
    <t>SAND(JULY-2023)</t>
  </si>
  <si>
    <t xml:space="preserve">SANTINIR TO AUSTIN PLY </t>
  </si>
  <si>
    <t>BRICKS(JULY -2023)</t>
  </si>
  <si>
    <t>4P</t>
  </si>
  <si>
    <t>2 BUNDLE</t>
  </si>
  <si>
    <t>30 CFT</t>
  </si>
  <si>
    <t>CEMENT (AUG-2023)</t>
  </si>
  <si>
    <t>SAND(AUG-2023)</t>
  </si>
  <si>
    <t>STONE(AUG-2023)</t>
  </si>
  <si>
    <t>BRICKS(AUG -2023)</t>
  </si>
  <si>
    <t>TMT(AUG- 2023)</t>
  </si>
  <si>
    <t>2BUNDLE &amp; 2P</t>
  </si>
  <si>
    <t>2.5KG BAINDING WIRE</t>
  </si>
  <si>
    <t>CEMENT (SEP-2023)</t>
  </si>
  <si>
    <t>SAND(SEP-2023)</t>
  </si>
  <si>
    <t xml:space="preserve">OFFICE TO AUSTIN PLY </t>
  </si>
  <si>
    <t>STONE(SEP-2023)</t>
  </si>
  <si>
    <t>1*2</t>
  </si>
  <si>
    <t>BRICKS(SEP -2023)</t>
  </si>
  <si>
    <t xml:space="preserve">AUSTIN IN </t>
  </si>
  <si>
    <t>BATS</t>
  </si>
  <si>
    <t>819 CFT</t>
  </si>
  <si>
    <t>BRICKS(OCT-2023)</t>
  </si>
  <si>
    <t>SAND(OCT-2023)</t>
  </si>
  <si>
    <t>CEMENT (OCT-2023)</t>
  </si>
  <si>
    <t>STONE(OCT-2023)</t>
  </si>
  <si>
    <t>TMT(OCT- 2023)</t>
  </si>
  <si>
    <t xml:space="preserve">BISHNUPUR TO AUSTIN PLY </t>
  </si>
  <si>
    <t>4 BUNDLE</t>
  </si>
  <si>
    <t xml:space="preserve">10 MM </t>
  </si>
  <si>
    <t xml:space="preserve">BISHNUPUR TO AUSTIN </t>
  </si>
  <si>
    <t>180 CFT</t>
  </si>
  <si>
    <t>AUSTIN PLY (10 X 6 X 3)</t>
  </si>
  <si>
    <t>WB41D9133</t>
  </si>
  <si>
    <t>CASH PURCHASE</t>
  </si>
  <si>
    <t>RAJARHAT TO AUSTIN</t>
  </si>
  <si>
    <t>STONE(AUG-2024)</t>
  </si>
  <si>
    <t>SAND(AUG-2024)</t>
  </si>
  <si>
    <t>CEMENT</t>
  </si>
  <si>
    <t>LNB TO AUSTIN</t>
  </si>
  <si>
    <t>-</t>
  </si>
  <si>
    <t>Lab Feb - 2026</t>
  </si>
  <si>
    <t>Sudhir,Saifuddin</t>
  </si>
  <si>
    <t>Sudhir,Saifuddin,Hanif + 1</t>
  </si>
  <si>
    <t>no</t>
  </si>
  <si>
    <t>Saifuddin</t>
  </si>
  <si>
    <t>Saifuddin,Sabir,Prallad - 1</t>
  </si>
  <si>
    <t>Mizanur M-1,L-1,Prallad L-1,Sabir,Sudhir,Sarfuddin,Samsuddin</t>
  </si>
  <si>
    <t>Sudhir,Saifuddin,Samsuddin</t>
  </si>
  <si>
    <t>BRICKS - 2026</t>
  </si>
  <si>
    <t>Sp to Austin</t>
  </si>
  <si>
    <t>Sp To Austin</t>
  </si>
  <si>
    <t>STONE 2026</t>
  </si>
  <si>
    <t>SAND 2026</t>
  </si>
  <si>
    <t xml:space="preserve">Rinku to Austin </t>
  </si>
  <si>
    <t>SP  TO BSP</t>
  </si>
  <si>
    <t>GP  TO BSP</t>
  </si>
  <si>
    <t>Sudhir,Saifuddin,Samsuddin,PRALLAD L-2</t>
  </si>
  <si>
    <t>TMT &amp; OTHER'S</t>
  </si>
  <si>
    <t>Shree Laxmi to Bsp - 78,269</t>
  </si>
  <si>
    <t>Mizanur M-1,L-1,monir kaka + lal l-2</t>
  </si>
  <si>
    <t>prallad l-2,monir kaka+3</t>
  </si>
  <si>
    <t>12MM &amp; 8 MM CUTTING SP TO BSP</t>
  </si>
  <si>
    <t>Mizanur M-1,L-2,monir kaka + 5</t>
  </si>
  <si>
    <t xml:space="preserve">ARUP TO BSP </t>
  </si>
  <si>
    <t>200 CFT</t>
  </si>
  <si>
    <t>Mizanur M-1,L-1,monir kaka + 3</t>
  </si>
  <si>
    <t>Saifuddin,PRADIP M-1,L-3,MONI KAKA &amp; LAL +4</t>
  </si>
  <si>
    <t>Sudhir,Saifuddin,SUBID,PRADIP L-2,MONI KAKA &amp; LAL +2</t>
  </si>
  <si>
    <t>monir kaka + 3</t>
  </si>
  <si>
    <t>Sudhir,Saifuddin,Samsuddin,monir kaka + 3</t>
  </si>
  <si>
    <t>Saifuddin,Samsuddin,monir kaka + 4</t>
  </si>
  <si>
    <t xml:space="preserve">TAPOS TO BSP </t>
  </si>
  <si>
    <t>Saifuddin,PRADIP M-1, L-2,MONI KAKA +5</t>
  </si>
  <si>
    <t>SUDHIR,SUBID,MONI KAKA +5</t>
  </si>
  <si>
    <t>Sudhir</t>
  </si>
  <si>
    <t>sudhir,sarfuddin,monir kaka + 4</t>
  </si>
  <si>
    <t>sudhir,monir kaka + 3</t>
  </si>
  <si>
    <t>sudhir,mizanur m-1,l-1,monir kaka + 3</t>
  </si>
  <si>
    <t>sudhir,mizanur m-1,l-1,monir kaka + 4</t>
  </si>
  <si>
    <t>sudhir,subid,sarfuddin</t>
  </si>
  <si>
    <t>SL NO</t>
  </si>
  <si>
    <t>DESCRIPTION</t>
  </si>
  <si>
    <t>AMOUNT</t>
  </si>
  <si>
    <t>LIME</t>
  </si>
  <si>
    <t>NAIL</t>
  </si>
  <si>
    <t>PLATE 16MM</t>
  </si>
  <si>
    <t>JOIST/BEAM 200/100</t>
  </si>
  <si>
    <t>PIPE (60X60,60X40,40X40)</t>
  </si>
  <si>
    <t>PRIMER ETC</t>
  </si>
  <si>
    <t>JCB WORK</t>
  </si>
  <si>
    <t xml:space="preserve">NAIL </t>
  </si>
  <si>
    <t xml:space="preserve">WELDING ROD </t>
  </si>
  <si>
    <t>KODAL HANDLE</t>
  </si>
  <si>
    <t>CUTTING BLADE 4"</t>
  </si>
  <si>
    <t xml:space="preserve">NUT BOLT </t>
  </si>
  <si>
    <t xml:space="preserve">CABLE HOLDER </t>
  </si>
  <si>
    <t>RED OXIDE</t>
  </si>
  <si>
    <t>OTHER;'S</t>
  </si>
  <si>
    <t>SP TO BSP</t>
  </si>
  <si>
    <t>COLOUMN &amp; JALI</t>
  </si>
  <si>
    <t>UNIT</t>
  </si>
  <si>
    <t>QTY</t>
  </si>
  <si>
    <t>REMARKS</t>
  </si>
  <si>
    <t xml:space="preserve">Electric Wire </t>
  </si>
  <si>
    <t>Rmt</t>
  </si>
  <si>
    <t>Dhalai Vivator Machine</t>
  </si>
  <si>
    <t>Nos</t>
  </si>
  <si>
    <t>Dhalai Vivator Machine Nozel Pipe</t>
  </si>
  <si>
    <t>Braker Machine</t>
  </si>
  <si>
    <t>Welding Machine</t>
  </si>
  <si>
    <t>Welding Rod</t>
  </si>
  <si>
    <t>Pkt</t>
  </si>
  <si>
    <t>Drill Machine</t>
  </si>
  <si>
    <t>4" Cutting Machine</t>
  </si>
  <si>
    <t>Range &amp; Drill Bit</t>
  </si>
  <si>
    <t>Box</t>
  </si>
  <si>
    <t xml:space="preserve">Water pumping pipe </t>
  </si>
  <si>
    <t>Safty Belt,Nut Bolt &amp; Rope</t>
  </si>
  <si>
    <t xml:space="preserve">14" Chopper Machine </t>
  </si>
  <si>
    <t>Vdf Floor Polish Machine Motor</t>
  </si>
  <si>
    <t>Vdf Floor Polish Machine Motor Handle</t>
  </si>
  <si>
    <t>Vdf Floor Polish Machine Motor Belt &amp; Nut Bolt</t>
  </si>
  <si>
    <t>Vdf Floor Polish Machine Motor Plate</t>
  </si>
  <si>
    <t>Vdf Floor Polish Machine Motor Gurad</t>
  </si>
  <si>
    <t xml:space="preserve">Table &amp; Celling Fan </t>
  </si>
  <si>
    <t>Copy (Khata)</t>
  </si>
  <si>
    <t>List Of Out Materials From Tizit (Greenply) to Kolkata (S S Enterprise)</t>
  </si>
  <si>
    <t>Notes : All materials packing in 23 bag which are checked by Mr. Sahir Alam Mallick and confirm for dispatch (Approx Weight - 300 to 400 Kgs)</t>
  </si>
  <si>
    <t>subid,sarfuddin</t>
  </si>
  <si>
    <t>sudhir</t>
  </si>
  <si>
    <t>sarfuddin,pradip L-1</t>
  </si>
  <si>
    <t>Sudhir,sarfuddin,pradip L-1</t>
  </si>
  <si>
    <t>Sudhir,sarfuddin</t>
  </si>
  <si>
    <t>sudhir,samsuddin,pradip L-1,subid,Prallad half day</t>
  </si>
  <si>
    <t>sudhir,sarfuddin,pradip L-2,subid,Prallad L-1</t>
  </si>
  <si>
    <t>Prallad L-3,Sarfuddin,Sudhir,Subid,Pradip L-1,Mizanur M-1,L-1</t>
  </si>
  <si>
    <t>Mizanur M-1,L-1,Prallad L-3,Pradip L-2,Sarfuddin,Sudhir,Subid</t>
  </si>
  <si>
    <t>Mizanur M-1,L-1,Prallad M-1, L-3,Sudhir</t>
  </si>
  <si>
    <t>Sudhir,Mizanur L-1,Pradip L-2,Lal+4 Head</t>
  </si>
  <si>
    <t>Sudhir,pradip L-2 (All Half Day )</t>
  </si>
  <si>
    <t>Sudhir,Mizanur M-1,L-1,Pradip L-2,Sabir,Prallad L-3</t>
  </si>
  <si>
    <t xml:space="preserve">Sudhir,pradip L-2 </t>
  </si>
  <si>
    <t>Pradip M-1,L-4,Mizanur M-1,L-1,Prallad L-3</t>
  </si>
  <si>
    <t xml:space="preserve">ARUN TO BSP </t>
  </si>
  <si>
    <t>Jcb</t>
  </si>
  <si>
    <t>Remarks</t>
  </si>
  <si>
    <t>Upadhya</t>
  </si>
  <si>
    <t>Sona Da</t>
  </si>
  <si>
    <t>Time</t>
  </si>
  <si>
    <t>8 Hour</t>
  </si>
  <si>
    <t>6 Hour</t>
  </si>
  <si>
    <t>1.5 Hour</t>
  </si>
  <si>
    <t xml:space="preserve">Rollar </t>
  </si>
  <si>
    <t>In</t>
  </si>
  <si>
    <t>Date</t>
  </si>
  <si>
    <t>Amount</t>
  </si>
  <si>
    <t>Payment</t>
  </si>
  <si>
    <t>Oil</t>
  </si>
  <si>
    <t>Jcb+rollar</t>
  </si>
  <si>
    <t>Rollar</t>
  </si>
  <si>
    <t>Jcb &amp; Rollar</t>
  </si>
  <si>
    <t>PRADIP L -5,PRALLAD L-4,MIZANUR M-1,L-1</t>
  </si>
  <si>
    <t>PRADIP L -2,PRALLAD M-1, L-3,MIZANUR M-1,L-1</t>
  </si>
  <si>
    <t>DRAIN SLAB TMT</t>
  </si>
  <si>
    <t>Rollar -New</t>
  </si>
  <si>
    <t>PRADIP L -3,MIZANUR M-1,L-1</t>
  </si>
  <si>
    <t>Gaffer to BSP</t>
  </si>
  <si>
    <t xml:space="preserve"> </t>
  </si>
  <si>
    <t>PRADIP L -2,MIZANUR M-1,L-1</t>
  </si>
  <si>
    <t>PRADIP L -2,Mofijul M-1,L-1</t>
  </si>
  <si>
    <t>Prallad M-1 L -1,Mofijul M-1,L-1</t>
  </si>
  <si>
    <t>PRADIP L -2</t>
  </si>
  <si>
    <t>SUDHIR,MINTU,PRALLAD M-1,L-3,BIPLOB -4</t>
  </si>
  <si>
    <t>5.5 HOUR</t>
  </si>
  <si>
    <t>PRALLAD L -2,PRADIP L -3,BIPLOB - 4</t>
  </si>
  <si>
    <t>5 Hour</t>
  </si>
  <si>
    <t>PRALLAD m-1 L -3,PRADIP L -1,BIPLOB - 4</t>
  </si>
  <si>
    <t>3 Hour</t>
  </si>
  <si>
    <t>PRALLAD L -2,PRADIP L -2,BIPLOB - 4</t>
  </si>
  <si>
    <t>PRALLAD M-1 L -3,PRADIP L -3,BIPLOB - 4</t>
  </si>
  <si>
    <t>PRALLAD M-1 L -1,BIPLOB - 4</t>
  </si>
  <si>
    <t>SUDHIR,PRALLAD L-1,IRON L-3</t>
  </si>
  <si>
    <t>PRALLAD M -1,L-2,SUDHIR</t>
  </si>
  <si>
    <t>BAG</t>
  </si>
  <si>
    <t>STONE</t>
  </si>
  <si>
    <t>PCS</t>
  </si>
  <si>
    <t>LAB</t>
  </si>
  <si>
    <t>HEAD</t>
  </si>
  <si>
    <t>S.SAND</t>
  </si>
  <si>
    <t>CFT</t>
  </si>
  <si>
    <t>TMT</t>
  </si>
  <si>
    <t>KGS</t>
  </si>
  <si>
    <t>RMC</t>
  </si>
  <si>
    <t>CUM</t>
  </si>
  <si>
    <t>JCB</t>
  </si>
  <si>
    <t>HOUR</t>
  </si>
  <si>
    <t xml:space="preserve">ROLLAR </t>
  </si>
  <si>
    <t>DAY</t>
  </si>
  <si>
    <t>MISC</t>
  </si>
  <si>
    <t>Unit</t>
  </si>
  <si>
    <t>Hour</t>
  </si>
  <si>
    <t>Jcb Oil</t>
  </si>
  <si>
    <t>Total Jcb Hour</t>
  </si>
  <si>
    <t>Sl No</t>
  </si>
  <si>
    <t>Total Rollar Hour</t>
  </si>
  <si>
    <t>Total Advs</t>
  </si>
  <si>
    <t>Total oil</t>
  </si>
  <si>
    <t>ROLLAR</t>
  </si>
  <si>
    <t xml:space="preserve">Jcb </t>
  </si>
  <si>
    <t>Rollar Oil</t>
  </si>
  <si>
    <t>Description</t>
  </si>
  <si>
    <t>Qty</t>
  </si>
  <si>
    <t xml:space="preserve">Unit </t>
  </si>
  <si>
    <t xml:space="preserve">Rate </t>
  </si>
  <si>
    <t>Less : Advs</t>
  </si>
  <si>
    <t>Less : Oil</t>
  </si>
  <si>
    <t>Total Due</t>
  </si>
  <si>
    <t xml:space="preserve">Description </t>
  </si>
  <si>
    <t>Rate</t>
  </si>
  <si>
    <t>Austin Work Summary</t>
  </si>
  <si>
    <t xml:space="preserve">Shree Laxmi Iron </t>
  </si>
  <si>
    <t>Biplab Lab</t>
  </si>
  <si>
    <t>Shree Laxmi to Bsp - 40,108</t>
  </si>
  <si>
    <t>Pipe (40x40)</t>
  </si>
  <si>
    <t>Pipe (50x50)</t>
  </si>
  <si>
    <t>Sudhir,Prallad m-1,l-1,anada m-3,l-4</t>
  </si>
  <si>
    <t xml:space="preserve">local TO BSP </t>
  </si>
  <si>
    <t xml:space="preserve">jana to bsp </t>
  </si>
  <si>
    <t>sudhir,prallad l-1,dipankar,anada m-2,l-2</t>
  </si>
  <si>
    <t>dipankar,anada m-3,l-3</t>
  </si>
  <si>
    <t>tmt 8mm</t>
  </si>
  <si>
    <t>ft</t>
  </si>
  <si>
    <t xml:space="preserve">purchase </t>
  </si>
  <si>
    <t>dipankar+1,sudhir,</t>
  </si>
  <si>
    <t>CULVERT TO AUSTIN</t>
  </si>
  <si>
    <t>2BUNDLE</t>
  </si>
  <si>
    <t>ANADA M-3,L-2</t>
  </si>
  <si>
    <t>BIPLAD 4,ANADA M-1,L-2,ALON -6</t>
  </si>
  <si>
    <t>BIPLAD 4,ALON -2,SUDHIR</t>
  </si>
  <si>
    <t>BIPLAD 4,ALON -4,SUDHIR</t>
  </si>
  <si>
    <t>BIPLAD 4,ALON -4,SUDHIR,IRON -3</t>
  </si>
  <si>
    <t>SAIFUDDIN,SUDHIR,ALON L-2,IRON 3</t>
  </si>
  <si>
    <t>SAIFUDDIN,SUDHIR,IRON 3</t>
  </si>
  <si>
    <t>SAIFUDDIN,</t>
  </si>
  <si>
    <t>SUDHIR,ALON L-5,MIJANUR M-1,L-1,PRALLAD L-2</t>
  </si>
  <si>
    <t>SUDHIR,SAIFUDDIN,ALON L-1</t>
  </si>
  <si>
    <t>SUDHIR,IRON 4</t>
  </si>
  <si>
    <t>SUDHIR,SAIFUDDIN</t>
  </si>
  <si>
    <t>No Work</t>
  </si>
  <si>
    <t>Sudhir,Saifuddin,Subid,Mizanur M-1</t>
  </si>
  <si>
    <t>4 Hour</t>
  </si>
  <si>
    <t>New Part</t>
  </si>
  <si>
    <t>Saifuddin,subid,sudhir,prallad L-3,Mijanur M-1.5,L-3</t>
  </si>
  <si>
    <t>Saifuddin,subid,sudhir,prallad L-2,Mijanur M-2,L-3</t>
  </si>
  <si>
    <t>Saifuddin,subir,sudhir</t>
  </si>
  <si>
    <t>Sabir,saifuddin,subid,prallad l-2</t>
  </si>
  <si>
    <t>Sabir,Subid,Prallad L-2,Iron - 2</t>
  </si>
  <si>
    <t>No Photo For Jcb Running</t>
  </si>
  <si>
    <t>Start Time in group 8.00 A.m But no Ending time</t>
  </si>
  <si>
    <t>Jcb Running Sultan Godown - No Photo</t>
  </si>
  <si>
    <t>Working for Samanta</t>
  </si>
  <si>
    <t>As per group footage</t>
  </si>
  <si>
    <t>OIL- Slip R.S - 2,202/-</t>
  </si>
  <si>
    <t xml:space="preserve">Sona Da First Summary </t>
  </si>
  <si>
    <t>Sona Da Second Summary</t>
  </si>
  <si>
    <t>Notes : Sona Da Total Due (First Part + Second Part ) =25,479-13,226 = 12,253/-</t>
  </si>
  <si>
    <t>Sabir,Subid,Prallad L-2</t>
  </si>
  <si>
    <t>Sabir,Subid,Prallad L-2,SARFUDDIN</t>
  </si>
  <si>
    <t>oil</t>
  </si>
  <si>
    <t>Sabir,Subid,Prallad L-4</t>
  </si>
  <si>
    <t>Sabir,Prallad L-2</t>
  </si>
  <si>
    <t>Paver block - 3 ,alim l-2,sudhir</t>
  </si>
  <si>
    <t>alim l-2,sarfuddin,sudhir,paver block - 3, kamal l-3</t>
  </si>
  <si>
    <t>sudhir,sarfuddin,kamal l-4,paver block - 3</t>
  </si>
  <si>
    <t>sudhir,kamal l-4,paver block - 3</t>
  </si>
  <si>
    <t>sudhir,Saifuddin,kamal l-4,paver block - 3</t>
  </si>
  <si>
    <t>sudhir,Saifuddin,kamal 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</si>
</sst>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b/>
      <i/>
      <sz val="16"/>
      <color theme="1"/>
      <name val="Arial Black"/>
      <family val="2"/>
    </font>
    <font>
      <b/>
      <i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22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9" xfId="0" applyFill="1" applyBorder="1" applyAlignment="1">
      <alignment horizontal="center"/>
    </xf>
    <xf numFmtId="14" fontId="0" fillId="2" borderId="7" xfId="0" applyNumberForma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4" fontId="0" fillId="2" borderId="8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2" borderId="8" xfId="0" applyFill="1" applyBorder="1" applyAlignment="1">
      <alignment horizontal="center"/>
    </xf>
    <xf numFmtId="16" fontId="0" fillId="0" borderId="7" xfId="0" applyNumberFormat="1" applyBorder="1" applyAlignment="1">
      <alignment horizontal="center"/>
    </xf>
    <xf numFmtId="14" fontId="0" fillId="0" borderId="7" xfId="0" applyNumberFormat="1" applyBorder="1"/>
    <xf numFmtId="0" fontId="2" fillId="0" borderId="11" xfId="0" applyFont="1" applyBorder="1" applyAlignment="1">
      <alignment horizontal="center"/>
    </xf>
    <xf numFmtId="14" fontId="0" fillId="0" borderId="9" xfId="0" applyNumberFormat="1" applyBorder="1" applyAlignment="1">
      <alignment vertical="center"/>
    </xf>
    <xf numFmtId="14" fontId="0" fillId="2" borderId="7" xfId="0" applyNumberFormat="1" applyFill="1" applyBorder="1"/>
    <xf numFmtId="0" fontId="2" fillId="0" borderId="12" xfId="0" applyFont="1" applyBorder="1" applyAlignment="1">
      <alignment horizontal="center"/>
    </xf>
    <xf numFmtId="0" fontId="0" fillId="0" borderId="7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 vertical="center"/>
    </xf>
    <xf numFmtId="0" fontId="0" fillId="0" borderId="14" xfId="0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left"/>
    </xf>
    <xf numFmtId="43" fontId="0" fillId="0" borderId="0" xfId="1" applyFont="1" applyAlignment="1">
      <alignment horizontal="center"/>
    </xf>
    <xf numFmtId="0" fontId="3" fillId="0" borderId="7" xfId="0" applyFont="1" applyBorder="1" applyAlignment="1">
      <alignment horizontal="center"/>
    </xf>
    <xf numFmtId="14" fontId="0" fillId="0" borderId="0" xfId="0" applyNumberFormat="1"/>
    <xf numFmtId="43" fontId="0" fillId="0" borderId="0" xfId="1" applyFont="1"/>
    <xf numFmtId="43" fontId="0" fillId="0" borderId="7" xfId="1" applyFont="1" applyBorder="1"/>
    <xf numFmtId="0" fontId="3" fillId="0" borderId="7" xfId="0" applyFont="1" applyBorder="1"/>
    <xf numFmtId="43" fontId="3" fillId="0" borderId="7" xfId="0" applyNumberFormat="1" applyFont="1" applyBorder="1"/>
    <xf numFmtId="0" fontId="3" fillId="0" borderId="0" xfId="0" applyFont="1"/>
    <xf numFmtId="0" fontId="3" fillId="3" borderId="7" xfId="0" applyFont="1" applyFill="1" applyBorder="1" applyAlignment="1">
      <alignment horizontal="center"/>
    </xf>
    <xf numFmtId="0" fontId="3" fillId="3" borderId="7" xfId="0" applyFont="1" applyFill="1" applyBorder="1"/>
    <xf numFmtId="43" fontId="3" fillId="3" borderId="7" xfId="1" applyFont="1" applyFill="1" applyBorder="1"/>
    <xf numFmtId="0" fontId="3" fillId="4" borderId="7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7" xfId="0" applyFont="1" applyBorder="1"/>
    <xf numFmtId="0" fontId="12" fillId="0" borderId="0" xfId="0" applyFont="1"/>
    <xf numFmtId="43" fontId="0" fillId="0" borderId="7" xfId="0" applyNumberFormat="1" applyBorder="1"/>
    <xf numFmtId="43" fontId="0" fillId="0" borderId="7" xfId="1" applyFont="1" applyBorder="1" applyAlignment="1">
      <alignment horizontal="center"/>
    </xf>
    <xf numFmtId="43" fontId="3" fillId="3" borderId="7" xfId="0" applyNumberFormat="1" applyFont="1" applyFill="1" applyBorder="1"/>
    <xf numFmtId="0" fontId="3" fillId="5" borderId="7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4" fontId="0" fillId="3" borderId="7" xfId="0" applyNumberFormat="1" applyFill="1" applyBorder="1"/>
    <xf numFmtId="0" fontId="0" fillId="3" borderId="7" xfId="0" applyFill="1" applyBorder="1"/>
    <xf numFmtId="0" fontId="0" fillId="6" borderId="7" xfId="0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3" borderId="0" xfId="0" applyNumberForma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3" fillId="3" borderId="7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B044-CE90-4F6A-822C-DFC22DC1F33D}">
  <dimension ref="A3:J149"/>
  <sheetViews>
    <sheetView tabSelected="1" topLeftCell="A116" workbookViewId="0">
      <selection activeCell="C129" sqref="C129"/>
    </sheetView>
  </sheetViews>
  <sheetFormatPr defaultRowHeight="14.4" x14ac:dyDescent="0.3"/>
  <cols>
    <col min="2" max="2" width="10.33203125" bestFit="1" customWidth="1"/>
    <col min="3" max="3" width="51.5546875" bestFit="1" customWidth="1"/>
  </cols>
  <sheetData>
    <row r="3" spans="1:5" x14ac:dyDescent="0.3">
      <c r="A3" s="71" t="s">
        <v>240</v>
      </c>
      <c r="B3" s="72"/>
      <c r="C3" s="72"/>
      <c r="D3" s="72"/>
      <c r="E3" s="73"/>
    </row>
    <row r="4" spans="1:5" x14ac:dyDescent="0.3">
      <c r="A4" s="5">
        <v>1</v>
      </c>
      <c r="B4" s="25">
        <v>46054</v>
      </c>
      <c r="C4" s="30" t="s">
        <v>243</v>
      </c>
      <c r="D4" s="5"/>
      <c r="E4" s="5"/>
    </row>
    <row r="5" spans="1:5" x14ac:dyDescent="0.3">
      <c r="A5" s="5">
        <v>2</v>
      </c>
      <c r="B5" s="25">
        <v>46055</v>
      </c>
      <c r="C5" s="30" t="s">
        <v>242</v>
      </c>
      <c r="D5" s="5">
        <v>4</v>
      </c>
      <c r="E5" s="5"/>
    </row>
    <row r="6" spans="1:5" x14ac:dyDescent="0.3">
      <c r="A6" s="5">
        <v>3</v>
      </c>
      <c r="B6" s="25">
        <v>46056</v>
      </c>
      <c r="C6" s="30" t="s">
        <v>241</v>
      </c>
      <c r="D6" s="5">
        <v>2</v>
      </c>
      <c r="E6" s="5"/>
    </row>
    <row r="7" spans="1:5" x14ac:dyDescent="0.3">
      <c r="A7" s="5">
        <v>4</v>
      </c>
      <c r="B7" s="25">
        <v>46057</v>
      </c>
      <c r="C7" s="30" t="s">
        <v>243</v>
      </c>
      <c r="D7" s="5"/>
      <c r="E7" s="5"/>
    </row>
    <row r="8" spans="1:5" x14ac:dyDescent="0.3">
      <c r="A8" s="5">
        <v>5</v>
      </c>
      <c r="B8" s="25">
        <v>46058</v>
      </c>
      <c r="C8" s="30" t="s">
        <v>244</v>
      </c>
      <c r="D8" s="5">
        <v>1</v>
      </c>
      <c r="E8" s="5"/>
    </row>
    <row r="9" spans="1:5" x14ac:dyDescent="0.3">
      <c r="A9" s="5">
        <v>6</v>
      </c>
      <c r="B9" s="25">
        <v>46059</v>
      </c>
      <c r="C9" s="30" t="s">
        <v>245</v>
      </c>
      <c r="D9" s="5">
        <v>3</v>
      </c>
      <c r="E9" s="5"/>
    </row>
    <row r="10" spans="1:5" x14ac:dyDescent="0.3">
      <c r="A10" s="5">
        <v>7</v>
      </c>
      <c r="B10" s="25">
        <v>46060</v>
      </c>
      <c r="C10" s="30" t="s">
        <v>246</v>
      </c>
      <c r="D10" s="5">
        <v>7</v>
      </c>
      <c r="E10" s="5"/>
    </row>
    <row r="11" spans="1:5" x14ac:dyDescent="0.3">
      <c r="A11" s="5">
        <v>8</v>
      </c>
      <c r="B11" s="25">
        <v>46061</v>
      </c>
      <c r="C11" s="30" t="s">
        <v>247</v>
      </c>
      <c r="D11" s="5">
        <v>3</v>
      </c>
      <c r="E11" s="5"/>
    </row>
    <row r="12" spans="1:5" x14ac:dyDescent="0.3">
      <c r="A12" s="5">
        <v>9</v>
      </c>
      <c r="B12" s="25">
        <v>46062</v>
      </c>
      <c r="C12" s="30" t="s">
        <v>256</v>
      </c>
      <c r="D12" s="5">
        <v>5</v>
      </c>
      <c r="E12" s="5"/>
    </row>
    <row r="13" spans="1:5" x14ac:dyDescent="0.3">
      <c r="A13" s="5">
        <v>10</v>
      </c>
      <c r="B13" s="25">
        <v>46063</v>
      </c>
      <c r="C13" s="30" t="s">
        <v>241</v>
      </c>
      <c r="D13" s="5">
        <v>2</v>
      </c>
      <c r="E13" s="5"/>
    </row>
    <row r="14" spans="1:5" x14ac:dyDescent="0.3">
      <c r="A14" s="5">
        <v>11</v>
      </c>
      <c r="B14" s="25">
        <v>46064</v>
      </c>
      <c r="C14" s="30" t="s">
        <v>259</v>
      </c>
      <c r="D14" s="5">
        <v>5</v>
      </c>
      <c r="E14" s="5"/>
    </row>
    <row r="15" spans="1:5" x14ac:dyDescent="0.3">
      <c r="A15" s="5">
        <v>12</v>
      </c>
      <c r="B15" s="25">
        <v>46065</v>
      </c>
      <c r="C15" s="30" t="s">
        <v>260</v>
      </c>
      <c r="D15" s="5">
        <v>6</v>
      </c>
      <c r="E15" s="5"/>
    </row>
    <row r="16" spans="1:5" x14ac:dyDescent="0.3">
      <c r="A16" s="5">
        <v>13</v>
      </c>
      <c r="B16" s="25">
        <v>46066</v>
      </c>
      <c r="C16" s="30" t="s">
        <v>262</v>
      </c>
      <c r="D16" s="5">
        <v>9</v>
      </c>
      <c r="E16" s="5"/>
    </row>
    <row r="17" spans="1:5" x14ac:dyDescent="0.3">
      <c r="A17" s="5">
        <v>14</v>
      </c>
      <c r="B17" s="25">
        <v>46067</v>
      </c>
      <c r="C17" s="30" t="s">
        <v>265</v>
      </c>
      <c r="D17" s="5">
        <v>6</v>
      </c>
      <c r="E17" s="5"/>
    </row>
    <row r="18" spans="1:5" x14ac:dyDescent="0.3">
      <c r="A18" s="5">
        <v>15</v>
      </c>
      <c r="B18" s="25">
        <v>46068</v>
      </c>
      <c r="C18" s="30" t="s">
        <v>266</v>
      </c>
      <c r="D18" s="5">
        <v>11</v>
      </c>
      <c r="E18" s="5"/>
    </row>
    <row r="19" spans="1:5" x14ac:dyDescent="0.3">
      <c r="A19" s="5">
        <v>16</v>
      </c>
      <c r="B19" s="25">
        <v>46069</v>
      </c>
      <c r="C19" s="30" t="s">
        <v>267</v>
      </c>
      <c r="D19" s="5">
        <v>9</v>
      </c>
      <c r="E19" s="5"/>
    </row>
    <row r="20" spans="1:5" x14ac:dyDescent="0.3">
      <c r="A20" s="5">
        <v>17</v>
      </c>
      <c r="B20" s="25">
        <v>46070</v>
      </c>
      <c r="C20" s="30" t="s">
        <v>267</v>
      </c>
      <c r="D20" s="5">
        <v>9</v>
      </c>
      <c r="E20" s="5"/>
    </row>
    <row r="21" spans="1:5" x14ac:dyDescent="0.3">
      <c r="A21" s="5">
        <v>18</v>
      </c>
      <c r="B21" s="25">
        <v>46071</v>
      </c>
      <c r="C21" s="30" t="s">
        <v>268</v>
      </c>
      <c r="D21" s="5">
        <v>4</v>
      </c>
      <c r="E21" s="5"/>
    </row>
    <row r="22" spans="1:5" x14ac:dyDescent="0.3">
      <c r="A22" s="5">
        <v>19</v>
      </c>
      <c r="B22" s="25">
        <v>46072</v>
      </c>
      <c r="C22" s="30" t="s">
        <v>269</v>
      </c>
      <c r="D22" s="5">
        <v>7</v>
      </c>
      <c r="E22" s="5"/>
    </row>
    <row r="23" spans="1:5" x14ac:dyDescent="0.3">
      <c r="A23" s="5">
        <v>20</v>
      </c>
      <c r="B23" s="25">
        <v>46073</v>
      </c>
      <c r="C23" s="30" t="s">
        <v>269</v>
      </c>
      <c r="D23" s="5">
        <v>7</v>
      </c>
      <c r="E23" s="5"/>
    </row>
    <row r="24" spans="1:5" x14ac:dyDescent="0.3">
      <c r="A24" s="5">
        <v>21</v>
      </c>
      <c r="B24" s="25">
        <v>46074</v>
      </c>
      <c r="C24" s="30" t="s">
        <v>270</v>
      </c>
      <c r="D24" s="5">
        <v>7</v>
      </c>
      <c r="E24" s="5"/>
    </row>
    <row r="25" spans="1:5" x14ac:dyDescent="0.3">
      <c r="A25" s="5">
        <v>22</v>
      </c>
      <c r="B25" s="25">
        <v>46075</v>
      </c>
      <c r="C25" s="30" t="s">
        <v>272</v>
      </c>
      <c r="D25" s="5">
        <v>10</v>
      </c>
      <c r="E25" s="5"/>
    </row>
    <row r="26" spans="1:5" x14ac:dyDescent="0.3">
      <c r="A26" s="5">
        <v>23</v>
      </c>
      <c r="B26" s="25">
        <v>46076</v>
      </c>
      <c r="C26" s="30" t="s">
        <v>273</v>
      </c>
      <c r="D26" s="5">
        <v>8</v>
      </c>
      <c r="E26" s="5"/>
    </row>
    <row r="27" spans="1:5" x14ac:dyDescent="0.3">
      <c r="A27" s="5">
        <v>24</v>
      </c>
      <c r="B27" s="25">
        <v>46077</v>
      </c>
      <c r="C27" s="30" t="s">
        <v>274</v>
      </c>
      <c r="D27" s="5">
        <v>1</v>
      </c>
      <c r="E27" s="5"/>
    </row>
    <row r="28" spans="1:5" x14ac:dyDescent="0.3">
      <c r="A28" s="5">
        <v>25</v>
      </c>
      <c r="B28" s="25">
        <v>46078</v>
      </c>
      <c r="C28" s="30" t="s">
        <v>275</v>
      </c>
      <c r="D28" s="5">
        <v>7</v>
      </c>
      <c r="E28" s="30"/>
    </row>
    <row r="29" spans="1:5" x14ac:dyDescent="0.3">
      <c r="A29" s="5">
        <v>26</v>
      </c>
      <c r="B29" s="25">
        <v>46079</v>
      </c>
      <c r="C29" s="30" t="s">
        <v>276</v>
      </c>
      <c r="D29" s="5">
        <v>5</v>
      </c>
      <c r="E29" s="30"/>
    </row>
    <row r="30" spans="1:5" x14ac:dyDescent="0.3">
      <c r="A30" s="5">
        <v>27</v>
      </c>
      <c r="B30" s="25">
        <v>46080</v>
      </c>
      <c r="C30" s="30" t="s">
        <v>277</v>
      </c>
      <c r="D30" s="5">
        <v>7</v>
      </c>
      <c r="E30" s="30"/>
    </row>
    <row r="31" spans="1:5" x14ac:dyDescent="0.3">
      <c r="A31" s="5">
        <v>28</v>
      </c>
      <c r="B31" s="25">
        <v>46081</v>
      </c>
      <c r="C31" s="30" t="s">
        <v>278</v>
      </c>
      <c r="D31" s="5">
        <v>8</v>
      </c>
      <c r="E31" s="30"/>
    </row>
    <row r="32" spans="1:5" x14ac:dyDescent="0.3">
      <c r="A32" s="5">
        <v>29</v>
      </c>
      <c r="B32" s="25">
        <v>46082</v>
      </c>
      <c r="C32" s="30" t="s">
        <v>279</v>
      </c>
      <c r="D32" s="5">
        <v>3</v>
      </c>
      <c r="E32" s="30"/>
    </row>
    <row r="33" spans="1:5" x14ac:dyDescent="0.3">
      <c r="A33" s="5">
        <v>30</v>
      </c>
      <c r="B33" s="25">
        <v>46083</v>
      </c>
      <c r="C33" s="30" t="s">
        <v>328</v>
      </c>
      <c r="D33" s="5">
        <v>2</v>
      </c>
      <c r="E33" s="30"/>
    </row>
    <row r="34" spans="1:5" x14ac:dyDescent="0.3">
      <c r="A34" s="5">
        <v>31</v>
      </c>
      <c r="B34" s="25">
        <v>46084</v>
      </c>
      <c r="C34" s="30" t="s">
        <v>329</v>
      </c>
      <c r="D34" s="5">
        <v>1</v>
      </c>
      <c r="E34" s="30"/>
    </row>
    <row r="35" spans="1:5" x14ac:dyDescent="0.3">
      <c r="A35" s="5">
        <v>32</v>
      </c>
      <c r="B35" s="25">
        <v>46085</v>
      </c>
      <c r="C35" s="30"/>
      <c r="D35" s="5"/>
      <c r="E35" s="30"/>
    </row>
    <row r="36" spans="1:5" x14ac:dyDescent="0.3">
      <c r="A36" s="5">
        <v>33</v>
      </c>
      <c r="B36" s="25">
        <v>46086</v>
      </c>
      <c r="C36" s="30" t="s">
        <v>279</v>
      </c>
      <c r="D36" s="5">
        <v>3</v>
      </c>
      <c r="E36" s="30"/>
    </row>
    <row r="37" spans="1:5" x14ac:dyDescent="0.3">
      <c r="A37" s="5">
        <v>34</v>
      </c>
      <c r="B37" s="25">
        <v>46087</v>
      </c>
      <c r="C37" s="30" t="s">
        <v>330</v>
      </c>
      <c r="D37" s="5">
        <v>2</v>
      </c>
      <c r="E37" s="30"/>
    </row>
    <row r="38" spans="1:5" x14ac:dyDescent="0.3">
      <c r="A38" s="5">
        <v>35</v>
      </c>
      <c r="B38" s="25">
        <v>46088</v>
      </c>
      <c r="C38" s="30" t="s">
        <v>331</v>
      </c>
      <c r="D38" s="5">
        <v>3</v>
      </c>
      <c r="E38" s="30"/>
    </row>
    <row r="39" spans="1:5" x14ac:dyDescent="0.3">
      <c r="A39" s="5">
        <v>36</v>
      </c>
      <c r="B39" s="25">
        <v>46089</v>
      </c>
      <c r="C39" s="30"/>
      <c r="D39" s="5"/>
      <c r="E39" s="30"/>
    </row>
    <row r="40" spans="1:5" x14ac:dyDescent="0.3">
      <c r="A40" s="5">
        <v>37</v>
      </c>
      <c r="B40" s="25">
        <v>46090</v>
      </c>
      <c r="C40" s="30" t="s">
        <v>332</v>
      </c>
      <c r="D40" s="5">
        <v>2</v>
      </c>
      <c r="E40" s="30"/>
    </row>
    <row r="41" spans="1:5" x14ac:dyDescent="0.3">
      <c r="A41" s="5">
        <v>38</v>
      </c>
      <c r="B41" s="25">
        <v>46091</v>
      </c>
      <c r="C41" s="30" t="s">
        <v>332</v>
      </c>
      <c r="D41" s="5">
        <v>2</v>
      </c>
      <c r="E41" s="30"/>
    </row>
    <row r="42" spans="1:5" x14ac:dyDescent="0.3">
      <c r="A42" s="5">
        <v>39</v>
      </c>
      <c r="B42" s="25">
        <v>46092</v>
      </c>
      <c r="C42" s="30" t="s">
        <v>274</v>
      </c>
      <c r="D42" s="5">
        <v>1</v>
      </c>
      <c r="E42" s="30"/>
    </row>
    <row r="43" spans="1:5" x14ac:dyDescent="0.3">
      <c r="A43" s="5">
        <v>40</v>
      </c>
      <c r="B43" s="25">
        <v>46093</v>
      </c>
      <c r="C43" s="30"/>
      <c r="D43" s="5"/>
      <c r="E43" s="30"/>
    </row>
    <row r="44" spans="1:5" x14ac:dyDescent="0.3">
      <c r="A44" s="5">
        <v>41</v>
      </c>
      <c r="B44" s="25">
        <v>46094</v>
      </c>
      <c r="C44" s="30" t="s">
        <v>332</v>
      </c>
      <c r="D44" s="5">
        <v>2</v>
      </c>
      <c r="E44" s="30"/>
    </row>
    <row r="45" spans="1:5" x14ac:dyDescent="0.3">
      <c r="A45" s="5">
        <v>42</v>
      </c>
      <c r="B45" s="25">
        <v>46095</v>
      </c>
      <c r="C45" s="30" t="s">
        <v>333</v>
      </c>
      <c r="D45" s="5">
        <v>4.5</v>
      </c>
      <c r="E45" s="30"/>
    </row>
    <row r="46" spans="1:5" x14ac:dyDescent="0.3">
      <c r="A46" s="5">
        <v>43</v>
      </c>
      <c r="B46" s="25">
        <v>46096</v>
      </c>
      <c r="C46" s="30" t="s">
        <v>334</v>
      </c>
      <c r="D46" s="5">
        <v>6</v>
      </c>
      <c r="E46" s="30"/>
    </row>
    <row r="47" spans="1:5" x14ac:dyDescent="0.3">
      <c r="A47" s="5">
        <v>44</v>
      </c>
      <c r="B47" s="25">
        <v>46097</v>
      </c>
      <c r="C47" s="30" t="s">
        <v>335</v>
      </c>
      <c r="D47" s="5">
        <v>9</v>
      </c>
      <c r="E47" s="30"/>
    </row>
    <row r="48" spans="1:5" x14ac:dyDescent="0.3">
      <c r="A48" s="5">
        <v>45</v>
      </c>
      <c r="B48" s="25">
        <v>46098</v>
      </c>
      <c r="C48" s="30" t="s">
        <v>336</v>
      </c>
      <c r="D48" s="5">
        <v>10</v>
      </c>
      <c r="E48" s="30"/>
    </row>
    <row r="49" spans="1:5" x14ac:dyDescent="0.3">
      <c r="A49" s="5">
        <v>46</v>
      </c>
      <c r="B49" s="25">
        <v>46099</v>
      </c>
      <c r="C49" s="30" t="s">
        <v>337</v>
      </c>
      <c r="D49" s="5">
        <v>7</v>
      </c>
      <c r="E49" s="30"/>
    </row>
    <row r="50" spans="1:5" x14ac:dyDescent="0.3">
      <c r="A50" s="5">
        <v>47</v>
      </c>
      <c r="B50" s="25">
        <v>46100</v>
      </c>
      <c r="C50" s="30" t="s">
        <v>338</v>
      </c>
      <c r="D50" s="5">
        <v>9</v>
      </c>
      <c r="E50" s="30"/>
    </row>
    <row r="51" spans="1:5" x14ac:dyDescent="0.3">
      <c r="A51" s="5">
        <v>48</v>
      </c>
      <c r="B51" s="25">
        <v>46101</v>
      </c>
      <c r="C51" s="30" t="s">
        <v>340</v>
      </c>
      <c r="D51" s="5">
        <v>9</v>
      </c>
      <c r="E51" s="30"/>
    </row>
    <row r="52" spans="1:5" x14ac:dyDescent="0.3">
      <c r="A52" s="5">
        <v>49</v>
      </c>
      <c r="B52" s="25">
        <v>46102</v>
      </c>
      <c r="C52" s="30" t="s">
        <v>339</v>
      </c>
      <c r="D52" s="5">
        <v>1.5</v>
      </c>
      <c r="E52" s="30"/>
    </row>
    <row r="53" spans="1:5" x14ac:dyDescent="0.3">
      <c r="A53" s="5">
        <v>50</v>
      </c>
      <c r="B53" s="25">
        <v>46103</v>
      </c>
      <c r="C53" s="30" t="s">
        <v>341</v>
      </c>
      <c r="D53" s="5">
        <v>3</v>
      </c>
      <c r="E53" s="30"/>
    </row>
    <row r="54" spans="1:5" x14ac:dyDescent="0.3">
      <c r="A54" s="5">
        <v>51</v>
      </c>
      <c r="B54" s="25">
        <v>46104</v>
      </c>
      <c r="C54" s="30"/>
      <c r="D54" s="30"/>
      <c r="E54" s="30"/>
    </row>
    <row r="55" spans="1:5" x14ac:dyDescent="0.3">
      <c r="A55" s="5">
        <v>52</v>
      </c>
      <c r="B55" s="25">
        <v>46105</v>
      </c>
      <c r="C55" s="30" t="s">
        <v>342</v>
      </c>
      <c r="D55" s="5">
        <v>10</v>
      </c>
      <c r="E55" s="30"/>
    </row>
    <row r="56" spans="1:5" x14ac:dyDescent="0.3">
      <c r="A56" s="5">
        <v>53</v>
      </c>
      <c r="B56" s="25">
        <v>46106</v>
      </c>
      <c r="C56" s="30" t="s">
        <v>361</v>
      </c>
      <c r="D56" s="5">
        <v>11</v>
      </c>
      <c r="E56" s="30"/>
    </row>
    <row r="57" spans="1:5" x14ac:dyDescent="0.3">
      <c r="A57" s="5">
        <v>54</v>
      </c>
      <c r="B57" s="25">
        <v>46107</v>
      </c>
      <c r="C57" s="30" t="s">
        <v>362</v>
      </c>
      <c r="D57" s="5">
        <v>8</v>
      </c>
      <c r="E57" s="30"/>
    </row>
    <row r="58" spans="1:5" x14ac:dyDescent="0.3">
      <c r="A58" s="5">
        <v>55</v>
      </c>
      <c r="B58" s="25">
        <v>46108</v>
      </c>
      <c r="C58" s="30" t="s">
        <v>365</v>
      </c>
      <c r="D58" s="5">
        <v>5</v>
      </c>
      <c r="E58" s="30"/>
    </row>
    <row r="59" spans="1:5" x14ac:dyDescent="0.3">
      <c r="A59" s="5">
        <v>56</v>
      </c>
      <c r="B59" s="25">
        <v>46109</v>
      </c>
      <c r="C59" s="30" t="s">
        <v>368</v>
      </c>
      <c r="D59" s="5">
        <v>4</v>
      </c>
      <c r="E59" s="30"/>
    </row>
    <row r="60" spans="1:5" x14ac:dyDescent="0.3">
      <c r="A60" s="5">
        <v>57</v>
      </c>
      <c r="B60" s="25">
        <v>46110</v>
      </c>
      <c r="C60" s="30" t="s">
        <v>368</v>
      </c>
      <c r="D60" s="5">
        <v>4</v>
      </c>
      <c r="E60" s="30"/>
    </row>
    <row r="61" spans="1:5" x14ac:dyDescent="0.3">
      <c r="A61" s="5">
        <v>58</v>
      </c>
      <c r="B61" s="25">
        <v>46111</v>
      </c>
      <c r="C61" s="30" t="s">
        <v>369</v>
      </c>
      <c r="D61" s="5">
        <v>4</v>
      </c>
      <c r="E61" s="30"/>
    </row>
    <row r="62" spans="1:5" x14ac:dyDescent="0.3">
      <c r="A62" s="5">
        <v>59</v>
      </c>
      <c r="B62" s="25">
        <v>46112</v>
      </c>
      <c r="C62" s="30" t="s">
        <v>371</v>
      </c>
      <c r="D62" s="5">
        <v>2</v>
      </c>
      <c r="E62" s="30"/>
    </row>
    <row r="63" spans="1:5" x14ac:dyDescent="0.3">
      <c r="A63" s="5">
        <v>60</v>
      </c>
      <c r="B63" s="25">
        <v>46113</v>
      </c>
      <c r="C63" s="30" t="s">
        <v>370</v>
      </c>
      <c r="D63" s="5">
        <v>4</v>
      </c>
      <c r="E63" s="30"/>
    </row>
    <row r="64" spans="1:5" x14ac:dyDescent="0.3">
      <c r="A64" s="5">
        <v>61</v>
      </c>
      <c r="B64" s="25">
        <v>46114</v>
      </c>
      <c r="C64" s="30" t="s">
        <v>372</v>
      </c>
      <c r="D64" s="5">
        <v>10</v>
      </c>
      <c r="E64" s="30"/>
    </row>
    <row r="65" spans="1:5" x14ac:dyDescent="0.3">
      <c r="A65" s="5">
        <v>62</v>
      </c>
      <c r="B65" s="25">
        <v>46115</v>
      </c>
      <c r="C65" s="30" t="s">
        <v>374</v>
      </c>
      <c r="D65" s="5">
        <v>9</v>
      </c>
      <c r="E65" s="30"/>
    </row>
    <row r="66" spans="1:5" x14ac:dyDescent="0.3">
      <c r="A66" s="5">
        <v>63</v>
      </c>
      <c r="B66" s="25">
        <v>46116</v>
      </c>
      <c r="C66" s="30" t="s">
        <v>376</v>
      </c>
      <c r="D66" s="5">
        <v>9</v>
      </c>
      <c r="E66" s="30"/>
    </row>
    <row r="67" spans="1:5" x14ac:dyDescent="0.3">
      <c r="A67" s="5">
        <v>64</v>
      </c>
      <c r="B67" s="25">
        <v>46117</v>
      </c>
      <c r="C67" s="30" t="s">
        <v>378</v>
      </c>
      <c r="D67" s="5">
        <v>8</v>
      </c>
      <c r="E67" s="30"/>
    </row>
    <row r="68" spans="1:5" x14ac:dyDescent="0.3">
      <c r="A68" s="5">
        <v>65</v>
      </c>
      <c r="B68" s="25">
        <v>46118</v>
      </c>
      <c r="C68" s="30" t="s">
        <v>379</v>
      </c>
      <c r="D68" s="5">
        <v>11</v>
      </c>
      <c r="E68" s="30"/>
    </row>
    <row r="69" spans="1:5" x14ac:dyDescent="0.3">
      <c r="A69" s="5">
        <v>66</v>
      </c>
      <c r="B69" s="25">
        <v>46119</v>
      </c>
      <c r="C69" s="30" t="s">
        <v>380</v>
      </c>
      <c r="D69" s="5">
        <v>6</v>
      </c>
      <c r="E69" s="30"/>
    </row>
    <row r="70" spans="1:5" x14ac:dyDescent="0.3">
      <c r="A70" s="5">
        <v>67</v>
      </c>
      <c r="B70" s="25">
        <v>46120</v>
      </c>
      <c r="C70" s="30" t="s">
        <v>381</v>
      </c>
      <c r="D70" s="5">
        <v>5</v>
      </c>
      <c r="E70" s="30"/>
    </row>
    <row r="71" spans="1:5" x14ac:dyDescent="0.3">
      <c r="A71" s="67">
        <v>68</v>
      </c>
      <c r="B71" s="68">
        <v>46121</v>
      </c>
      <c r="C71" s="69" t="s">
        <v>382</v>
      </c>
      <c r="D71" s="67">
        <v>4</v>
      </c>
      <c r="E71" s="30"/>
    </row>
    <row r="72" spans="1:5" x14ac:dyDescent="0.3">
      <c r="A72" s="5">
        <v>69</v>
      </c>
      <c r="B72" s="25">
        <v>46122</v>
      </c>
      <c r="C72" s="30" t="s">
        <v>425</v>
      </c>
      <c r="D72" s="5">
        <v>10</v>
      </c>
      <c r="E72" s="30"/>
    </row>
    <row r="73" spans="1:5" x14ac:dyDescent="0.3">
      <c r="A73" s="5">
        <v>70</v>
      </c>
      <c r="B73" s="25">
        <v>46123</v>
      </c>
      <c r="C73" s="30" t="s">
        <v>428</v>
      </c>
      <c r="D73" s="30">
        <v>7</v>
      </c>
      <c r="E73" s="30"/>
    </row>
    <row r="74" spans="1:5" x14ac:dyDescent="0.3">
      <c r="A74" s="5">
        <v>71</v>
      </c>
      <c r="B74" s="25">
        <v>46124</v>
      </c>
      <c r="C74" s="30" t="s">
        <v>429</v>
      </c>
      <c r="D74" s="30">
        <v>7</v>
      </c>
      <c r="E74" s="30"/>
    </row>
    <row r="75" spans="1:5" x14ac:dyDescent="0.3">
      <c r="A75" s="5">
        <v>72</v>
      </c>
      <c r="B75" s="25">
        <v>46125</v>
      </c>
      <c r="C75" s="30"/>
      <c r="D75" s="30"/>
      <c r="E75" s="30"/>
    </row>
    <row r="76" spans="1:5" x14ac:dyDescent="0.3">
      <c r="A76" s="5">
        <v>73</v>
      </c>
      <c r="B76" s="25">
        <v>46126</v>
      </c>
      <c r="C76" s="30" t="s">
        <v>433</v>
      </c>
      <c r="D76" s="30">
        <v>3</v>
      </c>
      <c r="E76" s="30"/>
    </row>
    <row r="77" spans="1:5" x14ac:dyDescent="0.3">
      <c r="A77" s="5">
        <v>74</v>
      </c>
      <c r="B77" s="25">
        <v>46127</v>
      </c>
      <c r="C77" s="30"/>
      <c r="D77" s="30"/>
      <c r="E77" s="30"/>
    </row>
    <row r="78" spans="1:5" x14ac:dyDescent="0.3">
      <c r="A78" s="5">
        <v>75</v>
      </c>
      <c r="B78" s="25">
        <v>46128</v>
      </c>
      <c r="C78" s="30" t="s">
        <v>436</v>
      </c>
      <c r="D78" s="30">
        <v>5</v>
      </c>
      <c r="E78" s="30"/>
    </row>
    <row r="79" spans="1:5" x14ac:dyDescent="0.3">
      <c r="A79" s="5">
        <v>76</v>
      </c>
      <c r="B79" s="25">
        <v>46129</v>
      </c>
      <c r="C79" s="30" t="s">
        <v>437</v>
      </c>
      <c r="D79" s="30">
        <v>14</v>
      </c>
      <c r="E79" s="30"/>
    </row>
    <row r="80" spans="1:5" x14ac:dyDescent="0.3">
      <c r="A80" s="5">
        <v>77</v>
      </c>
      <c r="B80" s="25">
        <v>46130</v>
      </c>
      <c r="C80" s="30" t="s">
        <v>438</v>
      </c>
      <c r="D80" s="30">
        <v>7</v>
      </c>
      <c r="E80" s="30"/>
    </row>
    <row r="81" spans="1:5" x14ac:dyDescent="0.3">
      <c r="A81" s="5">
        <v>78</v>
      </c>
      <c r="B81" s="25">
        <v>46131</v>
      </c>
      <c r="C81" s="30" t="s">
        <v>439</v>
      </c>
      <c r="D81" s="30">
        <v>9</v>
      </c>
      <c r="E81" s="30"/>
    </row>
    <row r="82" spans="1:5" x14ac:dyDescent="0.3">
      <c r="A82" s="5">
        <v>79</v>
      </c>
      <c r="B82" s="25">
        <v>46132</v>
      </c>
      <c r="C82" s="30" t="s">
        <v>439</v>
      </c>
      <c r="D82" s="30">
        <v>9</v>
      </c>
      <c r="E82" s="30"/>
    </row>
    <row r="83" spans="1:5" x14ac:dyDescent="0.3">
      <c r="A83" s="5">
        <v>80</v>
      </c>
      <c r="B83" s="25">
        <v>46133</v>
      </c>
      <c r="C83" s="30" t="s">
        <v>440</v>
      </c>
      <c r="D83" s="30">
        <v>12</v>
      </c>
      <c r="E83" s="30"/>
    </row>
    <row r="84" spans="1:5" x14ac:dyDescent="0.3">
      <c r="A84" s="5">
        <v>81</v>
      </c>
      <c r="B84" s="25">
        <v>46134</v>
      </c>
      <c r="C84" s="30" t="s">
        <v>441</v>
      </c>
      <c r="D84" s="30">
        <v>7</v>
      </c>
      <c r="E84" s="30"/>
    </row>
    <row r="85" spans="1:5" x14ac:dyDescent="0.3">
      <c r="A85" s="5">
        <v>82</v>
      </c>
      <c r="B85" s="25">
        <v>46135</v>
      </c>
      <c r="C85" s="30" t="s">
        <v>442</v>
      </c>
      <c r="D85" s="30">
        <v>5</v>
      </c>
      <c r="E85" s="30"/>
    </row>
    <row r="86" spans="1:5" x14ac:dyDescent="0.3">
      <c r="A86" s="5">
        <v>83</v>
      </c>
      <c r="B86" s="25">
        <v>46136</v>
      </c>
      <c r="C86" s="30" t="s">
        <v>443</v>
      </c>
      <c r="D86" s="30"/>
      <c r="E86" s="30"/>
    </row>
    <row r="87" spans="1:5" x14ac:dyDescent="0.3">
      <c r="A87" s="5">
        <v>84</v>
      </c>
      <c r="B87" s="25">
        <v>46137</v>
      </c>
      <c r="C87" s="30" t="s">
        <v>444</v>
      </c>
      <c r="D87" s="30">
        <v>10</v>
      </c>
      <c r="E87" s="30"/>
    </row>
    <row r="88" spans="1:5" x14ac:dyDescent="0.3">
      <c r="A88" s="5">
        <v>85</v>
      </c>
      <c r="B88" s="25">
        <v>46138</v>
      </c>
      <c r="C88" s="30" t="s">
        <v>445</v>
      </c>
      <c r="D88" s="30">
        <v>3</v>
      </c>
      <c r="E88" s="30"/>
    </row>
    <row r="89" spans="1:5" x14ac:dyDescent="0.3">
      <c r="A89" s="5">
        <v>86</v>
      </c>
      <c r="B89" s="25">
        <v>46139</v>
      </c>
      <c r="C89" s="30" t="s">
        <v>446</v>
      </c>
      <c r="D89" s="30">
        <v>5</v>
      </c>
      <c r="E89" s="30"/>
    </row>
    <row r="90" spans="1:5" x14ac:dyDescent="0.3">
      <c r="A90" s="5">
        <v>87</v>
      </c>
      <c r="B90" s="25">
        <v>46140</v>
      </c>
      <c r="C90" s="30" t="s">
        <v>447</v>
      </c>
      <c r="D90" s="30">
        <v>2</v>
      </c>
      <c r="E90" s="30"/>
    </row>
    <row r="91" spans="1:5" x14ac:dyDescent="0.3">
      <c r="A91" s="5">
        <v>88</v>
      </c>
      <c r="B91" s="25">
        <v>46141</v>
      </c>
      <c r="C91" s="30" t="s">
        <v>448</v>
      </c>
      <c r="D91" s="30"/>
      <c r="E91" s="30"/>
    </row>
    <row r="92" spans="1:5" x14ac:dyDescent="0.3">
      <c r="A92" s="5">
        <v>89</v>
      </c>
      <c r="B92" s="25">
        <v>46142</v>
      </c>
      <c r="C92" s="30" t="s">
        <v>448</v>
      </c>
      <c r="D92" s="30"/>
      <c r="E92" s="30"/>
    </row>
    <row r="93" spans="1:5" x14ac:dyDescent="0.3">
      <c r="A93" s="5">
        <v>90</v>
      </c>
      <c r="B93" s="25">
        <v>46143</v>
      </c>
      <c r="C93" s="30"/>
      <c r="D93" s="30"/>
      <c r="E93" s="30"/>
    </row>
    <row r="94" spans="1:5" x14ac:dyDescent="0.3">
      <c r="A94" s="5">
        <v>91</v>
      </c>
      <c r="B94" s="25">
        <v>46144</v>
      </c>
      <c r="C94" s="30"/>
      <c r="D94" s="30"/>
      <c r="E94" s="30"/>
    </row>
    <row r="95" spans="1:5" x14ac:dyDescent="0.3">
      <c r="A95" s="5">
        <v>92</v>
      </c>
      <c r="B95" s="25">
        <v>46145</v>
      </c>
      <c r="C95" s="30"/>
      <c r="D95" s="30"/>
      <c r="E95" s="30"/>
    </row>
    <row r="96" spans="1:5" x14ac:dyDescent="0.3">
      <c r="A96" s="5">
        <v>93</v>
      </c>
      <c r="B96" s="25">
        <v>46146</v>
      </c>
      <c r="C96" s="30"/>
      <c r="D96" s="30"/>
      <c r="E96" s="30"/>
    </row>
    <row r="97" spans="1:5" x14ac:dyDescent="0.3">
      <c r="A97" s="5">
        <v>94</v>
      </c>
      <c r="B97" s="25">
        <v>46147</v>
      </c>
      <c r="C97" s="30"/>
      <c r="D97" s="30"/>
      <c r="E97" s="30"/>
    </row>
    <row r="98" spans="1:5" x14ac:dyDescent="0.3">
      <c r="A98" s="5">
        <v>95</v>
      </c>
      <c r="B98" s="25">
        <v>46148</v>
      </c>
      <c r="C98" s="30" t="s">
        <v>449</v>
      </c>
      <c r="D98" s="30">
        <v>4</v>
      </c>
      <c r="E98" s="30"/>
    </row>
    <row r="99" spans="1:5" x14ac:dyDescent="0.3">
      <c r="A99" s="5">
        <v>96</v>
      </c>
      <c r="B99" s="25">
        <v>46149</v>
      </c>
      <c r="C99" s="30" t="s">
        <v>452</v>
      </c>
      <c r="D99" s="30">
        <v>10.5</v>
      </c>
      <c r="E99" s="30"/>
    </row>
    <row r="100" spans="1:5" x14ac:dyDescent="0.3">
      <c r="A100" s="5">
        <v>97</v>
      </c>
      <c r="B100" s="25">
        <v>46150</v>
      </c>
      <c r="C100" s="30" t="s">
        <v>453</v>
      </c>
      <c r="D100" s="30">
        <v>11</v>
      </c>
      <c r="E100" s="30"/>
    </row>
    <row r="101" spans="1:5" x14ac:dyDescent="0.3">
      <c r="A101" s="5">
        <v>98</v>
      </c>
      <c r="B101" s="25">
        <v>46151</v>
      </c>
      <c r="C101" s="30"/>
      <c r="D101" s="30"/>
      <c r="E101" s="30"/>
    </row>
    <row r="102" spans="1:5" x14ac:dyDescent="0.3">
      <c r="A102" s="5">
        <v>99</v>
      </c>
      <c r="B102" s="25">
        <v>46152</v>
      </c>
      <c r="C102" s="30"/>
      <c r="D102" s="30"/>
      <c r="E102" s="30"/>
    </row>
    <row r="103" spans="1:5" x14ac:dyDescent="0.3">
      <c r="A103" s="5">
        <v>100</v>
      </c>
      <c r="B103" s="25">
        <v>46153</v>
      </c>
      <c r="C103" s="30" t="s">
        <v>454</v>
      </c>
      <c r="D103" s="30">
        <v>3</v>
      </c>
      <c r="E103" s="30"/>
    </row>
    <row r="104" spans="1:5" x14ac:dyDescent="0.3">
      <c r="A104" s="5">
        <v>101</v>
      </c>
      <c r="B104" s="25">
        <v>46154</v>
      </c>
      <c r="C104" s="30" t="s">
        <v>455</v>
      </c>
      <c r="D104" s="30">
        <v>5</v>
      </c>
      <c r="E104" s="30"/>
    </row>
    <row r="105" spans="1:5" x14ac:dyDescent="0.3">
      <c r="A105" s="5">
        <v>102</v>
      </c>
      <c r="B105" s="25">
        <v>46155</v>
      </c>
      <c r="C105" s="30" t="s">
        <v>456</v>
      </c>
      <c r="D105" s="30">
        <v>6</v>
      </c>
      <c r="E105" s="30"/>
    </row>
    <row r="106" spans="1:5" x14ac:dyDescent="0.3">
      <c r="A106" s="5">
        <v>103</v>
      </c>
      <c r="B106" s="25">
        <v>46156</v>
      </c>
      <c r="C106" s="30" t="s">
        <v>456</v>
      </c>
      <c r="D106" s="30">
        <v>6</v>
      </c>
      <c r="E106" s="30"/>
    </row>
    <row r="107" spans="1:5" x14ac:dyDescent="0.3">
      <c r="A107" s="5">
        <v>104</v>
      </c>
      <c r="B107" s="25">
        <v>46157</v>
      </c>
      <c r="C107" s="30" t="s">
        <v>466</v>
      </c>
      <c r="D107" s="30">
        <v>4</v>
      </c>
      <c r="E107" s="30"/>
    </row>
    <row r="108" spans="1:5" x14ac:dyDescent="0.3">
      <c r="A108" s="5">
        <v>105</v>
      </c>
      <c r="B108" s="25">
        <v>46158</v>
      </c>
      <c r="C108" s="30" t="s">
        <v>467</v>
      </c>
      <c r="D108" s="30">
        <v>5</v>
      </c>
      <c r="E108" s="30"/>
    </row>
    <row r="109" spans="1:5" x14ac:dyDescent="0.3">
      <c r="A109" s="5">
        <v>106</v>
      </c>
      <c r="B109" s="25">
        <v>46159</v>
      </c>
      <c r="C109" s="30" t="s">
        <v>469</v>
      </c>
      <c r="D109" s="30">
        <v>6</v>
      </c>
      <c r="E109" s="30"/>
    </row>
    <row r="110" spans="1:5" x14ac:dyDescent="0.3">
      <c r="A110" s="5">
        <v>107</v>
      </c>
      <c r="B110" s="25">
        <v>46160</v>
      </c>
      <c r="C110" s="30"/>
      <c r="D110" s="30"/>
      <c r="E110" s="30"/>
    </row>
    <row r="111" spans="1:5" x14ac:dyDescent="0.3">
      <c r="A111" s="5">
        <v>108</v>
      </c>
      <c r="B111" s="25">
        <v>46161</v>
      </c>
      <c r="C111" s="30" t="s">
        <v>470</v>
      </c>
      <c r="D111" s="30">
        <v>3</v>
      </c>
      <c r="E111" s="30"/>
    </row>
    <row r="112" spans="1:5" x14ac:dyDescent="0.3">
      <c r="A112" s="5">
        <v>109</v>
      </c>
      <c r="B112" s="25">
        <v>46162</v>
      </c>
      <c r="C112" s="30"/>
      <c r="D112" s="30"/>
      <c r="E112" s="30"/>
    </row>
    <row r="113" spans="1:10" x14ac:dyDescent="0.3">
      <c r="A113" s="5">
        <v>110</v>
      </c>
      <c r="B113" s="25">
        <v>46163</v>
      </c>
      <c r="C113" s="30"/>
      <c r="D113" s="30"/>
      <c r="E113" s="30"/>
    </row>
    <row r="114" spans="1:10" x14ac:dyDescent="0.3">
      <c r="A114" s="5">
        <v>111</v>
      </c>
      <c r="B114" s="25">
        <v>46164</v>
      </c>
      <c r="C114" s="30"/>
      <c r="D114" s="30"/>
      <c r="E114" s="30"/>
    </row>
    <row r="115" spans="1:10" x14ac:dyDescent="0.3">
      <c r="A115" s="5">
        <v>112</v>
      </c>
      <c r="B115" s="25">
        <v>46165</v>
      </c>
      <c r="C115" s="30"/>
      <c r="D115" s="30"/>
      <c r="E115" s="30"/>
    </row>
    <row r="116" spans="1:10" x14ac:dyDescent="0.3">
      <c r="A116" s="5">
        <v>113</v>
      </c>
      <c r="B116" s="25">
        <v>46166</v>
      </c>
      <c r="C116" s="30"/>
      <c r="D116" s="30"/>
      <c r="E116" s="30"/>
    </row>
    <row r="117" spans="1:10" x14ac:dyDescent="0.3">
      <c r="A117" s="5">
        <v>114</v>
      </c>
      <c r="B117" s="25">
        <v>46167</v>
      </c>
      <c r="C117" s="30"/>
      <c r="D117" s="30"/>
      <c r="E117" s="30"/>
    </row>
    <row r="118" spans="1:10" x14ac:dyDescent="0.3">
      <c r="A118" s="5">
        <v>115</v>
      </c>
      <c r="B118" s="25">
        <v>46168</v>
      </c>
      <c r="C118" s="30"/>
      <c r="D118" s="30"/>
      <c r="E118" s="30"/>
    </row>
    <row r="119" spans="1:10" x14ac:dyDescent="0.3">
      <c r="A119" s="5">
        <v>116</v>
      </c>
      <c r="B119" s="25">
        <v>46169</v>
      </c>
      <c r="C119" s="30"/>
      <c r="D119" s="30"/>
      <c r="E119" s="30"/>
    </row>
    <row r="120" spans="1:10" x14ac:dyDescent="0.3">
      <c r="A120" s="5">
        <v>117</v>
      </c>
      <c r="B120" s="25">
        <v>46170</v>
      </c>
      <c r="C120" s="30" t="s">
        <v>274</v>
      </c>
      <c r="D120" s="5">
        <v>0.5</v>
      </c>
      <c r="E120" s="30"/>
    </row>
    <row r="121" spans="1:10" x14ac:dyDescent="0.3">
      <c r="A121" s="5">
        <v>118</v>
      </c>
      <c r="B121" s="25">
        <v>46171</v>
      </c>
      <c r="C121" s="30"/>
      <c r="D121" s="5"/>
      <c r="E121" s="30"/>
    </row>
    <row r="122" spans="1:10" x14ac:dyDescent="0.3">
      <c r="A122" s="5">
        <v>119</v>
      </c>
      <c r="B122" s="25">
        <v>46172</v>
      </c>
      <c r="C122" s="30"/>
      <c r="D122" s="5"/>
      <c r="E122" s="30"/>
    </row>
    <row r="123" spans="1:10" x14ac:dyDescent="0.3">
      <c r="A123" s="5">
        <v>120</v>
      </c>
      <c r="B123" s="25">
        <v>46173</v>
      </c>
      <c r="C123" s="30" t="s">
        <v>471</v>
      </c>
      <c r="D123" s="5">
        <v>6</v>
      </c>
      <c r="E123" s="30"/>
    </row>
    <row r="124" spans="1:10" x14ac:dyDescent="0.3">
      <c r="A124" s="5">
        <v>121</v>
      </c>
      <c r="B124" s="25">
        <v>46174</v>
      </c>
      <c r="C124" s="30" t="s">
        <v>472</v>
      </c>
      <c r="D124" s="5">
        <v>10</v>
      </c>
      <c r="E124" s="30"/>
    </row>
    <row r="125" spans="1:10" x14ac:dyDescent="0.3">
      <c r="A125" s="5">
        <v>122</v>
      </c>
      <c r="B125" s="25">
        <v>46175</v>
      </c>
      <c r="C125" s="30" t="s">
        <v>473</v>
      </c>
      <c r="D125" s="5">
        <v>9</v>
      </c>
      <c r="E125" s="30"/>
      <c r="J125">
        <f>3368+3262+5800+4900+20000</f>
        <v>37330</v>
      </c>
    </row>
    <row r="126" spans="1:10" x14ac:dyDescent="0.3">
      <c r="A126" s="5">
        <v>123</v>
      </c>
      <c r="B126" s="25">
        <v>46176</v>
      </c>
      <c r="C126" s="30" t="s">
        <v>474</v>
      </c>
      <c r="D126" s="5">
        <v>8</v>
      </c>
      <c r="E126" s="30"/>
      <c r="J126">
        <v>28000</v>
      </c>
    </row>
    <row r="127" spans="1:10" x14ac:dyDescent="0.3">
      <c r="A127" s="5">
        <v>124</v>
      </c>
      <c r="B127" s="25">
        <v>46177</v>
      </c>
      <c r="C127" s="30" t="s">
        <v>475</v>
      </c>
      <c r="D127" s="5">
        <v>9</v>
      </c>
      <c r="E127" s="30"/>
    </row>
    <row r="128" spans="1:10" x14ac:dyDescent="0.3">
      <c r="A128" s="5">
        <v>125</v>
      </c>
      <c r="B128" s="25">
        <v>46178</v>
      </c>
      <c r="C128" s="30" t="s">
        <v>476</v>
      </c>
      <c r="D128" s="5">
        <v>4</v>
      </c>
      <c r="E128" s="30"/>
    </row>
    <row r="129" spans="1:5" x14ac:dyDescent="0.3">
      <c r="A129" s="5">
        <v>126</v>
      </c>
      <c r="B129" s="25">
        <v>46179</v>
      </c>
      <c r="C129" s="30"/>
      <c r="D129" s="30"/>
      <c r="E129" s="30"/>
    </row>
    <row r="130" spans="1:5" x14ac:dyDescent="0.3">
      <c r="A130" s="5">
        <v>127</v>
      </c>
      <c r="B130" s="25">
        <v>46180</v>
      </c>
      <c r="C130" s="30"/>
      <c r="D130" s="30"/>
      <c r="E130" s="30"/>
    </row>
    <row r="131" spans="1:5" x14ac:dyDescent="0.3">
      <c r="A131" s="5">
        <v>128</v>
      </c>
      <c r="B131" s="25">
        <v>46181</v>
      </c>
      <c r="C131" s="30"/>
      <c r="D131" s="30"/>
      <c r="E131" s="30"/>
    </row>
    <row r="132" spans="1:5" x14ac:dyDescent="0.3">
      <c r="A132" s="5">
        <v>129</v>
      </c>
      <c r="B132" s="25">
        <v>46182</v>
      </c>
      <c r="C132" s="30"/>
      <c r="D132" s="30"/>
      <c r="E132" s="30"/>
    </row>
    <row r="133" spans="1:5" x14ac:dyDescent="0.3">
      <c r="A133" s="5">
        <v>130</v>
      </c>
      <c r="B133" s="25">
        <v>46183</v>
      </c>
      <c r="C133" s="30"/>
      <c r="D133" s="30"/>
      <c r="E133" s="30"/>
    </row>
    <row r="134" spans="1:5" x14ac:dyDescent="0.3">
      <c r="A134" s="5">
        <v>131</v>
      </c>
      <c r="B134" s="25">
        <v>46184</v>
      </c>
      <c r="C134" s="30"/>
      <c r="D134" s="30"/>
      <c r="E134" s="30"/>
    </row>
    <row r="135" spans="1:5" x14ac:dyDescent="0.3">
      <c r="A135" s="5">
        <v>132</v>
      </c>
      <c r="B135" s="25">
        <v>46185</v>
      </c>
      <c r="C135" s="30"/>
      <c r="D135" s="30"/>
      <c r="E135" s="30"/>
    </row>
    <row r="136" spans="1:5" x14ac:dyDescent="0.3">
      <c r="A136" s="5">
        <v>133</v>
      </c>
      <c r="B136" s="25">
        <v>46186</v>
      </c>
      <c r="C136" s="30"/>
      <c r="D136" s="30"/>
      <c r="E136" s="30"/>
    </row>
    <row r="137" spans="1:5" x14ac:dyDescent="0.3">
      <c r="A137" s="5">
        <v>134</v>
      </c>
      <c r="B137" s="25">
        <v>46187</v>
      </c>
      <c r="C137" s="30"/>
      <c r="D137" s="30"/>
      <c r="E137" s="30"/>
    </row>
    <row r="138" spans="1:5" x14ac:dyDescent="0.3">
      <c r="A138" s="5">
        <v>135</v>
      </c>
      <c r="B138" s="25">
        <v>46188</v>
      </c>
      <c r="C138" s="30"/>
      <c r="D138" s="30"/>
      <c r="E138" s="30"/>
    </row>
    <row r="139" spans="1:5" x14ac:dyDescent="0.3">
      <c r="A139" s="5">
        <v>136</v>
      </c>
      <c r="B139" s="25">
        <v>46189</v>
      </c>
      <c r="C139" s="30"/>
      <c r="D139" s="30"/>
      <c r="E139" s="30"/>
    </row>
    <row r="140" spans="1:5" x14ac:dyDescent="0.3">
      <c r="A140" s="5">
        <v>137</v>
      </c>
      <c r="B140" s="25">
        <v>46190</v>
      </c>
      <c r="C140" s="30"/>
      <c r="D140" s="30"/>
      <c r="E140" s="30"/>
    </row>
    <row r="141" spans="1:5" x14ac:dyDescent="0.3">
      <c r="A141" s="5">
        <v>138</v>
      </c>
      <c r="B141" s="25">
        <v>46191</v>
      </c>
      <c r="C141" s="30"/>
      <c r="D141" s="30"/>
      <c r="E141" s="30"/>
    </row>
    <row r="142" spans="1:5" x14ac:dyDescent="0.3">
      <c r="A142" s="5">
        <v>139</v>
      </c>
      <c r="B142" s="25">
        <v>46192</v>
      </c>
      <c r="C142" s="30"/>
      <c r="D142" s="30"/>
      <c r="E142" s="30"/>
    </row>
    <row r="143" spans="1:5" x14ac:dyDescent="0.3">
      <c r="A143" s="5">
        <v>140</v>
      </c>
      <c r="B143" s="25">
        <v>46193</v>
      </c>
      <c r="C143" s="30"/>
      <c r="D143" s="30"/>
      <c r="E143" s="30"/>
    </row>
    <row r="144" spans="1:5" x14ac:dyDescent="0.3">
      <c r="A144" s="5">
        <v>141</v>
      </c>
      <c r="B144" s="25">
        <v>46194</v>
      </c>
      <c r="C144" s="30"/>
      <c r="D144" s="30"/>
      <c r="E144" s="30"/>
    </row>
    <row r="145" spans="1:5" x14ac:dyDescent="0.3">
      <c r="A145" s="5">
        <v>142</v>
      </c>
      <c r="B145" s="25">
        <v>46195</v>
      </c>
      <c r="C145" s="30"/>
      <c r="D145" s="30"/>
      <c r="E145" s="30"/>
    </row>
    <row r="146" spans="1:5" x14ac:dyDescent="0.3">
      <c r="A146" s="5">
        <v>143</v>
      </c>
      <c r="B146" s="25">
        <v>46196</v>
      </c>
      <c r="C146" s="30"/>
      <c r="D146" s="30"/>
      <c r="E146" s="30"/>
    </row>
    <row r="147" spans="1:5" x14ac:dyDescent="0.3">
      <c r="A147" s="30"/>
      <c r="B147" s="30"/>
      <c r="C147" s="30"/>
      <c r="D147" s="30"/>
      <c r="E147" s="30"/>
    </row>
    <row r="148" spans="1:5" x14ac:dyDescent="0.3">
      <c r="A148" s="30"/>
      <c r="B148" s="30"/>
      <c r="C148" s="30"/>
      <c r="D148" s="30"/>
      <c r="E148" s="30"/>
    </row>
    <row r="149" spans="1:5" x14ac:dyDescent="0.3">
      <c r="A149" s="30"/>
      <c r="B149" s="30"/>
      <c r="C149" s="30"/>
      <c r="D149" s="30"/>
      <c r="E149" s="30"/>
    </row>
  </sheetData>
  <mergeCells count="1">
    <mergeCell ref="A3:E3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opLeftCell="A130" workbookViewId="0">
      <selection activeCell="H134" sqref="H134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29.33203125" bestFit="1" customWidth="1"/>
    <col min="4" max="4" width="11" bestFit="1" customWidth="1"/>
    <col min="5" max="5" width="18.33203125" bestFit="1" customWidth="1"/>
    <col min="7" max="7" width="12.33203125" bestFit="1" customWidth="1"/>
    <col min="8" max="8" width="9" bestFit="1" customWidth="1"/>
    <col min="9" max="10" width="29.33203125" bestFit="1" customWidth="1"/>
    <col min="11" max="12" width="18.33203125" bestFit="1" customWidth="1"/>
  </cols>
  <sheetData>
    <row r="1" spans="1:12" ht="25.8" thickBot="1" x14ac:dyDescent="0.65">
      <c r="A1" s="74" t="s">
        <v>0</v>
      </c>
      <c r="B1" s="77"/>
      <c r="C1" s="77"/>
      <c r="D1" s="77"/>
      <c r="E1" s="78"/>
      <c r="H1" s="74" t="s">
        <v>0</v>
      </c>
      <c r="I1" s="77"/>
      <c r="J1" s="77"/>
      <c r="K1" s="77"/>
      <c r="L1" s="78"/>
    </row>
    <row r="2" spans="1:12" ht="15" thickBot="1" x14ac:dyDescent="0.35">
      <c r="A2" s="1" t="s">
        <v>1</v>
      </c>
      <c r="B2" s="2" t="s">
        <v>2</v>
      </c>
      <c r="C2" s="2" t="s">
        <v>3</v>
      </c>
      <c r="D2" s="1" t="s">
        <v>4</v>
      </c>
      <c r="E2" s="1" t="s">
        <v>5</v>
      </c>
      <c r="H2" s="1" t="s">
        <v>1</v>
      </c>
      <c r="I2" s="3" t="s">
        <v>2</v>
      </c>
      <c r="J2" s="1" t="s">
        <v>3</v>
      </c>
      <c r="K2" s="1" t="s">
        <v>4</v>
      </c>
      <c r="L2" s="1" t="s">
        <v>5</v>
      </c>
    </row>
    <row r="3" spans="1:12" x14ac:dyDescent="0.3">
      <c r="A3" s="9">
        <v>1</v>
      </c>
      <c r="B3" s="10">
        <v>44695</v>
      </c>
      <c r="C3" s="6" t="s">
        <v>7</v>
      </c>
      <c r="D3" s="6" t="s">
        <v>6</v>
      </c>
      <c r="E3" s="6">
        <v>10</v>
      </c>
      <c r="H3" s="6">
        <v>1</v>
      </c>
      <c r="I3" s="7">
        <v>44705</v>
      </c>
      <c r="J3" s="8" t="s">
        <v>8</v>
      </c>
      <c r="K3" s="5" t="s">
        <v>6</v>
      </c>
      <c r="L3" s="5">
        <v>6</v>
      </c>
    </row>
    <row r="4" spans="1:12" x14ac:dyDescent="0.3">
      <c r="A4" s="6">
        <v>2</v>
      </c>
      <c r="B4" s="10">
        <v>44698</v>
      </c>
      <c r="C4" s="6" t="s">
        <v>7</v>
      </c>
      <c r="D4" s="6" t="s">
        <v>6</v>
      </c>
      <c r="E4" s="6">
        <v>50</v>
      </c>
    </row>
    <row r="5" spans="1:12" x14ac:dyDescent="0.3">
      <c r="A5" s="6">
        <v>3</v>
      </c>
      <c r="B5" s="10">
        <v>44699</v>
      </c>
      <c r="C5" s="6" t="s">
        <v>7</v>
      </c>
      <c r="D5" s="6" t="s">
        <v>6</v>
      </c>
      <c r="E5" s="6">
        <v>56</v>
      </c>
    </row>
    <row r="6" spans="1:12" x14ac:dyDescent="0.3">
      <c r="E6">
        <f>E3+E4+E5</f>
        <v>116</v>
      </c>
    </row>
    <row r="7" spans="1:12" ht="15" thickBot="1" x14ac:dyDescent="0.35"/>
    <row r="8" spans="1:12" ht="25.8" thickBot="1" x14ac:dyDescent="0.65">
      <c r="A8" s="74" t="s">
        <v>9</v>
      </c>
      <c r="B8" s="75"/>
      <c r="C8" s="75"/>
      <c r="D8" s="75"/>
      <c r="E8" s="76"/>
    </row>
    <row r="9" spans="1:12" ht="15" thickBot="1" x14ac:dyDescent="0.35">
      <c r="A9" s="11" t="s">
        <v>1</v>
      </c>
      <c r="B9" s="2" t="s">
        <v>2</v>
      </c>
      <c r="C9" s="1" t="s">
        <v>3</v>
      </c>
      <c r="D9" s="11" t="s">
        <v>4</v>
      </c>
      <c r="E9" s="1" t="s">
        <v>5</v>
      </c>
    </row>
    <row r="10" spans="1:12" x14ac:dyDescent="0.3">
      <c r="A10" s="6">
        <v>1</v>
      </c>
      <c r="B10" s="10">
        <v>44716</v>
      </c>
      <c r="C10" s="6" t="s">
        <v>11</v>
      </c>
      <c r="D10" s="6" t="s">
        <v>6</v>
      </c>
      <c r="E10" s="6">
        <v>4</v>
      </c>
    </row>
    <row r="11" spans="1:12" x14ac:dyDescent="0.3">
      <c r="A11" s="5">
        <v>2</v>
      </c>
      <c r="B11" s="4">
        <v>44720</v>
      </c>
      <c r="C11" s="5" t="s">
        <v>11</v>
      </c>
      <c r="D11" s="5" t="s">
        <v>6</v>
      </c>
      <c r="E11" s="5">
        <v>2</v>
      </c>
    </row>
    <row r="12" spans="1:12" x14ac:dyDescent="0.3">
      <c r="A12" s="12">
        <v>3</v>
      </c>
      <c r="B12" s="14">
        <v>44722</v>
      </c>
      <c r="C12" s="5" t="s">
        <v>11</v>
      </c>
      <c r="D12" s="5" t="s">
        <v>6</v>
      </c>
      <c r="E12" s="5">
        <v>2</v>
      </c>
    </row>
    <row r="13" spans="1:12" x14ac:dyDescent="0.3">
      <c r="A13" s="18">
        <v>4</v>
      </c>
      <c r="B13" s="19">
        <v>44727</v>
      </c>
      <c r="C13" s="5" t="s">
        <v>11</v>
      </c>
      <c r="D13" s="5" t="s">
        <v>10</v>
      </c>
      <c r="E13" s="5">
        <v>1</v>
      </c>
    </row>
    <row r="14" spans="1:12" x14ac:dyDescent="0.3">
      <c r="A14" s="5">
        <v>5</v>
      </c>
      <c r="B14" s="4">
        <v>44741</v>
      </c>
      <c r="C14" s="5" t="s">
        <v>11</v>
      </c>
      <c r="D14" s="5"/>
      <c r="E14" s="5">
        <v>4</v>
      </c>
    </row>
    <row r="15" spans="1:12" x14ac:dyDescent="0.3">
      <c r="E15">
        <f>E10+E11+E12+E13+E14</f>
        <v>13</v>
      </c>
    </row>
    <row r="16" spans="1:12" ht="15" thickBot="1" x14ac:dyDescent="0.35"/>
    <row r="17" spans="1:11" ht="25.8" thickBot="1" x14ac:dyDescent="0.65">
      <c r="A17" s="74" t="s">
        <v>43</v>
      </c>
      <c r="B17" s="75"/>
      <c r="C17" s="75"/>
      <c r="D17" s="75"/>
      <c r="E17" s="76"/>
      <c r="G17" s="74" t="s">
        <v>47</v>
      </c>
      <c r="H17" s="75"/>
      <c r="I17" s="75"/>
      <c r="J17" s="75"/>
      <c r="K17" s="76"/>
    </row>
    <row r="18" spans="1:11" x14ac:dyDescent="0.3">
      <c r="A18" s="11" t="s">
        <v>1</v>
      </c>
      <c r="B18" s="2" t="s">
        <v>2</v>
      </c>
      <c r="C18" s="11" t="s">
        <v>3</v>
      </c>
      <c r="D18" s="11" t="s">
        <v>4</v>
      </c>
      <c r="E18" s="11" t="s">
        <v>5</v>
      </c>
      <c r="G18" s="11" t="s">
        <v>1</v>
      </c>
      <c r="H18" s="2" t="s">
        <v>2</v>
      </c>
      <c r="I18" s="11" t="s">
        <v>3</v>
      </c>
      <c r="J18" s="11" t="s">
        <v>4</v>
      </c>
      <c r="K18" s="11" t="s">
        <v>5</v>
      </c>
    </row>
    <row r="19" spans="1:11" x14ac:dyDescent="0.3">
      <c r="A19" s="5">
        <v>1</v>
      </c>
      <c r="B19" s="4">
        <v>44743</v>
      </c>
      <c r="C19" s="5" t="s">
        <v>11</v>
      </c>
      <c r="D19" s="5" t="s">
        <v>10</v>
      </c>
      <c r="E19" s="5">
        <v>5</v>
      </c>
      <c r="G19" s="5">
        <v>1</v>
      </c>
      <c r="H19" s="4">
        <v>44794</v>
      </c>
      <c r="I19" s="5" t="s">
        <v>73</v>
      </c>
      <c r="J19" s="5"/>
      <c r="K19" s="5" t="s">
        <v>74</v>
      </c>
    </row>
    <row r="20" spans="1:11" x14ac:dyDescent="0.3">
      <c r="A20" s="5"/>
      <c r="B20" s="5"/>
      <c r="C20" s="5"/>
      <c r="D20" s="5"/>
      <c r="E20" s="5"/>
      <c r="G20" s="5"/>
      <c r="H20" s="5"/>
      <c r="I20" s="5"/>
      <c r="J20" s="5"/>
      <c r="K20" s="5"/>
    </row>
    <row r="21" spans="1:11" x14ac:dyDescent="0.3">
      <c r="A21" s="5"/>
      <c r="B21" s="5"/>
      <c r="C21" s="5"/>
      <c r="D21" s="5"/>
      <c r="E21" s="5"/>
      <c r="G21" s="5"/>
      <c r="H21" s="5"/>
      <c r="I21" s="5"/>
      <c r="J21" s="5"/>
      <c r="K21" s="5"/>
    </row>
    <row r="22" spans="1:11" x14ac:dyDescent="0.3">
      <c r="A22" s="5"/>
      <c r="B22" s="5"/>
      <c r="C22" s="5"/>
      <c r="D22" s="5"/>
      <c r="E22" s="5"/>
      <c r="G22" s="5"/>
      <c r="H22" s="5"/>
      <c r="I22" s="5"/>
      <c r="J22" s="5"/>
      <c r="K22" s="5"/>
    </row>
    <row r="23" spans="1:11" x14ac:dyDescent="0.3">
      <c r="G23" s="5"/>
      <c r="H23" s="5"/>
      <c r="I23" s="5"/>
      <c r="J23" s="5"/>
      <c r="K23" s="5"/>
    </row>
    <row r="24" spans="1:11" ht="15" thickBot="1" x14ac:dyDescent="0.35">
      <c r="G24" s="5"/>
      <c r="H24" s="5"/>
      <c r="I24" s="5"/>
      <c r="J24" s="5"/>
      <c r="K24" s="5"/>
    </row>
    <row r="25" spans="1:11" ht="25.8" thickBot="1" x14ac:dyDescent="0.65">
      <c r="A25" s="74" t="s">
        <v>47</v>
      </c>
      <c r="B25" s="75"/>
      <c r="C25" s="75"/>
      <c r="D25" s="75"/>
      <c r="E25" s="76"/>
      <c r="G25" s="5"/>
      <c r="H25" s="5"/>
      <c r="I25" s="5"/>
      <c r="J25" s="5"/>
      <c r="K25" s="5"/>
    </row>
    <row r="26" spans="1:11" x14ac:dyDescent="0.3">
      <c r="A26" s="11" t="s">
        <v>1</v>
      </c>
      <c r="B26" s="2" t="s">
        <v>2</v>
      </c>
      <c r="C26" s="11" t="s">
        <v>3</v>
      </c>
      <c r="D26" s="11" t="s">
        <v>4</v>
      </c>
      <c r="E26" s="11" t="s">
        <v>5</v>
      </c>
      <c r="G26" s="5"/>
      <c r="H26" s="5"/>
      <c r="I26" s="5"/>
      <c r="J26" s="5"/>
      <c r="K26" s="5"/>
    </row>
    <row r="27" spans="1:11" x14ac:dyDescent="0.3">
      <c r="A27" s="5">
        <v>1</v>
      </c>
      <c r="B27" s="4">
        <v>44785</v>
      </c>
      <c r="C27" s="5" t="s">
        <v>48</v>
      </c>
      <c r="D27" s="5" t="s">
        <v>6</v>
      </c>
      <c r="E27" s="5">
        <v>4</v>
      </c>
    </row>
    <row r="28" spans="1:11" ht="15" thickBot="1" x14ac:dyDescent="0.35">
      <c r="A28" s="5">
        <v>2</v>
      </c>
      <c r="B28" s="4">
        <v>44788</v>
      </c>
      <c r="C28" s="5" t="s">
        <v>64</v>
      </c>
      <c r="D28" s="5" t="s">
        <v>10</v>
      </c>
      <c r="E28" s="5" t="s">
        <v>65</v>
      </c>
    </row>
    <row r="29" spans="1:11" ht="25.8" thickBot="1" x14ac:dyDescent="0.65">
      <c r="A29" s="5">
        <v>3</v>
      </c>
      <c r="B29" s="4">
        <v>44788</v>
      </c>
      <c r="C29" s="5" t="s">
        <v>48</v>
      </c>
      <c r="D29" s="5"/>
      <c r="E29" s="5">
        <v>5</v>
      </c>
      <c r="G29" s="74" t="s">
        <v>47</v>
      </c>
      <c r="H29" s="75"/>
      <c r="I29" s="75"/>
      <c r="J29" s="75"/>
      <c r="K29" s="76"/>
    </row>
    <row r="30" spans="1:11" x14ac:dyDescent="0.3">
      <c r="A30" s="5">
        <v>4</v>
      </c>
      <c r="B30" s="4">
        <v>44794</v>
      </c>
      <c r="C30" s="5" t="s">
        <v>71</v>
      </c>
      <c r="D30" s="5" t="s">
        <v>6</v>
      </c>
      <c r="E30" s="5">
        <v>25</v>
      </c>
      <c r="G30" s="11" t="s">
        <v>1</v>
      </c>
      <c r="H30" s="2" t="s">
        <v>2</v>
      </c>
      <c r="I30" s="11" t="s">
        <v>3</v>
      </c>
      <c r="J30" s="11" t="s">
        <v>4</v>
      </c>
      <c r="K30" s="11" t="s">
        <v>5</v>
      </c>
    </row>
    <row r="31" spans="1:11" x14ac:dyDescent="0.3">
      <c r="A31" s="5">
        <v>5</v>
      </c>
      <c r="B31" s="4">
        <v>44800</v>
      </c>
      <c r="C31" s="5" t="s">
        <v>48</v>
      </c>
      <c r="D31" s="5" t="s">
        <v>6</v>
      </c>
      <c r="E31" s="5">
        <v>4</v>
      </c>
      <c r="G31" s="5">
        <v>1</v>
      </c>
      <c r="H31" s="4">
        <v>44829</v>
      </c>
      <c r="I31" s="5" t="s">
        <v>120</v>
      </c>
      <c r="J31" s="5"/>
      <c r="K31" s="5" t="s">
        <v>127</v>
      </c>
    </row>
    <row r="32" spans="1:11" x14ac:dyDescent="0.3">
      <c r="A32" s="5"/>
      <c r="B32" s="4">
        <v>44825</v>
      </c>
      <c r="C32" s="5" t="s">
        <v>48</v>
      </c>
      <c r="D32" s="5"/>
      <c r="E32" s="5">
        <v>1</v>
      </c>
      <c r="G32" s="5"/>
      <c r="H32" s="5"/>
      <c r="I32" s="5"/>
      <c r="J32" s="5"/>
      <c r="K32" s="5"/>
    </row>
    <row r="33" spans="1:11" x14ac:dyDescent="0.3">
      <c r="A33" s="5"/>
      <c r="B33" s="5"/>
      <c r="C33" s="5"/>
      <c r="D33" s="5"/>
      <c r="E33" s="5"/>
      <c r="G33" s="5"/>
      <c r="H33" s="5"/>
      <c r="I33" s="5"/>
      <c r="J33" s="5"/>
      <c r="K33" s="5"/>
    </row>
    <row r="34" spans="1:11" ht="15" thickBot="1" x14ac:dyDescent="0.35">
      <c r="G34" s="5"/>
      <c r="H34" s="5"/>
      <c r="I34" s="5"/>
      <c r="J34" s="5"/>
      <c r="K34" s="5"/>
    </row>
    <row r="35" spans="1:11" ht="25.8" thickBot="1" x14ac:dyDescent="0.65">
      <c r="A35" s="74" t="s">
        <v>80</v>
      </c>
      <c r="B35" s="75"/>
      <c r="C35" s="75"/>
      <c r="D35" s="75"/>
      <c r="E35" s="76"/>
    </row>
    <row r="36" spans="1:11" x14ac:dyDescent="0.3">
      <c r="A36" s="11" t="s">
        <v>1</v>
      </c>
      <c r="B36" s="2" t="s">
        <v>2</v>
      </c>
      <c r="C36" s="11" t="s">
        <v>3</v>
      </c>
      <c r="D36" s="11" t="s">
        <v>4</v>
      </c>
      <c r="E36" s="11" t="s">
        <v>5</v>
      </c>
    </row>
    <row r="37" spans="1:11" x14ac:dyDescent="0.3">
      <c r="A37" s="5">
        <v>1</v>
      </c>
      <c r="B37" s="4">
        <v>44808</v>
      </c>
      <c r="C37" s="5" t="s">
        <v>48</v>
      </c>
      <c r="D37" s="5"/>
      <c r="E37" s="5" t="s">
        <v>81</v>
      </c>
      <c r="F37" s="34" t="s">
        <v>108</v>
      </c>
      <c r="G37" s="31" t="s">
        <v>89</v>
      </c>
      <c r="H37" s="31" t="s">
        <v>90</v>
      </c>
    </row>
    <row r="38" spans="1:11" x14ac:dyDescent="0.3">
      <c r="A38" s="5"/>
      <c r="B38" s="4">
        <v>44827</v>
      </c>
      <c r="C38" s="5" t="s">
        <v>56</v>
      </c>
      <c r="D38" s="5" t="s">
        <v>10</v>
      </c>
      <c r="E38" s="5" t="s">
        <v>114</v>
      </c>
      <c r="G38" t="s">
        <v>95</v>
      </c>
      <c r="H38" s="31">
        <v>70350</v>
      </c>
    </row>
    <row r="39" spans="1:11" x14ac:dyDescent="0.3">
      <c r="A39" s="5"/>
      <c r="B39" s="4">
        <v>44828</v>
      </c>
      <c r="C39" s="5" t="s">
        <v>118</v>
      </c>
      <c r="D39" s="5"/>
      <c r="E39" s="5" t="s">
        <v>65</v>
      </c>
    </row>
    <row r="40" spans="1:11" x14ac:dyDescent="0.3">
      <c r="A40" s="5"/>
      <c r="B40" s="4">
        <v>44829</v>
      </c>
      <c r="C40" s="5" t="s">
        <v>118</v>
      </c>
      <c r="D40" s="5"/>
      <c r="E40" s="5" t="s">
        <v>119</v>
      </c>
      <c r="F40" t="s">
        <v>108</v>
      </c>
    </row>
    <row r="41" spans="1:11" x14ac:dyDescent="0.3">
      <c r="A41" s="5"/>
      <c r="B41" s="4"/>
      <c r="C41" s="5"/>
      <c r="D41" s="5"/>
      <c r="E41" s="5"/>
    </row>
    <row r="42" spans="1:11" x14ac:dyDescent="0.3">
      <c r="A42" s="30"/>
      <c r="B42" s="5"/>
      <c r="C42" s="5"/>
      <c r="D42" s="5"/>
      <c r="E42" s="5"/>
    </row>
    <row r="43" spans="1:11" ht="15" thickBot="1" x14ac:dyDescent="0.35">
      <c r="A43" s="79"/>
      <c r="B43" s="79"/>
      <c r="C43" s="79"/>
      <c r="D43" s="79"/>
      <c r="E43" s="80"/>
    </row>
    <row r="44" spans="1:11" ht="25.8" thickBot="1" x14ac:dyDescent="0.65">
      <c r="A44" s="74" t="s">
        <v>154</v>
      </c>
      <c r="B44" s="75"/>
      <c r="C44" s="75"/>
      <c r="D44" s="75"/>
      <c r="E44" s="76"/>
    </row>
    <row r="45" spans="1:11" x14ac:dyDescent="0.3">
      <c r="A45" s="11" t="s">
        <v>1</v>
      </c>
      <c r="B45" s="2" t="s">
        <v>2</v>
      </c>
      <c r="C45" s="11" t="s">
        <v>3</v>
      </c>
      <c r="D45" s="11" t="s">
        <v>4</v>
      </c>
      <c r="E45" s="11" t="s">
        <v>5</v>
      </c>
    </row>
    <row r="46" spans="1:11" x14ac:dyDescent="0.3">
      <c r="A46" s="5">
        <v>1</v>
      </c>
      <c r="B46" s="4">
        <v>44973</v>
      </c>
      <c r="C46" s="5" t="s">
        <v>155</v>
      </c>
      <c r="D46" s="5" t="s">
        <v>6</v>
      </c>
      <c r="E46" s="5">
        <v>20</v>
      </c>
    </row>
    <row r="47" spans="1:11" x14ac:dyDescent="0.3">
      <c r="A47" s="5">
        <v>2</v>
      </c>
      <c r="B47" s="4">
        <v>44974</v>
      </c>
      <c r="C47" s="5" t="s">
        <v>155</v>
      </c>
      <c r="D47" s="5" t="s">
        <v>6</v>
      </c>
      <c r="E47" s="5">
        <v>10</v>
      </c>
    </row>
    <row r="48" spans="1:11" x14ac:dyDescent="0.3">
      <c r="A48" s="5">
        <v>3</v>
      </c>
      <c r="B48" s="4">
        <v>44976</v>
      </c>
      <c r="C48" s="5" t="s">
        <v>155</v>
      </c>
      <c r="D48" s="5" t="s">
        <v>6</v>
      </c>
      <c r="E48" s="5">
        <v>2</v>
      </c>
    </row>
    <row r="49" spans="1:11" x14ac:dyDescent="0.3">
      <c r="A49" s="5">
        <v>4</v>
      </c>
      <c r="B49" s="4">
        <v>44978</v>
      </c>
      <c r="C49" s="5" t="s">
        <v>155</v>
      </c>
      <c r="D49" s="5" t="s">
        <v>6</v>
      </c>
      <c r="E49" s="5">
        <v>8</v>
      </c>
    </row>
    <row r="50" spans="1:11" ht="15" thickBot="1" x14ac:dyDescent="0.35">
      <c r="A50" s="5"/>
      <c r="B50" s="4"/>
      <c r="C50" s="5"/>
      <c r="D50" s="5"/>
      <c r="E50" s="5"/>
    </row>
    <row r="51" spans="1:11" ht="25.8" thickBot="1" x14ac:dyDescent="0.65">
      <c r="A51" s="74" t="s">
        <v>166</v>
      </c>
      <c r="B51" s="75"/>
      <c r="C51" s="75"/>
      <c r="D51" s="75"/>
      <c r="E51" s="76"/>
      <c r="G51" s="74" t="s">
        <v>166</v>
      </c>
      <c r="H51" s="75"/>
      <c r="I51" s="75"/>
      <c r="J51" s="75"/>
      <c r="K51" s="76"/>
    </row>
    <row r="52" spans="1:11" x14ac:dyDescent="0.3">
      <c r="A52" s="11" t="s">
        <v>1</v>
      </c>
      <c r="B52" s="2" t="s">
        <v>2</v>
      </c>
      <c r="C52" s="11" t="s">
        <v>3</v>
      </c>
      <c r="D52" s="11" t="s">
        <v>4</v>
      </c>
      <c r="E52" s="11" t="s">
        <v>5</v>
      </c>
      <c r="G52" s="11" t="s">
        <v>1</v>
      </c>
      <c r="H52" s="2" t="s">
        <v>2</v>
      </c>
      <c r="I52" s="11" t="s">
        <v>3</v>
      </c>
      <c r="J52" s="11" t="s">
        <v>4</v>
      </c>
      <c r="K52" s="11" t="s">
        <v>5</v>
      </c>
    </row>
    <row r="53" spans="1:11" x14ac:dyDescent="0.3">
      <c r="A53" s="5">
        <v>1</v>
      </c>
      <c r="B53" s="4">
        <v>44994</v>
      </c>
      <c r="C53" s="5" t="s">
        <v>155</v>
      </c>
      <c r="D53" s="5" t="s">
        <v>6</v>
      </c>
      <c r="E53" s="5">
        <v>19</v>
      </c>
      <c r="G53" s="5">
        <v>1</v>
      </c>
      <c r="H53" s="4">
        <v>44991</v>
      </c>
      <c r="I53" s="5" t="s">
        <v>169</v>
      </c>
      <c r="J53" s="5" t="s">
        <v>167</v>
      </c>
      <c r="K53" s="5" t="s">
        <v>168</v>
      </c>
    </row>
    <row r="54" spans="1:11" x14ac:dyDescent="0.3">
      <c r="A54" s="5">
        <v>2</v>
      </c>
      <c r="B54" s="4">
        <v>44994</v>
      </c>
      <c r="C54" s="5" t="s">
        <v>171</v>
      </c>
      <c r="D54" s="5" t="s">
        <v>172</v>
      </c>
      <c r="E54" s="5">
        <v>4</v>
      </c>
      <c r="G54" s="5"/>
      <c r="H54" s="4"/>
      <c r="I54" s="5"/>
      <c r="J54" s="5"/>
      <c r="K54" s="5"/>
    </row>
    <row r="55" spans="1:11" x14ac:dyDescent="0.3">
      <c r="A55" s="5">
        <v>3</v>
      </c>
      <c r="B55" s="4">
        <v>44995</v>
      </c>
      <c r="C55" s="5" t="s">
        <v>171</v>
      </c>
      <c r="D55" s="5" t="s">
        <v>172</v>
      </c>
      <c r="E55" s="5">
        <v>15</v>
      </c>
      <c r="G55" s="5"/>
      <c r="H55" s="4"/>
      <c r="I55" s="5"/>
      <c r="J55" s="5"/>
      <c r="K55" s="5"/>
    </row>
    <row r="56" spans="1:11" x14ac:dyDescent="0.3">
      <c r="A56" s="5">
        <v>4</v>
      </c>
      <c r="B56" s="4">
        <v>44999</v>
      </c>
      <c r="C56" s="5" t="s">
        <v>171</v>
      </c>
      <c r="D56" s="5" t="s">
        <v>172</v>
      </c>
      <c r="E56" s="5">
        <v>4</v>
      </c>
      <c r="G56" s="5"/>
      <c r="H56" s="4"/>
      <c r="I56" s="5"/>
      <c r="J56" s="5"/>
      <c r="K56" s="5"/>
    </row>
    <row r="57" spans="1:11" x14ac:dyDescent="0.3">
      <c r="A57" s="5">
        <v>5</v>
      </c>
      <c r="B57" s="4">
        <v>45000</v>
      </c>
      <c r="C57" s="5" t="s">
        <v>171</v>
      </c>
      <c r="D57" s="5" t="s">
        <v>172</v>
      </c>
      <c r="E57" s="5">
        <v>3</v>
      </c>
      <c r="G57" s="5"/>
      <c r="H57" s="4"/>
      <c r="I57" s="5"/>
      <c r="J57" s="5"/>
      <c r="K57" s="5"/>
    </row>
    <row r="58" spans="1:11" x14ac:dyDescent="0.3">
      <c r="A58" s="5">
        <v>6</v>
      </c>
      <c r="B58" s="4">
        <v>45001</v>
      </c>
      <c r="C58" s="5" t="s">
        <v>171</v>
      </c>
      <c r="D58" s="5" t="s">
        <v>172</v>
      </c>
      <c r="E58" s="5">
        <v>3</v>
      </c>
      <c r="G58" s="31"/>
      <c r="H58" s="41"/>
      <c r="I58" s="31"/>
      <c r="J58" s="31"/>
      <c r="K58" s="31"/>
    </row>
    <row r="59" spans="1:11" x14ac:dyDescent="0.3">
      <c r="A59" s="5">
        <v>7</v>
      </c>
      <c r="B59" s="4">
        <v>45001</v>
      </c>
      <c r="C59" s="5" t="s">
        <v>171</v>
      </c>
      <c r="D59" s="5" t="s">
        <v>167</v>
      </c>
      <c r="E59" s="5">
        <v>15</v>
      </c>
    </row>
    <row r="60" spans="1:11" x14ac:dyDescent="0.3">
      <c r="A60" s="5">
        <v>8</v>
      </c>
      <c r="B60" s="4">
        <v>45003</v>
      </c>
      <c r="C60" s="5" t="s">
        <v>171</v>
      </c>
      <c r="D60" s="5" t="s">
        <v>172</v>
      </c>
      <c r="E60" s="5">
        <v>5</v>
      </c>
    </row>
    <row r="61" spans="1:11" x14ac:dyDescent="0.3">
      <c r="A61" s="5">
        <v>9</v>
      </c>
      <c r="B61" s="4">
        <v>45004</v>
      </c>
      <c r="C61" s="5" t="s">
        <v>178</v>
      </c>
      <c r="D61" s="5" t="s">
        <v>6</v>
      </c>
      <c r="E61" s="5">
        <v>25</v>
      </c>
    </row>
    <row r="62" spans="1:11" x14ac:dyDescent="0.3">
      <c r="A62" s="5">
        <v>10</v>
      </c>
      <c r="B62" s="4">
        <v>45010</v>
      </c>
      <c r="C62" s="5" t="s">
        <v>178</v>
      </c>
      <c r="D62" s="5" t="s">
        <v>6</v>
      </c>
      <c r="E62" s="5">
        <v>25</v>
      </c>
    </row>
    <row r="63" spans="1:11" x14ac:dyDescent="0.3">
      <c r="A63" s="5">
        <v>11</v>
      </c>
      <c r="B63" s="4">
        <v>45012</v>
      </c>
      <c r="C63" s="5" t="s">
        <v>155</v>
      </c>
      <c r="D63" s="5"/>
      <c r="E63" s="5">
        <v>5</v>
      </c>
      <c r="F63" t="s">
        <v>108</v>
      </c>
    </row>
    <row r="64" spans="1:11" x14ac:dyDescent="0.3">
      <c r="A64" s="5"/>
      <c r="B64" s="5"/>
      <c r="C64" s="5"/>
      <c r="D64" s="5"/>
      <c r="E64" s="5"/>
    </row>
    <row r="65" spans="1:11" x14ac:dyDescent="0.3">
      <c r="A65" s="5"/>
      <c r="B65" s="5"/>
      <c r="C65" s="5"/>
      <c r="D65" s="5"/>
      <c r="E65" s="5"/>
    </row>
    <row r="66" spans="1:11" ht="15" thickBot="1" x14ac:dyDescent="0.35"/>
    <row r="67" spans="1:11" ht="25.8" thickBot="1" x14ac:dyDescent="0.65">
      <c r="A67" s="74" t="s">
        <v>180</v>
      </c>
      <c r="B67" s="75"/>
      <c r="C67" s="75"/>
      <c r="D67" s="75"/>
      <c r="E67" s="76"/>
      <c r="G67" s="74" t="s">
        <v>180</v>
      </c>
      <c r="H67" s="75"/>
      <c r="I67" s="75"/>
      <c r="J67" s="75"/>
      <c r="K67" s="76"/>
    </row>
    <row r="68" spans="1:11" x14ac:dyDescent="0.3">
      <c r="A68" s="11" t="s">
        <v>1</v>
      </c>
      <c r="B68" s="2" t="s">
        <v>2</v>
      </c>
      <c r="C68" s="11" t="s">
        <v>3</v>
      </c>
      <c r="D68" s="11" t="s">
        <v>4</v>
      </c>
      <c r="E68" s="11" t="s">
        <v>5</v>
      </c>
      <c r="G68" s="11" t="s">
        <v>1</v>
      </c>
      <c r="H68" s="2" t="s">
        <v>2</v>
      </c>
      <c r="I68" s="11" t="s">
        <v>3</v>
      </c>
      <c r="J68" s="11" t="s">
        <v>4</v>
      </c>
      <c r="K68" s="11" t="s">
        <v>5</v>
      </c>
    </row>
    <row r="69" spans="1:11" x14ac:dyDescent="0.3">
      <c r="A69" s="5">
        <v>1</v>
      </c>
      <c r="B69" s="4">
        <v>45017</v>
      </c>
      <c r="C69" s="5" t="s">
        <v>178</v>
      </c>
      <c r="D69" s="5" t="s">
        <v>6</v>
      </c>
      <c r="E69" s="5">
        <v>20</v>
      </c>
      <c r="G69" s="5">
        <v>1</v>
      </c>
      <c r="H69" s="4">
        <v>45033</v>
      </c>
      <c r="I69" s="5" t="s">
        <v>187</v>
      </c>
      <c r="J69" s="5" t="s">
        <v>6</v>
      </c>
      <c r="K69" s="5">
        <v>3</v>
      </c>
    </row>
    <row r="70" spans="1:11" x14ac:dyDescent="0.3">
      <c r="A70" s="5">
        <v>2</v>
      </c>
      <c r="B70" s="4">
        <v>45020</v>
      </c>
      <c r="C70" s="5" t="s">
        <v>178</v>
      </c>
      <c r="D70" s="5" t="s">
        <v>6</v>
      </c>
      <c r="E70" s="5">
        <v>25</v>
      </c>
      <c r="G70" s="5">
        <v>2</v>
      </c>
      <c r="H70" s="4"/>
      <c r="I70" s="5"/>
      <c r="J70" s="5"/>
      <c r="K70" s="5"/>
    </row>
    <row r="71" spans="1:11" x14ac:dyDescent="0.3">
      <c r="A71" s="5">
        <v>3</v>
      </c>
      <c r="B71" s="4">
        <v>45024</v>
      </c>
      <c r="C71" s="5" t="s">
        <v>178</v>
      </c>
      <c r="D71" s="5" t="s">
        <v>6</v>
      </c>
      <c r="E71" s="5">
        <v>15</v>
      </c>
      <c r="G71" s="5">
        <v>3</v>
      </c>
      <c r="H71" s="4"/>
      <c r="I71" s="5"/>
      <c r="J71" s="5"/>
      <c r="K71" s="5"/>
    </row>
    <row r="72" spans="1:11" x14ac:dyDescent="0.3">
      <c r="A72" s="5"/>
      <c r="B72" s="4"/>
      <c r="C72" s="5"/>
      <c r="D72" s="5"/>
      <c r="E72" s="5"/>
      <c r="G72" s="5"/>
      <c r="H72" s="4"/>
      <c r="I72" s="5"/>
      <c r="J72" s="5"/>
      <c r="K72" s="5"/>
    </row>
    <row r="73" spans="1:11" x14ac:dyDescent="0.3">
      <c r="A73" s="5"/>
      <c r="B73" s="4"/>
      <c r="C73" s="5"/>
      <c r="D73" s="5"/>
      <c r="E73" s="5"/>
      <c r="G73" s="5"/>
      <c r="H73" s="4"/>
      <c r="I73" s="5"/>
      <c r="J73" s="5"/>
      <c r="K73" s="5"/>
    </row>
    <row r="74" spans="1:11" ht="15" thickBot="1" x14ac:dyDescent="0.35"/>
    <row r="75" spans="1:11" ht="25.8" thickBot="1" x14ac:dyDescent="0.65">
      <c r="A75" s="74" t="s">
        <v>191</v>
      </c>
      <c r="B75" s="75"/>
      <c r="C75" s="75"/>
      <c r="D75" s="75"/>
      <c r="E75" s="76"/>
    </row>
    <row r="76" spans="1:11" x14ac:dyDescent="0.3">
      <c r="A76" s="11" t="s">
        <v>1</v>
      </c>
      <c r="B76" s="2" t="s">
        <v>2</v>
      </c>
      <c r="C76" s="11" t="s">
        <v>3</v>
      </c>
      <c r="D76" s="11" t="s">
        <v>4</v>
      </c>
      <c r="E76" s="11" t="s">
        <v>5</v>
      </c>
    </row>
    <row r="77" spans="1:11" x14ac:dyDescent="0.3">
      <c r="A77" s="5">
        <v>1</v>
      </c>
      <c r="B77" s="4">
        <v>45113</v>
      </c>
      <c r="C77" s="5" t="s">
        <v>192</v>
      </c>
      <c r="D77" s="5" t="s">
        <v>10</v>
      </c>
      <c r="E77" s="5">
        <v>6</v>
      </c>
    </row>
    <row r="78" spans="1:11" x14ac:dyDescent="0.3">
      <c r="A78" s="5">
        <v>2</v>
      </c>
      <c r="B78" s="4">
        <v>45116</v>
      </c>
      <c r="C78" s="13" t="s">
        <v>184</v>
      </c>
      <c r="D78" s="5" t="s">
        <v>10</v>
      </c>
      <c r="E78" s="5">
        <v>50</v>
      </c>
    </row>
    <row r="79" spans="1:11" x14ac:dyDescent="0.3">
      <c r="A79" s="5">
        <v>3</v>
      </c>
      <c r="B79" s="4">
        <v>45121</v>
      </c>
      <c r="C79" s="5" t="s">
        <v>184</v>
      </c>
      <c r="D79" s="5" t="s">
        <v>10</v>
      </c>
      <c r="E79" s="5">
        <v>1</v>
      </c>
    </row>
    <row r="80" spans="1:11" x14ac:dyDescent="0.3">
      <c r="A80" s="5">
        <v>4</v>
      </c>
      <c r="B80" s="4">
        <v>45127</v>
      </c>
      <c r="C80" s="5" t="s">
        <v>184</v>
      </c>
      <c r="D80" s="5" t="s">
        <v>10</v>
      </c>
      <c r="E80" s="5">
        <v>4</v>
      </c>
    </row>
    <row r="81" spans="1:5" x14ac:dyDescent="0.3">
      <c r="A81" s="81">
        <v>5</v>
      </c>
      <c r="B81" s="83">
        <v>45131</v>
      </c>
      <c r="C81" s="81" t="s">
        <v>184</v>
      </c>
      <c r="D81" s="5" t="s">
        <v>10</v>
      </c>
      <c r="E81" s="5">
        <v>6</v>
      </c>
    </row>
    <row r="82" spans="1:5" x14ac:dyDescent="0.3">
      <c r="A82" s="82"/>
      <c r="B82" s="84"/>
      <c r="C82" s="82"/>
      <c r="D82" s="5" t="s">
        <v>10</v>
      </c>
      <c r="E82" s="5">
        <v>1</v>
      </c>
    </row>
    <row r="83" spans="1:5" x14ac:dyDescent="0.3">
      <c r="A83" s="5">
        <v>6</v>
      </c>
      <c r="B83" s="4">
        <v>45132</v>
      </c>
      <c r="C83" s="5" t="s">
        <v>184</v>
      </c>
      <c r="D83" s="5" t="s">
        <v>10</v>
      </c>
      <c r="E83" s="5">
        <v>3</v>
      </c>
    </row>
    <row r="85" spans="1:5" ht="15" thickBot="1" x14ac:dyDescent="0.35"/>
    <row r="86" spans="1:5" ht="25.8" thickBot="1" x14ac:dyDescent="0.65">
      <c r="A86" s="74" t="s">
        <v>205</v>
      </c>
      <c r="B86" s="75"/>
      <c r="C86" s="75"/>
      <c r="D86" s="75"/>
      <c r="E86" s="76"/>
    </row>
    <row r="87" spans="1:5" x14ac:dyDescent="0.3">
      <c r="A87" s="11" t="s">
        <v>1</v>
      </c>
      <c r="B87" s="2" t="s">
        <v>2</v>
      </c>
      <c r="C87" s="11" t="s">
        <v>3</v>
      </c>
      <c r="D87" s="11" t="s">
        <v>4</v>
      </c>
      <c r="E87" s="11" t="s">
        <v>5</v>
      </c>
    </row>
    <row r="88" spans="1:5" x14ac:dyDescent="0.3">
      <c r="A88" s="5">
        <v>1</v>
      </c>
      <c r="B88" s="4">
        <v>45139</v>
      </c>
      <c r="C88" s="13" t="s">
        <v>184</v>
      </c>
      <c r="D88" s="5" t="s">
        <v>10</v>
      </c>
      <c r="E88" s="5">
        <v>1</v>
      </c>
    </row>
    <row r="89" spans="1:5" x14ac:dyDescent="0.3">
      <c r="A89" s="5">
        <v>2</v>
      </c>
      <c r="B89" s="4">
        <v>45140</v>
      </c>
      <c r="C89" s="13" t="s">
        <v>184</v>
      </c>
      <c r="D89" s="5" t="s">
        <v>10</v>
      </c>
      <c r="E89" s="5">
        <v>2</v>
      </c>
    </row>
    <row r="90" spans="1:5" x14ac:dyDescent="0.3">
      <c r="A90" s="5">
        <v>3</v>
      </c>
      <c r="B90" s="4">
        <v>45143</v>
      </c>
      <c r="C90" s="13" t="s">
        <v>184</v>
      </c>
      <c r="D90" s="5" t="s">
        <v>10</v>
      </c>
      <c r="E90" s="5">
        <v>1</v>
      </c>
    </row>
    <row r="91" spans="1:5" x14ac:dyDescent="0.3">
      <c r="A91" s="5">
        <v>4</v>
      </c>
      <c r="B91" s="4">
        <v>45147</v>
      </c>
      <c r="C91" s="5" t="s">
        <v>184</v>
      </c>
      <c r="D91" s="5" t="s">
        <v>10</v>
      </c>
      <c r="E91" s="5">
        <v>25</v>
      </c>
    </row>
    <row r="92" spans="1:5" x14ac:dyDescent="0.3">
      <c r="A92" s="5">
        <v>5</v>
      </c>
      <c r="B92" s="4">
        <v>45148</v>
      </c>
      <c r="C92" s="5" t="s">
        <v>184</v>
      </c>
      <c r="D92" s="5" t="s">
        <v>10</v>
      </c>
      <c r="E92" s="5">
        <v>5</v>
      </c>
    </row>
    <row r="93" spans="1:5" x14ac:dyDescent="0.3">
      <c r="A93" s="5">
        <v>6</v>
      </c>
      <c r="B93" s="4">
        <v>45150</v>
      </c>
      <c r="C93" s="5" t="s">
        <v>184</v>
      </c>
      <c r="D93" s="5" t="s">
        <v>10</v>
      </c>
      <c r="E93" s="5">
        <v>2</v>
      </c>
    </row>
    <row r="94" spans="1:5" x14ac:dyDescent="0.3">
      <c r="A94" s="5">
        <v>7</v>
      </c>
      <c r="B94" s="4">
        <v>45152</v>
      </c>
      <c r="C94" s="5" t="s">
        <v>184</v>
      </c>
      <c r="D94" s="5" t="s">
        <v>10</v>
      </c>
      <c r="E94" s="5">
        <v>2</v>
      </c>
    </row>
    <row r="95" spans="1:5" x14ac:dyDescent="0.3">
      <c r="A95" s="5">
        <v>8</v>
      </c>
      <c r="B95" s="4">
        <v>45162</v>
      </c>
      <c r="C95" s="5" t="s">
        <v>184</v>
      </c>
      <c r="D95" s="5" t="s">
        <v>10</v>
      </c>
      <c r="E95" s="5">
        <v>4</v>
      </c>
    </row>
    <row r="96" spans="1:5" x14ac:dyDescent="0.3">
      <c r="A96" s="5">
        <v>9</v>
      </c>
      <c r="B96" s="4">
        <v>45169</v>
      </c>
      <c r="C96" s="5" t="s">
        <v>184</v>
      </c>
      <c r="D96" s="5" t="s">
        <v>10</v>
      </c>
      <c r="E96" s="5">
        <v>5</v>
      </c>
    </row>
    <row r="97" spans="1:5" ht="15" thickBot="1" x14ac:dyDescent="0.35"/>
    <row r="98" spans="1:5" ht="25.8" thickBot="1" x14ac:dyDescent="0.65">
      <c r="A98" s="74" t="s">
        <v>212</v>
      </c>
      <c r="B98" s="75"/>
      <c r="C98" s="75"/>
      <c r="D98" s="75"/>
      <c r="E98" s="76"/>
    </row>
    <row r="99" spans="1:5" x14ac:dyDescent="0.3">
      <c r="A99" s="11" t="s">
        <v>1</v>
      </c>
      <c r="B99" s="2" t="s">
        <v>2</v>
      </c>
      <c r="C99" s="11" t="s">
        <v>3</v>
      </c>
      <c r="D99" s="11" t="s">
        <v>4</v>
      </c>
      <c r="E99" s="11" t="s">
        <v>5</v>
      </c>
    </row>
    <row r="100" spans="1:5" x14ac:dyDescent="0.3">
      <c r="A100" s="5">
        <v>1</v>
      </c>
      <c r="B100" s="4">
        <v>45170</v>
      </c>
      <c r="C100" s="13" t="s">
        <v>184</v>
      </c>
      <c r="D100" s="5" t="s">
        <v>10</v>
      </c>
      <c r="E100" s="5">
        <v>1</v>
      </c>
    </row>
    <row r="101" spans="1:5" x14ac:dyDescent="0.3">
      <c r="A101" s="5">
        <v>2</v>
      </c>
      <c r="B101" s="4">
        <v>45177</v>
      </c>
      <c r="C101" s="13" t="s">
        <v>184</v>
      </c>
      <c r="D101" s="5" t="s">
        <v>10</v>
      </c>
      <c r="E101" s="5">
        <v>6</v>
      </c>
    </row>
    <row r="102" spans="1:5" x14ac:dyDescent="0.3">
      <c r="A102" s="5">
        <v>3</v>
      </c>
      <c r="B102" s="4">
        <v>45181</v>
      </c>
      <c r="C102" s="13" t="s">
        <v>184</v>
      </c>
      <c r="D102" s="5" t="s">
        <v>10</v>
      </c>
      <c r="E102" s="5">
        <v>1</v>
      </c>
    </row>
    <row r="103" spans="1:5" x14ac:dyDescent="0.3">
      <c r="A103" s="5">
        <v>4</v>
      </c>
      <c r="B103" s="4">
        <v>45184</v>
      </c>
      <c r="C103" s="5" t="s">
        <v>184</v>
      </c>
      <c r="D103" s="5" t="s">
        <v>10</v>
      </c>
      <c r="E103" s="5">
        <v>8</v>
      </c>
    </row>
    <row r="104" spans="1:5" x14ac:dyDescent="0.3">
      <c r="A104" s="5">
        <v>5</v>
      </c>
      <c r="B104" s="4">
        <v>45191</v>
      </c>
      <c r="C104" s="5" t="s">
        <v>184</v>
      </c>
      <c r="D104" s="5" t="s">
        <v>10</v>
      </c>
      <c r="E104" s="5">
        <v>2</v>
      </c>
    </row>
    <row r="105" spans="1:5" x14ac:dyDescent="0.3">
      <c r="A105" s="5">
        <v>6</v>
      </c>
      <c r="B105" s="4">
        <v>45193</v>
      </c>
      <c r="C105" s="5" t="s">
        <v>184</v>
      </c>
      <c r="D105" s="5" t="s">
        <v>10</v>
      </c>
      <c r="E105" s="5">
        <v>2</v>
      </c>
    </row>
    <row r="106" spans="1:5" x14ac:dyDescent="0.3">
      <c r="A106" s="5">
        <v>7</v>
      </c>
      <c r="B106" s="4"/>
      <c r="C106" s="5"/>
      <c r="D106" s="5"/>
      <c r="E106" s="5"/>
    </row>
    <row r="107" spans="1:5" x14ac:dyDescent="0.3">
      <c r="A107" s="5">
        <v>8</v>
      </c>
      <c r="B107" s="4"/>
      <c r="C107" s="5"/>
      <c r="D107" s="5"/>
      <c r="E107" s="5"/>
    </row>
    <row r="108" spans="1:5" ht="15" thickBot="1" x14ac:dyDescent="0.35"/>
    <row r="109" spans="1:5" ht="25.8" thickBot="1" x14ac:dyDescent="0.65">
      <c r="A109" s="74" t="s">
        <v>223</v>
      </c>
      <c r="B109" s="75"/>
      <c r="C109" s="75"/>
      <c r="D109" s="75"/>
      <c r="E109" s="76"/>
    </row>
    <row r="110" spans="1:5" x14ac:dyDescent="0.3">
      <c r="A110" s="11" t="s">
        <v>1</v>
      </c>
      <c r="B110" s="2" t="s">
        <v>2</v>
      </c>
      <c r="C110" s="11" t="s">
        <v>3</v>
      </c>
      <c r="D110" s="11" t="s">
        <v>4</v>
      </c>
      <c r="E110" s="11" t="s">
        <v>5</v>
      </c>
    </row>
    <row r="111" spans="1:5" x14ac:dyDescent="0.3">
      <c r="A111" s="5">
        <v>1</v>
      </c>
      <c r="B111" s="4">
        <v>45218</v>
      </c>
      <c r="C111" s="18" t="s">
        <v>184</v>
      </c>
      <c r="D111" s="5" t="s">
        <v>10</v>
      </c>
      <c r="E111" s="5">
        <v>6</v>
      </c>
    </row>
    <row r="112" spans="1:5" x14ac:dyDescent="0.3">
      <c r="A112" s="5">
        <v>2</v>
      </c>
      <c r="B112" s="4">
        <v>45220</v>
      </c>
      <c r="C112" s="13" t="s">
        <v>184</v>
      </c>
      <c r="D112" s="5" t="s">
        <v>10</v>
      </c>
      <c r="E112" s="5">
        <v>50</v>
      </c>
    </row>
    <row r="113" spans="1:5" x14ac:dyDescent="0.3">
      <c r="A113" s="5">
        <v>3</v>
      </c>
      <c r="B113" s="4">
        <v>45221</v>
      </c>
      <c r="C113" s="13" t="s">
        <v>56</v>
      </c>
      <c r="D113" s="5" t="s">
        <v>10</v>
      </c>
      <c r="E113" s="5">
        <v>20</v>
      </c>
    </row>
    <row r="114" spans="1:5" x14ac:dyDescent="0.3">
      <c r="A114" s="5">
        <v>4</v>
      </c>
      <c r="B114" s="4">
        <v>45224</v>
      </c>
      <c r="C114" s="5" t="s">
        <v>56</v>
      </c>
      <c r="D114" s="5" t="s">
        <v>10</v>
      </c>
      <c r="E114" s="5">
        <v>50</v>
      </c>
    </row>
    <row r="115" spans="1:5" x14ac:dyDescent="0.3">
      <c r="A115" s="5">
        <v>5</v>
      </c>
      <c r="B115" s="4">
        <v>45226</v>
      </c>
      <c r="C115" s="5" t="s">
        <v>56</v>
      </c>
      <c r="D115" s="5" t="s">
        <v>10</v>
      </c>
      <c r="E115" s="5">
        <v>5</v>
      </c>
    </row>
    <row r="116" spans="1:5" x14ac:dyDescent="0.3">
      <c r="A116" s="5">
        <v>6</v>
      </c>
      <c r="B116" s="4"/>
      <c r="C116" s="5"/>
      <c r="D116" s="5"/>
      <c r="E116" s="5"/>
    </row>
    <row r="117" spans="1:5" x14ac:dyDescent="0.3">
      <c r="A117" s="5">
        <v>7</v>
      </c>
      <c r="B117" s="4"/>
      <c r="C117" s="5"/>
      <c r="D117" s="5"/>
      <c r="E117" s="5"/>
    </row>
    <row r="118" spans="1:5" x14ac:dyDescent="0.3">
      <c r="A118" s="5">
        <v>8</v>
      </c>
      <c r="B118" s="4"/>
      <c r="C118" s="5"/>
      <c r="D118" s="5"/>
      <c r="E118" s="5"/>
    </row>
    <row r="119" spans="1:5" ht="15" thickBot="1" x14ac:dyDescent="0.35"/>
    <row r="120" spans="1:5" ht="25.8" thickBot="1" x14ac:dyDescent="0.65">
      <c r="A120" s="74" t="s">
        <v>237</v>
      </c>
      <c r="B120" s="75"/>
      <c r="C120" s="75"/>
      <c r="D120" s="75"/>
      <c r="E120" s="76"/>
    </row>
    <row r="121" spans="1:5" x14ac:dyDescent="0.3">
      <c r="A121" s="11" t="s">
        <v>1</v>
      </c>
      <c r="B121" s="2" t="s">
        <v>2</v>
      </c>
      <c r="C121" s="11" t="s">
        <v>3</v>
      </c>
      <c r="D121" s="11" t="s">
        <v>4</v>
      </c>
      <c r="E121" s="11" t="s">
        <v>5</v>
      </c>
    </row>
    <row r="122" spans="1:5" x14ac:dyDescent="0.3">
      <c r="A122" s="5">
        <v>1</v>
      </c>
      <c r="B122" s="4">
        <v>45532</v>
      </c>
      <c r="C122" s="5" t="s">
        <v>238</v>
      </c>
      <c r="D122" s="5" t="s">
        <v>239</v>
      </c>
      <c r="E122" s="5">
        <v>4</v>
      </c>
    </row>
    <row r="123" spans="1:5" x14ac:dyDescent="0.3">
      <c r="A123" s="5">
        <v>2</v>
      </c>
      <c r="B123" s="4">
        <v>45533</v>
      </c>
      <c r="C123" s="18" t="s">
        <v>184</v>
      </c>
      <c r="D123" s="5" t="s">
        <v>10</v>
      </c>
      <c r="E123" s="5">
        <v>4</v>
      </c>
    </row>
    <row r="124" spans="1:5" x14ac:dyDescent="0.3">
      <c r="A124" s="5">
        <v>3</v>
      </c>
      <c r="B124" s="4">
        <v>45536</v>
      </c>
      <c r="C124" s="18" t="s">
        <v>184</v>
      </c>
      <c r="D124" s="5" t="s">
        <v>10</v>
      </c>
      <c r="E124" s="5">
        <v>5</v>
      </c>
    </row>
    <row r="125" spans="1:5" x14ac:dyDescent="0.3">
      <c r="A125" s="5"/>
      <c r="B125" s="4"/>
      <c r="C125" s="13"/>
      <c r="D125" s="5"/>
      <c r="E125" s="5"/>
    </row>
    <row r="126" spans="1:5" x14ac:dyDescent="0.3">
      <c r="A126" s="5"/>
      <c r="B126" s="4"/>
      <c r="C126" s="5"/>
      <c r="D126" s="5"/>
      <c r="E126" s="5"/>
    </row>
    <row r="127" spans="1:5" x14ac:dyDescent="0.3">
      <c r="A127" s="5"/>
      <c r="B127" s="4"/>
      <c r="C127" s="5"/>
      <c r="D127" s="5"/>
      <c r="E127" s="5"/>
    </row>
    <row r="128" spans="1:5" x14ac:dyDescent="0.3">
      <c r="A128" s="5"/>
      <c r="B128" s="4"/>
      <c r="C128" s="5"/>
      <c r="D128" s="5"/>
      <c r="E128" s="5"/>
    </row>
    <row r="129" spans="1:5" x14ac:dyDescent="0.3">
      <c r="A129" s="5"/>
      <c r="B129" s="4"/>
      <c r="C129" s="5"/>
      <c r="D129" s="5"/>
      <c r="E129" s="5"/>
    </row>
    <row r="130" spans="1:5" x14ac:dyDescent="0.3">
      <c r="A130" s="5"/>
      <c r="B130" s="4"/>
      <c r="C130" s="5"/>
      <c r="D130" s="5"/>
      <c r="E130" s="5"/>
    </row>
    <row r="132" spans="1:5" ht="15" thickBot="1" x14ac:dyDescent="0.35"/>
    <row r="133" spans="1:5" ht="25.8" thickBot="1" x14ac:dyDescent="0.65">
      <c r="A133" s="74" t="s">
        <v>237</v>
      </c>
      <c r="B133" s="75"/>
      <c r="C133" s="75"/>
      <c r="D133" s="75"/>
      <c r="E133" s="76"/>
    </row>
    <row r="134" spans="1:5" x14ac:dyDescent="0.3">
      <c r="A134" s="11" t="s">
        <v>1</v>
      </c>
      <c r="B134" s="2" t="s">
        <v>2</v>
      </c>
      <c r="C134" s="11" t="s">
        <v>3</v>
      </c>
      <c r="D134" s="11" t="s">
        <v>4</v>
      </c>
      <c r="E134" s="11" t="s">
        <v>5</v>
      </c>
    </row>
    <row r="135" spans="1:5" x14ac:dyDescent="0.3">
      <c r="A135" s="5">
        <v>1</v>
      </c>
      <c r="B135" s="4">
        <v>46059</v>
      </c>
      <c r="C135" s="5" t="s">
        <v>250</v>
      </c>
      <c r="D135" s="5"/>
      <c r="E135" s="5">
        <v>25</v>
      </c>
    </row>
    <row r="136" spans="1:5" x14ac:dyDescent="0.3">
      <c r="A136" s="5">
        <v>2</v>
      </c>
      <c r="B136" s="4">
        <v>46062</v>
      </c>
      <c r="C136" s="5" t="s">
        <v>255</v>
      </c>
      <c r="D136" s="5"/>
      <c r="E136" s="5">
        <v>1</v>
      </c>
    </row>
    <row r="137" spans="1:5" x14ac:dyDescent="0.3">
      <c r="A137" s="5">
        <v>3</v>
      </c>
      <c r="B137" s="4">
        <v>46063</v>
      </c>
      <c r="C137" s="5" t="s">
        <v>254</v>
      </c>
      <c r="D137" s="5"/>
      <c r="E137" s="5">
        <v>1</v>
      </c>
    </row>
    <row r="138" spans="1:5" x14ac:dyDescent="0.3">
      <c r="A138" s="5">
        <v>4</v>
      </c>
      <c r="B138" s="4">
        <v>46066</v>
      </c>
      <c r="C138" s="5" t="s">
        <v>254</v>
      </c>
      <c r="D138" s="5"/>
      <c r="E138" s="5">
        <v>3</v>
      </c>
    </row>
    <row r="139" spans="1:5" x14ac:dyDescent="0.3">
      <c r="A139" s="5">
        <v>5</v>
      </c>
      <c r="B139" s="4">
        <v>46067</v>
      </c>
      <c r="C139" s="5" t="s">
        <v>254</v>
      </c>
      <c r="D139" s="5"/>
      <c r="E139" s="5">
        <v>7</v>
      </c>
    </row>
    <row r="140" spans="1:5" x14ac:dyDescent="0.3">
      <c r="A140" s="5">
        <v>6</v>
      </c>
      <c r="B140" s="25">
        <v>46088</v>
      </c>
      <c r="C140" s="5" t="s">
        <v>343</v>
      </c>
      <c r="D140" s="5"/>
      <c r="E140" s="5">
        <v>2</v>
      </c>
    </row>
    <row r="141" spans="1:5" x14ac:dyDescent="0.3">
      <c r="A141" s="5">
        <v>7</v>
      </c>
      <c r="B141" s="4">
        <v>46097</v>
      </c>
      <c r="C141" s="5" t="s">
        <v>263</v>
      </c>
      <c r="D141" s="30"/>
      <c r="E141" s="5">
        <v>5</v>
      </c>
    </row>
    <row r="142" spans="1:5" x14ac:dyDescent="0.3">
      <c r="A142" s="5">
        <v>8</v>
      </c>
      <c r="B142" s="4">
        <v>46098</v>
      </c>
      <c r="C142" s="5" t="s">
        <v>263</v>
      </c>
      <c r="D142" s="30"/>
      <c r="E142" s="5">
        <v>5</v>
      </c>
    </row>
    <row r="143" spans="1:5" x14ac:dyDescent="0.3">
      <c r="A143" s="5">
        <v>9</v>
      </c>
      <c r="B143" s="4">
        <v>46101</v>
      </c>
      <c r="C143" s="5" t="s">
        <v>263</v>
      </c>
      <c r="D143" s="30"/>
      <c r="E143" s="5">
        <v>4</v>
      </c>
    </row>
    <row r="144" spans="1:5" x14ac:dyDescent="0.3">
      <c r="A144" s="5">
        <v>10</v>
      </c>
      <c r="B144" s="25">
        <v>46104</v>
      </c>
      <c r="C144" s="5" t="s">
        <v>250</v>
      </c>
      <c r="D144" s="30"/>
      <c r="E144" s="5">
        <v>6</v>
      </c>
    </row>
    <row r="145" spans="1:5" x14ac:dyDescent="0.3">
      <c r="A145" s="5">
        <v>11</v>
      </c>
      <c r="B145" s="25">
        <v>46106</v>
      </c>
      <c r="C145" s="5" t="s">
        <v>250</v>
      </c>
      <c r="D145" s="30"/>
      <c r="E145" s="5">
        <v>10</v>
      </c>
    </row>
    <row r="146" spans="1:5" x14ac:dyDescent="0.3">
      <c r="A146" s="5">
        <v>12</v>
      </c>
      <c r="B146" s="25">
        <v>46113</v>
      </c>
      <c r="C146" s="5" t="s">
        <v>263</v>
      </c>
      <c r="D146" s="30"/>
      <c r="E146" s="5">
        <v>5</v>
      </c>
    </row>
    <row r="147" spans="1:5" x14ac:dyDescent="0.3">
      <c r="A147" s="5">
        <v>13</v>
      </c>
      <c r="B147" s="25">
        <v>46116</v>
      </c>
      <c r="C147" s="5" t="s">
        <v>250</v>
      </c>
      <c r="D147" s="30"/>
      <c r="E147" s="5">
        <v>15</v>
      </c>
    </row>
    <row r="148" spans="1:5" x14ac:dyDescent="0.3">
      <c r="A148" s="5">
        <v>14</v>
      </c>
      <c r="B148" s="25">
        <v>46124</v>
      </c>
      <c r="C148" s="5" t="s">
        <v>250</v>
      </c>
      <c r="D148" s="30"/>
      <c r="E148" s="5">
        <v>10</v>
      </c>
    </row>
    <row r="149" spans="1:5" x14ac:dyDescent="0.3">
      <c r="A149" s="5">
        <v>15</v>
      </c>
      <c r="B149" s="25">
        <v>46137</v>
      </c>
      <c r="C149" s="5" t="s">
        <v>250</v>
      </c>
      <c r="D149" s="30"/>
      <c r="E149" s="5">
        <v>10</v>
      </c>
    </row>
  </sheetData>
  <mergeCells count="23">
    <mergeCell ref="A133:E133"/>
    <mergeCell ref="A120:E120"/>
    <mergeCell ref="A98:E98"/>
    <mergeCell ref="G67:K67"/>
    <mergeCell ref="A86:E86"/>
    <mergeCell ref="A51:E51"/>
    <mergeCell ref="G51:K51"/>
    <mergeCell ref="A109:E109"/>
    <mergeCell ref="A43:E43"/>
    <mergeCell ref="A35:E35"/>
    <mergeCell ref="A44:E44"/>
    <mergeCell ref="A81:A82"/>
    <mergeCell ref="B81:B82"/>
    <mergeCell ref="C81:C82"/>
    <mergeCell ref="A75:E75"/>
    <mergeCell ref="A67:E67"/>
    <mergeCell ref="G29:K29"/>
    <mergeCell ref="A1:E1"/>
    <mergeCell ref="H1:L1"/>
    <mergeCell ref="A8:E8"/>
    <mergeCell ref="A17:E17"/>
    <mergeCell ref="A25:E25"/>
    <mergeCell ref="G17:K17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9"/>
  <sheetViews>
    <sheetView topLeftCell="A76" workbookViewId="0">
      <selection activeCell="D91" sqref="D91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31.44140625" bestFit="1" customWidth="1"/>
    <col min="4" max="4" width="22.33203125" bestFit="1" customWidth="1"/>
    <col min="5" max="5" width="17.88671875" bestFit="1" customWidth="1"/>
    <col min="6" max="6" width="34.6640625" bestFit="1" customWidth="1"/>
    <col min="9" max="9" width="11" bestFit="1" customWidth="1"/>
  </cols>
  <sheetData>
    <row r="1" spans="1:6" ht="25.8" thickBot="1" x14ac:dyDescent="0.65">
      <c r="A1" s="74" t="s">
        <v>12</v>
      </c>
      <c r="B1" s="75"/>
      <c r="C1" s="75"/>
      <c r="D1" s="75"/>
      <c r="E1" s="75"/>
    </row>
    <row r="2" spans="1:6" ht="15" thickBot="1" x14ac:dyDescent="0.35">
      <c r="A2" s="1" t="s">
        <v>1</v>
      </c>
      <c r="B2" s="1" t="s">
        <v>2</v>
      </c>
      <c r="C2" s="1" t="s">
        <v>3</v>
      </c>
      <c r="D2" s="1" t="s">
        <v>13</v>
      </c>
      <c r="E2" s="1" t="s">
        <v>14</v>
      </c>
    </row>
    <row r="3" spans="1:6" x14ac:dyDescent="0.3">
      <c r="A3" s="81">
        <v>1</v>
      </c>
      <c r="B3" s="83">
        <v>44697</v>
      </c>
      <c r="C3" s="81" t="s">
        <v>16</v>
      </c>
      <c r="D3" s="8" t="s">
        <v>17</v>
      </c>
      <c r="E3" s="5">
        <v>5</v>
      </c>
    </row>
    <row r="4" spans="1:6" x14ac:dyDescent="0.3">
      <c r="A4" s="82"/>
      <c r="B4" s="84"/>
      <c r="C4" s="82"/>
      <c r="D4" s="5" t="s">
        <v>15</v>
      </c>
      <c r="E4" s="5">
        <v>96</v>
      </c>
    </row>
    <row r="5" spans="1:6" x14ac:dyDescent="0.3">
      <c r="A5" s="18">
        <v>2</v>
      </c>
      <c r="B5" s="19">
        <v>44698</v>
      </c>
      <c r="C5" s="18" t="s">
        <v>16</v>
      </c>
      <c r="D5" s="18" t="s">
        <v>15</v>
      </c>
      <c r="E5" s="18">
        <v>96</v>
      </c>
    </row>
    <row r="6" spans="1:6" ht="15" thickBot="1" x14ac:dyDescent="0.35"/>
    <row r="7" spans="1:6" ht="25.8" thickBot="1" x14ac:dyDescent="0.65">
      <c r="A7" s="74" t="s">
        <v>55</v>
      </c>
      <c r="B7" s="75"/>
      <c r="C7" s="75"/>
      <c r="D7" s="75"/>
      <c r="E7" s="76"/>
    </row>
    <row r="8" spans="1:6" ht="15" thickBot="1" x14ac:dyDescent="0.35">
      <c r="A8" s="11" t="s">
        <v>1</v>
      </c>
      <c r="B8" s="11" t="s">
        <v>2</v>
      </c>
      <c r="C8" s="11" t="s">
        <v>3</v>
      </c>
      <c r="D8" s="11" t="s">
        <v>13</v>
      </c>
      <c r="E8" s="1" t="s">
        <v>14</v>
      </c>
    </row>
    <row r="9" spans="1:6" x14ac:dyDescent="0.3">
      <c r="A9" s="81">
        <v>1</v>
      </c>
      <c r="B9" s="83">
        <v>44788</v>
      </c>
      <c r="C9" s="81" t="s">
        <v>56</v>
      </c>
      <c r="D9" s="5" t="s">
        <v>57</v>
      </c>
      <c r="E9" s="8" t="s">
        <v>58</v>
      </c>
    </row>
    <row r="10" spans="1:6" x14ac:dyDescent="0.3">
      <c r="A10" s="82"/>
      <c r="B10" s="84"/>
      <c r="C10" s="82"/>
      <c r="D10" s="5" t="s">
        <v>59</v>
      </c>
      <c r="E10" s="5" t="s">
        <v>60</v>
      </c>
    </row>
    <row r="11" spans="1:6" x14ac:dyDescent="0.3">
      <c r="A11" s="5">
        <v>2</v>
      </c>
      <c r="B11" s="4">
        <v>44788</v>
      </c>
      <c r="C11" s="5" t="s">
        <v>61</v>
      </c>
      <c r="D11" s="5" t="s">
        <v>57</v>
      </c>
      <c r="E11" s="5" t="s">
        <v>62</v>
      </c>
      <c r="F11" s="31" t="s">
        <v>63</v>
      </c>
    </row>
    <row r="12" spans="1:6" x14ac:dyDescent="0.3">
      <c r="A12" s="30"/>
      <c r="B12" s="30"/>
      <c r="C12" s="30"/>
      <c r="D12" s="30"/>
      <c r="E12" s="30"/>
    </row>
    <row r="13" spans="1:6" x14ac:dyDescent="0.3">
      <c r="A13" s="30"/>
      <c r="B13" s="30"/>
      <c r="C13" s="30"/>
      <c r="D13" s="30"/>
      <c r="E13" s="30"/>
    </row>
    <row r="15" spans="1:6" ht="15" thickBot="1" x14ac:dyDescent="0.35"/>
    <row r="16" spans="1:6" ht="25.8" thickBot="1" x14ac:dyDescent="0.65">
      <c r="A16" s="74" t="s">
        <v>82</v>
      </c>
      <c r="B16" s="75"/>
      <c r="C16" s="75"/>
      <c r="D16" s="75"/>
      <c r="E16" s="76"/>
    </row>
    <row r="17" spans="1:13" ht="15" thickBot="1" x14ac:dyDescent="0.35">
      <c r="A17" s="11" t="s">
        <v>1</v>
      </c>
      <c r="B17" s="11" t="s">
        <v>2</v>
      </c>
      <c r="C17" s="11" t="s">
        <v>3</v>
      </c>
      <c r="D17" s="11" t="s">
        <v>13</v>
      </c>
      <c r="E17" s="1" t="s">
        <v>14</v>
      </c>
      <c r="I17" t="s">
        <v>93</v>
      </c>
      <c r="J17" t="s">
        <v>85</v>
      </c>
      <c r="K17" s="32">
        <v>20</v>
      </c>
    </row>
    <row r="18" spans="1:13" x14ac:dyDescent="0.3">
      <c r="A18" s="5">
        <v>1</v>
      </c>
      <c r="B18" s="4">
        <v>44808</v>
      </c>
      <c r="C18" s="5" t="s">
        <v>84</v>
      </c>
      <c r="D18" s="5" t="s">
        <v>83</v>
      </c>
      <c r="E18" s="8" t="s">
        <v>85</v>
      </c>
      <c r="F18" s="35" t="s">
        <v>108</v>
      </c>
      <c r="I18" t="s">
        <v>91</v>
      </c>
      <c r="J18" t="s">
        <v>60</v>
      </c>
      <c r="K18" s="32">
        <v>50</v>
      </c>
    </row>
    <row r="19" spans="1:13" x14ac:dyDescent="0.3">
      <c r="A19" s="5"/>
      <c r="B19" s="5"/>
      <c r="C19" s="5"/>
      <c r="D19" s="5"/>
      <c r="E19" s="5"/>
      <c r="I19" t="s">
        <v>57</v>
      </c>
      <c r="J19" t="s">
        <v>94</v>
      </c>
      <c r="K19" s="32">
        <v>1120</v>
      </c>
    </row>
    <row r="20" spans="1:13" x14ac:dyDescent="0.3">
      <c r="A20" s="5"/>
      <c r="B20" s="5"/>
      <c r="C20" s="5"/>
      <c r="D20" s="5"/>
      <c r="E20" s="5"/>
      <c r="I20" t="s">
        <v>92</v>
      </c>
      <c r="J20" t="s">
        <v>60</v>
      </c>
      <c r="K20" s="32">
        <v>70</v>
      </c>
    </row>
    <row r="21" spans="1:13" x14ac:dyDescent="0.3">
      <c r="A21" s="5"/>
      <c r="B21" s="5"/>
      <c r="C21" s="5"/>
      <c r="D21" s="5"/>
      <c r="E21" s="5"/>
      <c r="K21" s="32">
        <v>1260</v>
      </c>
      <c r="L21">
        <v>75</v>
      </c>
      <c r="M21">
        <f>K21*L21</f>
        <v>94500</v>
      </c>
    </row>
    <row r="22" spans="1:13" x14ac:dyDescent="0.3">
      <c r="A22" s="5"/>
      <c r="B22" s="5"/>
      <c r="C22" s="5"/>
      <c r="D22" s="5"/>
      <c r="E22" s="5"/>
    </row>
    <row r="23" spans="1:13" x14ac:dyDescent="0.3">
      <c r="A23" s="5"/>
      <c r="B23" s="5"/>
      <c r="C23" s="5"/>
      <c r="D23" s="5"/>
      <c r="E23" s="5"/>
    </row>
    <row r="27" spans="1:13" ht="15" thickBot="1" x14ac:dyDescent="0.35"/>
    <row r="28" spans="1:13" ht="25.8" thickBot="1" x14ac:dyDescent="0.65">
      <c r="A28" s="74" t="s">
        <v>130</v>
      </c>
      <c r="B28" s="75"/>
      <c r="C28" s="75"/>
      <c r="D28" s="75"/>
      <c r="E28" s="76"/>
    </row>
    <row r="29" spans="1:13" ht="15" thickBot="1" x14ac:dyDescent="0.35">
      <c r="A29" s="11" t="s">
        <v>1</v>
      </c>
      <c r="B29" s="11" t="s">
        <v>2</v>
      </c>
      <c r="C29" s="11" t="s">
        <v>3</v>
      </c>
      <c r="D29" s="11" t="s">
        <v>13</v>
      </c>
      <c r="E29" s="1" t="s">
        <v>14</v>
      </c>
    </row>
    <row r="30" spans="1:13" x14ac:dyDescent="0.3">
      <c r="A30" s="81">
        <v>1</v>
      </c>
      <c r="B30" s="83">
        <v>44951</v>
      </c>
      <c r="C30" s="87" t="s">
        <v>142</v>
      </c>
      <c r="D30" s="81" t="s">
        <v>131</v>
      </c>
      <c r="E30" s="8" t="s">
        <v>132</v>
      </c>
    </row>
    <row r="31" spans="1:13" x14ac:dyDescent="0.3">
      <c r="A31" s="85"/>
      <c r="B31" s="86"/>
      <c r="C31" s="88"/>
      <c r="D31" s="85"/>
      <c r="E31" s="5" t="s">
        <v>133</v>
      </c>
    </row>
    <row r="32" spans="1:13" x14ac:dyDescent="0.3">
      <c r="A32" s="85"/>
      <c r="B32" s="86"/>
      <c r="C32" s="88"/>
      <c r="D32" s="82"/>
      <c r="E32" s="5" t="s">
        <v>134</v>
      </c>
    </row>
    <row r="33" spans="1:6" x14ac:dyDescent="0.3">
      <c r="A33" s="85"/>
      <c r="B33" s="86"/>
      <c r="C33" s="88"/>
      <c r="D33" s="81" t="s">
        <v>135</v>
      </c>
      <c r="E33" s="5" t="s">
        <v>136</v>
      </c>
    </row>
    <row r="34" spans="1:6" x14ac:dyDescent="0.3">
      <c r="A34" s="85"/>
      <c r="B34" s="86"/>
      <c r="C34" s="88"/>
      <c r="D34" s="82"/>
      <c r="E34" s="5" t="s">
        <v>137</v>
      </c>
    </row>
    <row r="35" spans="1:6" x14ac:dyDescent="0.3">
      <c r="A35" s="85"/>
      <c r="B35" s="86"/>
      <c r="C35" s="88"/>
      <c r="D35" s="5" t="s">
        <v>141</v>
      </c>
      <c r="E35" s="5" t="s">
        <v>138</v>
      </c>
    </row>
    <row r="36" spans="1:6" x14ac:dyDescent="0.3">
      <c r="A36" s="82"/>
      <c r="B36" s="84"/>
      <c r="C36" s="89"/>
      <c r="D36" s="5" t="s">
        <v>140</v>
      </c>
      <c r="E36" s="5" t="s">
        <v>139</v>
      </c>
    </row>
    <row r="37" spans="1:6" ht="15" thickBot="1" x14ac:dyDescent="0.35">
      <c r="A37" s="5"/>
      <c r="B37" s="5"/>
      <c r="C37" s="5"/>
      <c r="D37" s="5"/>
      <c r="E37" s="5"/>
    </row>
    <row r="38" spans="1:6" ht="25.8" thickBot="1" x14ac:dyDescent="0.65">
      <c r="A38" s="74" t="s">
        <v>157</v>
      </c>
      <c r="B38" s="75"/>
      <c r="C38" s="75"/>
      <c r="D38" s="75"/>
      <c r="E38" s="76"/>
    </row>
    <row r="39" spans="1:6" ht="15" thickBot="1" x14ac:dyDescent="0.35">
      <c r="A39" s="11" t="s">
        <v>1</v>
      </c>
      <c r="B39" s="11" t="s">
        <v>2</v>
      </c>
      <c r="C39" s="11" t="s">
        <v>3</v>
      </c>
      <c r="D39" s="11" t="s">
        <v>13</v>
      </c>
      <c r="E39" s="1" t="s">
        <v>14</v>
      </c>
    </row>
    <row r="40" spans="1:6" x14ac:dyDescent="0.3">
      <c r="A40" s="5">
        <v>1</v>
      </c>
      <c r="B40" s="4">
        <v>44974</v>
      </c>
      <c r="C40" s="5" t="s">
        <v>158</v>
      </c>
      <c r="D40" s="5" t="s">
        <v>92</v>
      </c>
      <c r="E40" s="5" t="s">
        <v>159</v>
      </c>
    </row>
    <row r="41" spans="1:6" x14ac:dyDescent="0.3">
      <c r="A41" s="5"/>
      <c r="B41" s="5"/>
      <c r="C41" s="5"/>
      <c r="D41" s="5"/>
      <c r="E41" s="5" t="s">
        <v>160</v>
      </c>
    </row>
    <row r="42" spans="1:6" x14ac:dyDescent="0.3">
      <c r="A42" s="5"/>
      <c r="B42" s="5"/>
      <c r="C42" s="5"/>
      <c r="D42" s="5"/>
      <c r="E42" s="5"/>
    </row>
    <row r="43" spans="1:6" ht="15" thickBot="1" x14ac:dyDescent="0.35"/>
    <row r="44" spans="1:6" ht="25.8" thickBot="1" x14ac:dyDescent="0.65">
      <c r="A44" s="74" t="s">
        <v>161</v>
      </c>
      <c r="B44" s="75"/>
      <c r="C44" s="75"/>
      <c r="D44" s="75"/>
      <c r="E44" s="76"/>
    </row>
    <row r="45" spans="1:6" ht="15" thickBot="1" x14ac:dyDescent="0.35">
      <c r="A45" s="11" t="s">
        <v>1</v>
      </c>
      <c r="B45" s="11" t="s">
        <v>2</v>
      </c>
      <c r="C45" s="11" t="s">
        <v>3</v>
      </c>
      <c r="D45" s="11" t="s">
        <v>13</v>
      </c>
      <c r="E45" s="1" t="s">
        <v>14</v>
      </c>
    </row>
    <row r="46" spans="1:6" x14ac:dyDescent="0.3">
      <c r="A46" s="5">
        <v>1</v>
      </c>
      <c r="B46" s="4">
        <v>44990</v>
      </c>
      <c r="C46" s="5" t="s">
        <v>64</v>
      </c>
      <c r="D46" s="5" t="s">
        <v>92</v>
      </c>
      <c r="E46" s="5" t="s">
        <v>162</v>
      </c>
      <c r="F46" s="46" t="s">
        <v>108</v>
      </c>
    </row>
    <row r="47" spans="1:6" x14ac:dyDescent="0.3">
      <c r="A47" s="5"/>
      <c r="B47" s="5"/>
      <c r="C47" s="5"/>
      <c r="D47" s="5"/>
      <c r="E47" s="5"/>
    </row>
    <row r="48" spans="1:6" x14ac:dyDescent="0.3">
      <c r="A48" s="5"/>
      <c r="B48" s="5"/>
      <c r="C48" s="5"/>
      <c r="D48" s="5"/>
      <c r="E48" s="5"/>
    </row>
    <row r="49" spans="1:6" ht="15" thickBot="1" x14ac:dyDescent="0.35"/>
    <row r="50" spans="1:6" ht="25.8" thickBot="1" x14ac:dyDescent="0.65">
      <c r="A50" s="74" t="s">
        <v>193</v>
      </c>
      <c r="B50" s="75"/>
      <c r="C50" s="75"/>
      <c r="D50" s="75"/>
      <c r="E50" s="76"/>
    </row>
    <row r="51" spans="1:6" ht="15" thickBot="1" x14ac:dyDescent="0.35">
      <c r="A51" s="11" t="s">
        <v>1</v>
      </c>
      <c r="B51" s="11" t="s">
        <v>2</v>
      </c>
      <c r="C51" s="11" t="s">
        <v>3</v>
      </c>
      <c r="D51" s="11" t="s">
        <v>13</v>
      </c>
      <c r="E51" s="1" t="s">
        <v>14</v>
      </c>
    </row>
    <row r="52" spans="1:6" x14ac:dyDescent="0.3">
      <c r="A52" s="5">
        <v>1</v>
      </c>
      <c r="B52" s="4">
        <v>45114</v>
      </c>
      <c r="C52" s="5" t="s">
        <v>64</v>
      </c>
      <c r="D52" s="5" t="s">
        <v>194</v>
      </c>
      <c r="E52" s="5" t="s">
        <v>195</v>
      </c>
      <c r="F52" s="46" t="s">
        <v>196</v>
      </c>
    </row>
    <row r="53" spans="1:6" x14ac:dyDescent="0.3">
      <c r="A53" s="12">
        <v>2</v>
      </c>
      <c r="B53" s="14">
        <v>45116</v>
      </c>
      <c r="C53" s="12" t="s">
        <v>64</v>
      </c>
      <c r="D53" s="5" t="s">
        <v>194</v>
      </c>
      <c r="E53" s="5" t="s">
        <v>203</v>
      </c>
    </row>
    <row r="54" spans="1:6" x14ac:dyDescent="0.3">
      <c r="A54" s="5">
        <v>3</v>
      </c>
      <c r="B54" s="4">
        <v>45130</v>
      </c>
      <c r="C54" s="5" t="s">
        <v>64</v>
      </c>
      <c r="D54" s="5" t="s">
        <v>91</v>
      </c>
      <c r="E54" s="5" t="s">
        <v>202</v>
      </c>
    </row>
    <row r="55" spans="1:6" x14ac:dyDescent="0.3">
      <c r="A55" s="5"/>
      <c r="B55" s="5"/>
      <c r="C55" s="5"/>
      <c r="D55" s="5"/>
      <c r="E55" s="5"/>
    </row>
    <row r="56" spans="1:6" x14ac:dyDescent="0.3">
      <c r="A56" s="5"/>
      <c r="B56" s="5"/>
      <c r="C56" s="5"/>
      <c r="D56" s="5"/>
      <c r="E56" s="5"/>
    </row>
    <row r="57" spans="1:6" ht="15" thickBot="1" x14ac:dyDescent="0.35"/>
    <row r="58" spans="1:6" ht="25.8" thickBot="1" x14ac:dyDescent="0.65">
      <c r="A58" s="74" t="s">
        <v>209</v>
      </c>
      <c r="B58" s="75"/>
      <c r="C58" s="75"/>
      <c r="D58" s="75"/>
      <c r="E58" s="76"/>
    </row>
    <row r="59" spans="1:6" ht="15" thickBot="1" x14ac:dyDescent="0.35">
      <c r="A59" s="11" t="s">
        <v>1</v>
      </c>
      <c r="B59" s="11" t="s">
        <v>2</v>
      </c>
      <c r="C59" s="11" t="s">
        <v>3</v>
      </c>
      <c r="D59" s="11" t="s">
        <v>13</v>
      </c>
      <c r="E59" s="1" t="s">
        <v>14</v>
      </c>
    </row>
    <row r="60" spans="1:6" x14ac:dyDescent="0.3">
      <c r="A60" s="5">
        <v>1</v>
      </c>
      <c r="B60" s="4">
        <v>45146</v>
      </c>
      <c r="C60" s="5" t="s">
        <v>64</v>
      </c>
      <c r="D60" s="5" t="s">
        <v>92</v>
      </c>
      <c r="E60" s="5" t="s">
        <v>210</v>
      </c>
      <c r="F60" s="46" t="s">
        <v>211</v>
      </c>
    </row>
    <row r="61" spans="1:6" x14ac:dyDescent="0.3">
      <c r="A61" s="12">
        <v>2</v>
      </c>
      <c r="B61" s="14"/>
      <c r="C61" s="12"/>
      <c r="D61" s="5"/>
      <c r="E61" s="5"/>
    </row>
    <row r="62" spans="1:6" x14ac:dyDescent="0.3">
      <c r="A62" s="5">
        <v>3</v>
      </c>
      <c r="B62" s="4"/>
      <c r="C62" s="5"/>
      <c r="D62" s="5"/>
      <c r="E62" s="5"/>
    </row>
    <row r="63" spans="1:6" x14ac:dyDescent="0.3">
      <c r="A63" s="5"/>
      <c r="B63" s="5"/>
      <c r="C63" s="5"/>
      <c r="D63" s="5"/>
      <c r="E63" s="5"/>
    </row>
    <row r="64" spans="1:6" x14ac:dyDescent="0.3">
      <c r="A64" s="5"/>
      <c r="B64" s="5"/>
      <c r="C64" s="5"/>
      <c r="D64" s="5"/>
      <c r="E64" s="5"/>
    </row>
    <row r="65" spans="1:5" ht="15" thickBot="1" x14ac:dyDescent="0.35"/>
    <row r="66" spans="1:5" ht="25.8" thickBot="1" x14ac:dyDescent="0.65">
      <c r="A66" s="74" t="s">
        <v>225</v>
      </c>
      <c r="B66" s="75"/>
      <c r="C66" s="75"/>
      <c r="D66" s="75"/>
      <c r="E66" s="76"/>
    </row>
    <row r="67" spans="1:5" ht="15" thickBot="1" x14ac:dyDescent="0.35">
      <c r="A67" s="11" t="s">
        <v>1</v>
      </c>
      <c r="B67" s="11" t="s">
        <v>2</v>
      </c>
      <c r="C67" s="11" t="s">
        <v>3</v>
      </c>
      <c r="D67" s="11" t="s">
        <v>13</v>
      </c>
      <c r="E67" s="1" t="s">
        <v>14</v>
      </c>
    </row>
    <row r="68" spans="1:5" x14ac:dyDescent="0.3">
      <c r="A68" s="81">
        <v>1</v>
      </c>
      <c r="B68" s="83">
        <v>45220</v>
      </c>
      <c r="C68" s="81" t="s">
        <v>226</v>
      </c>
      <c r="D68" s="5" t="s">
        <v>194</v>
      </c>
      <c r="E68" s="5" t="s">
        <v>227</v>
      </c>
    </row>
    <row r="69" spans="1:5" x14ac:dyDescent="0.3">
      <c r="A69" s="82"/>
      <c r="B69" s="84"/>
      <c r="C69" s="82"/>
      <c r="D69" s="5" t="s">
        <v>228</v>
      </c>
      <c r="E69" s="5" t="s">
        <v>203</v>
      </c>
    </row>
    <row r="70" spans="1:5" x14ac:dyDescent="0.3">
      <c r="A70" s="81">
        <v>2</v>
      </c>
      <c r="B70" s="83">
        <v>45221</v>
      </c>
      <c r="C70" s="81" t="s">
        <v>226</v>
      </c>
      <c r="D70" s="5" t="s">
        <v>57</v>
      </c>
      <c r="E70" s="5" t="s">
        <v>203</v>
      </c>
    </row>
    <row r="71" spans="1:5" x14ac:dyDescent="0.3">
      <c r="A71" s="82"/>
      <c r="B71" s="84"/>
      <c r="C71" s="82"/>
      <c r="D71" s="5" t="s">
        <v>228</v>
      </c>
      <c r="E71" s="5" t="s">
        <v>227</v>
      </c>
    </row>
    <row r="72" spans="1:5" x14ac:dyDescent="0.3">
      <c r="A72" s="5"/>
      <c r="B72" s="5"/>
      <c r="C72" s="5"/>
      <c r="D72" s="5"/>
      <c r="E72" s="5"/>
    </row>
    <row r="74" spans="1:5" ht="15" thickBot="1" x14ac:dyDescent="0.35"/>
    <row r="75" spans="1:5" ht="25.8" thickBot="1" x14ac:dyDescent="0.65">
      <c r="A75" s="74" t="s">
        <v>257</v>
      </c>
      <c r="B75" s="75"/>
      <c r="C75" s="75"/>
      <c r="D75" s="75"/>
      <c r="E75" s="76"/>
    </row>
    <row r="76" spans="1:5" ht="15" thickBot="1" x14ac:dyDescent="0.35">
      <c r="A76" s="11" t="s">
        <v>1</v>
      </c>
      <c r="B76" s="11" t="s">
        <v>2</v>
      </c>
      <c r="C76" s="11" t="s">
        <v>3</v>
      </c>
      <c r="D76" s="11" t="s">
        <v>13</v>
      </c>
      <c r="E76" s="1" t="s">
        <v>14</v>
      </c>
    </row>
    <row r="77" spans="1:5" x14ac:dyDescent="0.3">
      <c r="A77" s="81">
        <v>1</v>
      </c>
      <c r="B77" s="83">
        <v>46064</v>
      </c>
      <c r="C77" s="81" t="s">
        <v>258</v>
      </c>
      <c r="D77" s="5" t="s">
        <v>285</v>
      </c>
      <c r="E77" s="5">
        <v>46</v>
      </c>
    </row>
    <row r="78" spans="1:5" x14ac:dyDescent="0.3">
      <c r="A78" s="85"/>
      <c r="B78" s="86"/>
      <c r="C78" s="85"/>
      <c r="D78" s="5" t="s">
        <v>286</v>
      </c>
      <c r="E78" s="5">
        <v>118</v>
      </c>
    </row>
    <row r="79" spans="1:5" x14ac:dyDescent="0.3">
      <c r="A79" s="85"/>
      <c r="B79" s="86"/>
      <c r="C79" s="85"/>
      <c r="D79" s="5" t="s">
        <v>287</v>
      </c>
      <c r="E79" s="5">
        <v>951</v>
      </c>
    </row>
    <row r="80" spans="1:5" x14ac:dyDescent="0.3">
      <c r="A80" s="85"/>
      <c r="B80" s="86"/>
      <c r="C80" s="85"/>
      <c r="D80" s="5"/>
      <c r="E80" s="5"/>
    </row>
    <row r="81" spans="1:5" x14ac:dyDescent="0.3">
      <c r="A81" s="82"/>
      <c r="B81" s="84"/>
      <c r="C81" s="82"/>
      <c r="D81" s="5"/>
      <c r="E81" s="5"/>
    </row>
    <row r="82" spans="1:5" x14ac:dyDescent="0.3">
      <c r="A82" s="81">
        <v>2</v>
      </c>
      <c r="B82" s="83">
        <v>46066</v>
      </c>
      <c r="C82" s="81" t="s">
        <v>261</v>
      </c>
      <c r="D82" s="5" t="s">
        <v>91</v>
      </c>
      <c r="E82" s="5">
        <v>18</v>
      </c>
    </row>
    <row r="83" spans="1:5" x14ac:dyDescent="0.3">
      <c r="A83" s="82"/>
      <c r="B83" s="84"/>
      <c r="C83" s="82"/>
      <c r="D83" s="5" t="s">
        <v>57</v>
      </c>
      <c r="E83" s="5">
        <v>24</v>
      </c>
    </row>
    <row r="84" spans="1:5" x14ac:dyDescent="0.3">
      <c r="A84" s="5">
        <v>3</v>
      </c>
      <c r="B84" s="4">
        <v>46086</v>
      </c>
      <c r="C84" s="5" t="s">
        <v>298</v>
      </c>
      <c r="D84" s="5" t="s">
        <v>299</v>
      </c>
      <c r="E84" s="5">
        <v>6</v>
      </c>
    </row>
    <row r="85" spans="1:5" x14ac:dyDescent="0.3">
      <c r="A85" s="5">
        <v>4</v>
      </c>
      <c r="B85" s="25">
        <v>46107</v>
      </c>
      <c r="C85" s="5" t="s">
        <v>298</v>
      </c>
      <c r="D85" s="5" t="s">
        <v>363</v>
      </c>
      <c r="E85" s="30"/>
    </row>
    <row r="86" spans="1:5" x14ac:dyDescent="0.3">
      <c r="A86" s="5">
        <v>5</v>
      </c>
      <c r="B86" s="25">
        <v>46122</v>
      </c>
      <c r="C86" s="30" t="s">
        <v>422</v>
      </c>
      <c r="D86" s="30" t="s">
        <v>423</v>
      </c>
      <c r="E86" s="30">
        <v>30</v>
      </c>
    </row>
    <row r="87" spans="1:5" x14ac:dyDescent="0.3">
      <c r="A87" s="5"/>
      <c r="B87" s="30"/>
      <c r="C87" s="30"/>
      <c r="D87" s="30" t="s">
        <v>424</v>
      </c>
      <c r="E87" s="30">
        <v>5</v>
      </c>
    </row>
    <row r="88" spans="1:5" x14ac:dyDescent="0.3">
      <c r="A88" s="5"/>
      <c r="B88" s="25">
        <v>46124</v>
      </c>
      <c r="C88" s="30" t="s">
        <v>430</v>
      </c>
      <c r="D88" s="30">
        <f>192+160</f>
        <v>352</v>
      </c>
      <c r="E88" s="30" t="s">
        <v>431</v>
      </c>
    </row>
    <row r="89" spans="1:5" x14ac:dyDescent="0.3">
      <c r="A89" s="5"/>
      <c r="B89" s="25">
        <v>46128</v>
      </c>
      <c r="C89" s="30" t="s">
        <v>434</v>
      </c>
      <c r="D89" s="30" t="s">
        <v>57</v>
      </c>
      <c r="E89" s="30" t="s">
        <v>435</v>
      </c>
    </row>
  </sheetData>
  <mergeCells count="33">
    <mergeCell ref="A16:E16"/>
    <mergeCell ref="A38:E38"/>
    <mergeCell ref="A28:E28"/>
    <mergeCell ref="D30:D32"/>
    <mergeCell ref="D33:D34"/>
    <mergeCell ref="C30:C36"/>
    <mergeCell ref="A1:E1"/>
    <mergeCell ref="A7:E7"/>
    <mergeCell ref="A9:A10"/>
    <mergeCell ref="B9:B10"/>
    <mergeCell ref="C9:C10"/>
    <mergeCell ref="A3:A4"/>
    <mergeCell ref="B3:B4"/>
    <mergeCell ref="C3:C4"/>
    <mergeCell ref="C70:C71"/>
    <mergeCell ref="B70:B71"/>
    <mergeCell ref="A70:A71"/>
    <mergeCell ref="B30:B36"/>
    <mergeCell ref="A30:A36"/>
    <mergeCell ref="A44:E44"/>
    <mergeCell ref="A66:E66"/>
    <mergeCell ref="C68:C69"/>
    <mergeCell ref="B68:B69"/>
    <mergeCell ref="A68:A69"/>
    <mergeCell ref="A58:E58"/>
    <mergeCell ref="A50:E50"/>
    <mergeCell ref="A75:E75"/>
    <mergeCell ref="A77:A81"/>
    <mergeCell ref="B77:B81"/>
    <mergeCell ref="C77:C81"/>
    <mergeCell ref="A82:A83"/>
    <mergeCell ref="B82:B83"/>
    <mergeCell ref="C82:C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1"/>
  <sheetViews>
    <sheetView topLeftCell="A139" workbookViewId="0">
      <selection activeCell="I147" sqref="I147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29.33203125" bestFit="1" customWidth="1"/>
    <col min="4" max="4" width="16.44140625" bestFit="1" customWidth="1"/>
    <col min="5" max="5" width="18.33203125" bestFit="1" customWidth="1"/>
    <col min="6" max="6" width="15.5546875" bestFit="1" customWidth="1"/>
    <col min="7" max="7" width="10" customWidth="1"/>
    <col min="9" max="10" width="29.33203125" bestFit="1" customWidth="1"/>
    <col min="11" max="12" width="15.88671875" bestFit="1" customWidth="1"/>
  </cols>
  <sheetData>
    <row r="1" spans="1:12" ht="15" thickBot="1" x14ac:dyDescent="0.35"/>
    <row r="2" spans="1:12" ht="25.8" thickBot="1" x14ac:dyDescent="0.65">
      <c r="A2" s="74" t="s">
        <v>18</v>
      </c>
      <c r="B2" s="75"/>
      <c r="C2" s="75"/>
      <c r="D2" s="75"/>
      <c r="E2" s="76"/>
    </row>
    <row r="3" spans="1:12" ht="15" thickBot="1" x14ac:dyDescent="0.35">
      <c r="A3" s="1" t="s">
        <v>1</v>
      </c>
      <c r="B3" s="1" t="s">
        <v>2</v>
      </c>
      <c r="C3" s="1" t="s">
        <v>3</v>
      </c>
      <c r="D3" s="11" t="s">
        <v>4</v>
      </c>
      <c r="E3" s="1" t="s">
        <v>19</v>
      </c>
    </row>
    <row r="4" spans="1:12" x14ac:dyDescent="0.3">
      <c r="A4" s="5">
        <v>1</v>
      </c>
      <c r="B4" s="4">
        <v>44695</v>
      </c>
      <c r="C4" s="5" t="s">
        <v>22</v>
      </c>
      <c r="D4" s="5" t="s">
        <v>20</v>
      </c>
      <c r="E4" s="5" t="s">
        <v>31</v>
      </c>
    </row>
    <row r="5" spans="1:12" x14ac:dyDescent="0.3">
      <c r="A5" s="5">
        <v>2</v>
      </c>
      <c r="B5" s="4">
        <v>44697</v>
      </c>
      <c r="C5" s="5" t="s">
        <v>22</v>
      </c>
      <c r="D5" s="5" t="s">
        <v>20</v>
      </c>
      <c r="E5" s="5" t="s">
        <v>31</v>
      </c>
    </row>
    <row r="6" spans="1:12" x14ac:dyDescent="0.3">
      <c r="A6" s="5">
        <v>3</v>
      </c>
      <c r="B6" s="28">
        <v>44696</v>
      </c>
      <c r="C6" s="6" t="s">
        <v>44</v>
      </c>
      <c r="D6" s="6" t="s">
        <v>45</v>
      </c>
      <c r="E6" s="6" t="s">
        <v>46</v>
      </c>
      <c r="F6" s="6">
        <v>36300</v>
      </c>
      <c r="G6" s="37"/>
    </row>
    <row r="7" spans="1:12" ht="15" thickBot="1" x14ac:dyDescent="0.35"/>
    <row r="8" spans="1:12" ht="25.8" thickBot="1" x14ac:dyDescent="0.65">
      <c r="A8" s="74" t="s">
        <v>25</v>
      </c>
      <c r="B8" s="75"/>
      <c r="C8" s="75"/>
      <c r="D8" s="75"/>
      <c r="E8" s="76"/>
    </row>
    <row r="9" spans="1:12" ht="15" thickBot="1" x14ac:dyDescent="0.35">
      <c r="A9" s="11" t="s">
        <v>1</v>
      </c>
      <c r="B9" s="2" t="s">
        <v>2</v>
      </c>
      <c r="C9" s="1" t="s">
        <v>3</v>
      </c>
      <c r="D9" s="11" t="s">
        <v>4</v>
      </c>
      <c r="E9" s="1" t="s">
        <v>19</v>
      </c>
    </row>
    <row r="10" spans="1:12" x14ac:dyDescent="0.3">
      <c r="A10" s="21">
        <v>1</v>
      </c>
      <c r="B10" s="22">
        <v>44716</v>
      </c>
      <c r="C10" s="6" t="s">
        <v>26</v>
      </c>
      <c r="D10" s="20" t="s">
        <v>24</v>
      </c>
      <c r="E10" s="23" t="s">
        <v>23</v>
      </c>
    </row>
    <row r="11" spans="1:12" x14ac:dyDescent="0.3">
      <c r="A11" s="5">
        <v>2</v>
      </c>
      <c r="B11" s="4">
        <v>44720</v>
      </c>
      <c r="C11" s="6" t="s">
        <v>26</v>
      </c>
      <c r="D11" s="6" t="s">
        <v>24</v>
      </c>
      <c r="E11" s="6" t="s">
        <v>23</v>
      </c>
    </row>
    <row r="12" spans="1:12" x14ac:dyDescent="0.3">
      <c r="A12" s="13">
        <v>3</v>
      </c>
      <c r="B12" s="15">
        <v>44722</v>
      </c>
      <c r="C12" s="6" t="s">
        <v>26</v>
      </c>
      <c r="D12" s="6" t="s">
        <v>24</v>
      </c>
      <c r="E12" s="6" t="s">
        <v>23</v>
      </c>
    </row>
    <row r="13" spans="1:12" x14ac:dyDescent="0.3">
      <c r="A13" s="5">
        <v>4</v>
      </c>
      <c r="B13" s="4">
        <v>44741</v>
      </c>
      <c r="C13" s="5" t="s">
        <v>26</v>
      </c>
      <c r="D13" s="5" t="s">
        <v>20</v>
      </c>
      <c r="E13" s="5" t="s">
        <v>37</v>
      </c>
    </row>
    <row r="15" spans="1:12" ht="15" thickBot="1" x14ac:dyDescent="0.35"/>
    <row r="16" spans="1:12" ht="25.8" thickBot="1" x14ac:dyDescent="0.65">
      <c r="A16" s="74" t="s">
        <v>40</v>
      </c>
      <c r="B16" s="75"/>
      <c r="C16" s="75"/>
      <c r="D16" s="75"/>
      <c r="E16" s="76"/>
      <c r="H16" s="74" t="s">
        <v>49</v>
      </c>
      <c r="I16" s="75"/>
      <c r="J16" s="75"/>
      <c r="K16" s="75"/>
      <c r="L16" s="76"/>
    </row>
    <row r="17" spans="1:12" x14ac:dyDescent="0.3">
      <c r="A17" s="11" t="s">
        <v>1</v>
      </c>
      <c r="B17" s="2" t="s">
        <v>2</v>
      </c>
      <c r="C17" s="11" t="s">
        <v>3</v>
      </c>
      <c r="D17" s="11" t="s">
        <v>4</v>
      </c>
      <c r="E17" s="11" t="s">
        <v>19</v>
      </c>
      <c r="H17" s="11" t="s">
        <v>1</v>
      </c>
      <c r="I17" s="2" t="s">
        <v>2</v>
      </c>
      <c r="J17" s="11" t="s">
        <v>3</v>
      </c>
      <c r="K17" s="11" t="s">
        <v>4</v>
      </c>
      <c r="L17" s="11" t="s">
        <v>19</v>
      </c>
    </row>
    <row r="18" spans="1:12" x14ac:dyDescent="0.3">
      <c r="A18" s="5">
        <v>1</v>
      </c>
      <c r="B18" s="4">
        <v>44743</v>
      </c>
      <c r="C18" s="5" t="s">
        <v>39</v>
      </c>
      <c r="D18" s="5"/>
      <c r="E18" s="5" t="s">
        <v>23</v>
      </c>
      <c r="H18" s="5">
        <v>1</v>
      </c>
      <c r="I18" s="4">
        <v>44795</v>
      </c>
      <c r="J18" s="5" t="s">
        <v>75</v>
      </c>
      <c r="K18" s="5" t="s">
        <v>20</v>
      </c>
      <c r="L18" s="5">
        <v>10</v>
      </c>
    </row>
    <row r="19" spans="1:12" x14ac:dyDescent="0.3">
      <c r="A19" s="5"/>
      <c r="B19" s="5"/>
      <c r="C19" s="5"/>
      <c r="D19" s="5"/>
      <c r="E19" s="5"/>
      <c r="H19" s="5"/>
      <c r="I19" s="5"/>
      <c r="J19" s="5"/>
      <c r="K19" s="5"/>
      <c r="L19" s="5"/>
    </row>
    <row r="20" spans="1:12" x14ac:dyDescent="0.3">
      <c r="A20" s="5"/>
      <c r="B20" s="5"/>
      <c r="C20" s="5"/>
      <c r="D20" s="5"/>
      <c r="E20" s="5"/>
      <c r="H20" s="5"/>
      <c r="I20" s="5"/>
      <c r="J20" s="5"/>
      <c r="K20" s="5"/>
      <c r="L20" s="5"/>
    </row>
    <row r="21" spans="1:12" ht="15" thickBot="1" x14ac:dyDescent="0.35">
      <c r="H21" s="5"/>
      <c r="I21" s="5"/>
      <c r="J21" s="5"/>
      <c r="K21" s="5"/>
      <c r="L21" s="5"/>
    </row>
    <row r="22" spans="1:12" ht="25.8" thickBot="1" x14ac:dyDescent="0.65">
      <c r="A22" s="74" t="s">
        <v>49</v>
      </c>
      <c r="B22" s="75"/>
      <c r="C22" s="75"/>
      <c r="D22" s="75"/>
      <c r="E22" s="76"/>
      <c r="H22" s="5"/>
      <c r="I22" s="5"/>
      <c r="J22" s="5"/>
      <c r="K22" s="5"/>
      <c r="L22" s="5"/>
    </row>
    <row r="23" spans="1:12" x14ac:dyDescent="0.3">
      <c r="A23" s="11" t="s">
        <v>1</v>
      </c>
      <c r="B23" s="2" t="s">
        <v>2</v>
      </c>
      <c r="C23" s="11" t="s">
        <v>3</v>
      </c>
      <c r="D23" s="11" t="s">
        <v>4</v>
      </c>
      <c r="E23" s="11" t="s">
        <v>19</v>
      </c>
    </row>
    <row r="24" spans="1:12" x14ac:dyDescent="0.3">
      <c r="A24" s="5">
        <v>1</v>
      </c>
      <c r="B24" s="4">
        <v>44785</v>
      </c>
      <c r="C24" s="5" t="s">
        <v>50</v>
      </c>
      <c r="D24" s="5" t="s">
        <v>20</v>
      </c>
      <c r="E24" s="5" t="s">
        <v>23</v>
      </c>
    </row>
    <row r="25" spans="1:12" x14ac:dyDescent="0.3">
      <c r="A25" s="5">
        <v>2</v>
      </c>
      <c r="B25" s="4">
        <v>44788</v>
      </c>
      <c r="C25" s="5" t="s">
        <v>50</v>
      </c>
      <c r="D25" s="5" t="s">
        <v>20</v>
      </c>
      <c r="E25" s="5" t="s">
        <v>66</v>
      </c>
    </row>
    <row r="26" spans="1:12" x14ac:dyDescent="0.3">
      <c r="A26" s="5">
        <v>3</v>
      </c>
      <c r="B26" s="4">
        <v>44788</v>
      </c>
      <c r="C26" s="5" t="s">
        <v>50</v>
      </c>
      <c r="D26" s="5" t="s">
        <v>20</v>
      </c>
      <c r="E26" s="5" t="s">
        <v>23</v>
      </c>
    </row>
    <row r="27" spans="1:12" x14ac:dyDescent="0.3">
      <c r="A27" s="5">
        <v>4</v>
      </c>
      <c r="B27" s="4">
        <v>44794</v>
      </c>
      <c r="C27" s="5" t="s">
        <v>50</v>
      </c>
      <c r="D27" s="5" t="s">
        <v>20</v>
      </c>
      <c r="E27" s="5" t="s">
        <v>68</v>
      </c>
    </row>
    <row r="28" spans="1:12" x14ac:dyDescent="0.3">
      <c r="A28" s="5">
        <v>5</v>
      </c>
      <c r="B28" s="4">
        <v>44800</v>
      </c>
      <c r="C28" s="5" t="s">
        <v>50</v>
      </c>
      <c r="D28" s="5" t="s">
        <v>20</v>
      </c>
      <c r="E28" s="5" t="s">
        <v>65</v>
      </c>
    </row>
    <row r="29" spans="1:12" x14ac:dyDescent="0.3">
      <c r="A29" s="5"/>
      <c r="B29" s="5"/>
      <c r="C29" s="5"/>
      <c r="D29" s="5"/>
      <c r="E29" s="5"/>
    </row>
    <row r="30" spans="1:12" x14ac:dyDescent="0.3">
      <c r="A30" s="5"/>
      <c r="B30" s="5"/>
      <c r="C30" s="5"/>
      <c r="D30" s="5"/>
      <c r="E30" s="5"/>
    </row>
    <row r="32" spans="1:12" ht="15" thickBot="1" x14ac:dyDescent="0.35"/>
    <row r="33" spans="1:12" ht="25.8" thickBot="1" x14ac:dyDescent="0.65">
      <c r="A33" s="74" t="s">
        <v>76</v>
      </c>
      <c r="B33" s="75"/>
      <c r="C33" s="75"/>
      <c r="D33" s="75"/>
      <c r="E33" s="76"/>
    </row>
    <row r="34" spans="1:12" x14ac:dyDescent="0.3">
      <c r="A34" s="11" t="s">
        <v>1</v>
      </c>
      <c r="B34" s="2" t="s">
        <v>2</v>
      </c>
      <c r="C34" s="11" t="s">
        <v>3</v>
      </c>
      <c r="D34" s="11" t="s">
        <v>4</v>
      </c>
      <c r="E34" s="11" t="s">
        <v>19</v>
      </c>
    </row>
    <row r="35" spans="1:12" x14ac:dyDescent="0.3">
      <c r="A35" s="5">
        <v>1</v>
      </c>
      <c r="B35" s="4">
        <v>44808</v>
      </c>
      <c r="C35" s="5" t="s">
        <v>48</v>
      </c>
      <c r="D35" s="5"/>
      <c r="E35" s="5" t="s">
        <v>77</v>
      </c>
      <c r="F35" s="34" t="s">
        <v>108</v>
      </c>
      <c r="G35" s="34"/>
      <c r="H35" s="31" t="s">
        <v>97</v>
      </c>
      <c r="I35" s="32">
        <v>37400</v>
      </c>
    </row>
    <row r="36" spans="1:12" x14ac:dyDescent="0.3">
      <c r="A36" s="5">
        <v>2</v>
      </c>
      <c r="B36" s="4">
        <v>44822</v>
      </c>
      <c r="C36" s="5" t="s">
        <v>111</v>
      </c>
      <c r="D36" s="5" t="s">
        <v>109</v>
      </c>
      <c r="E36" s="5" t="s">
        <v>110</v>
      </c>
      <c r="F36">
        <v>42000</v>
      </c>
      <c r="H36" s="31" t="s">
        <v>31</v>
      </c>
      <c r="I36" s="32">
        <v>15000</v>
      </c>
    </row>
    <row r="37" spans="1:12" x14ac:dyDescent="0.3">
      <c r="A37" s="5">
        <v>3</v>
      </c>
      <c r="B37" s="4">
        <v>44828</v>
      </c>
      <c r="C37" s="5" t="s">
        <v>48</v>
      </c>
      <c r="D37" s="5" t="s">
        <v>20</v>
      </c>
      <c r="E37" s="5" t="s">
        <v>66</v>
      </c>
      <c r="F37" s="93">
        <v>20000</v>
      </c>
      <c r="G37" s="38"/>
      <c r="H37" s="31" t="s">
        <v>31</v>
      </c>
      <c r="I37" s="32">
        <v>15000</v>
      </c>
    </row>
    <row r="38" spans="1:12" x14ac:dyDescent="0.3">
      <c r="A38" s="5">
        <v>4</v>
      </c>
      <c r="B38" s="4">
        <v>44829</v>
      </c>
      <c r="C38" s="5" t="s">
        <v>48</v>
      </c>
      <c r="D38" s="5" t="s">
        <v>20</v>
      </c>
      <c r="E38" s="5" t="s">
        <v>119</v>
      </c>
      <c r="F38" s="93"/>
      <c r="G38" s="38"/>
      <c r="H38" s="31" t="s">
        <v>46</v>
      </c>
      <c r="I38" s="32">
        <v>33000</v>
      </c>
    </row>
    <row r="39" spans="1:12" x14ac:dyDescent="0.3">
      <c r="A39" s="5">
        <v>5</v>
      </c>
      <c r="B39" s="4">
        <v>44825</v>
      </c>
      <c r="C39" s="5" t="s">
        <v>121</v>
      </c>
      <c r="D39" s="5" t="s">
        <v>122</v>
      </c>
      <c r="E39" s="5" t="s">
        <v>123</v>
      </c>
      <c r="F39">
        <v>10000</v>
      </c>
      <c r="G39" s="39" t="s">
        <v>108</v>
      </c>
      <c r="H39" s="33" t="s">
        <v>96</v>
      </c>
      <c r="I39" s="33">
        <f>SUM(I35:I38)</f>
        <v>100400</v>
      </c>
    </row>
    <row r="40" spans="1:12" ht="15" thickBot="1" x14ac:dyDescent="0.35">
      <c r="A40" s="5"/>
      <c r="B40" s="5"/>
      <c r="C40" s="5"/>
      <c r="D40" s="5"/>
      <c r="E40" s="5"/>
    </row>
    <row r="41" spans="1:12" ht="25.8" thickBot="1" x14ac:dyDescent="0.65">
      <c r="A41" s="5"/>
      <c r="B41" s="5"/>
      <c r="C41" s="5"/>
      <c r="D41" s="5"/>
      <c r="E41" s="5"/>
      <c r="H41" s="74" t="s">
        <v>76</v>
      </c>
      <c r="I41" s="75"/>
      <c r="J41" s="75"/>
      <c r="K41" s="75"/>
      <c r="L41" s="76"/>
    </row>
    <row r="42" spans="1:12" ht="15" thickBot="1" x14ac:dyDescent="0.35">
      <c r="H42" s="11" t="s">
        <v>1</v>
      </c>
      <c r="I42" s="2" t="s">
        <v>2</v>
      </c>
      <c r="J42" s="11" t="s">
        <v>3</v>
      </c>
      <c r="K42" s="11" t="s">
        <v>4</v>
      </c>
      <c r="L42" s="11" t="s">
        <v>19</v>
      </c>
    </row>
    <row r="43" spans="1:12" ht="25.8" thickBot="1" x14ac:dyDescent="0.65">
      <c r="A43" s="74" t="s">
        <v>152</v>
      </c>
      <c r="B43" s="75"/>
      <c r="C43" s="75"/>
      <c r="D43" s="75"/>
      <c r="E43" s="76"/>
      <c r="H43" s="5">
        <v>1</v>
      </c>
      <c r="I43" s="4">
        <v>44833</v>
      </c>
      <c r="J43" s="5" t="s">
        <v>124</v>
      </c>
      <c r="K43" s="5" t="s">
        <v>122</v>
      </c>
      <c r="L43" s="5" t="s">
        <v>126</v>
      </c>
    </row>
    <row r="44" spans="1:12" x14ac:dyDescent="0.3">
      <c r="A44" s="11" t="s">
        <v>1</v>
      </c>
      <c r="B44" s="2" t="s">
        <v>2</v>
      </c>
      <c r="C44" s="11" t="s">
        <v>3</v>
      </c>
      <c r="D44" s="11" t="s">
        <v>4</v>
      </c>
      <c r="E44" s="11" t="s">
        <v>19</v>
      </c>
      <c r="H44" s="30"/>
      <c r="I44" s="30"/>
      <c r="J44" s="30"/>
      <c r="K44" s="5" t="s">
        <v>125</v>
      </c>
      <c r="L44" s="5" t="s">
        <v>126</v>
      </c>
    </row>
    <row r="45" spans="1:12" x14ac:dyDescent="0.3">
      <c r="A45" s="5">
        <v>1</v>
      </c>
      <c r="B45" s="4">
        <v>44973</v>
      </c>
      <c r="C45" s="5" t="s">
        <v>153</v>
      </c>
      <c r="D45" s="5">
        <v>75</v>
      </c>
      <c r="E45" s="5"/>
      <c r="H45" s="30"/>
      <c r="I45" s="30"/>
      <c r="J45" s="30"/>
      <c r="K45" s="30"/>
      <c r="L45" s="30"/>
    </row>
    <row r="46" spans="1:12" x14ac:dyDescent="0.3">
      <c r="A46" s="5">
        <v>2</v>
      </c>
      <c r="B46" s="4">
        <v>44974</v>
      </c>
      <c r="C46" s="5" t="s">
        <v>153</v>
      </c>
      <c r="D46" s="5">
        <v>50</v>
      </c>
      <c r="E46" s="5"/>
      <c r="H46" s="30"/>
      <c r="I46" s="30"/>
      <c r="J46" s="30"/>
      <c r="K46" s="30"/>
      <c r="L46" s="30"/>
    </row>
    <row r="47" spans="1:12" x14ac:dyDescent="0.3">
      <c r="A47" s="5">
        <v>3</v>
      </c>
      <c r="B47" s="4">
        <v>44978</v>
      </c>
      <c r="C47" s="5" t="s">
        <v>153</v>
      </c>
      <c r="D47" s="5">
        <v>100</v>
      </c>
      <c r="E47" s="5"/>
      <c r="H47" s="30"/>
      <c r="I47" s="30"/>
      <c r="J47" s="30"/>
      <c r="K47" s="30"/>
      <c r="L47" s="30"/>
    </row>
    <row r="48" spans="1:12" ht="15" thickBot="1" x14ac:dyDescent="0.35">
      <c r="A48" s="90"/>
      <c r="B48" s="91"/>
      <c r="C48" s="91"/>
      <c r="D48" s="91"/>
      <c r="E48" s="92"/>
    </row>
    <row r="49" spans="1:5" ht="25.8" thickBot="1" x14ac:dyDescent="0.65">
      <c r="A49" s="74" t="s">
        <v>165</v>
      </c>
      <c r="B49" s="75"/>
      <c r="C49" s="75"/>
      <c r="D49" s="75"/>
      <c r="E49" s="76"/>
    </row>
    <row r="50" spans="1:5" x14ac:dyDescent="0.3">
      <c r="A50" s="11" t="s">
        <v>1</v>
      </c>
      <c r="B50" s="2" t="s">
        <v>2</v>
      </c>
      <c r="C50" s="11" t="s">
        <v>3</v>
      </c>
      <c r="D50" s="11" t="s">
        <v>179</v>
      </c>
      <c r="E50" s="11" t="s">
        <v>19</v>
      </c>
    </row>
    <row r="51" spans="1:5" x14ac:dyDescent="0.3">
      <c r="A51" s="5">
        <v>1</v>
      </c>
      <c r="B51" s="4">
        <v>44989</v>
      </c>
      <c r="C51" s="5" t="s">
        <v>153</v>
      </c>
      <c r="D51" s="5">
        <v>25</v>
      </c>
      <c r="E51" s="42"/>
    </row>
    <row r="52" spans="1:5" x14ac:dyDescent="0.3">
      <c r="A52" s="5">
        <v>2</v>
      </c>
      <c r="B52" s="4">
        <v>44990</v>
      </c>
      <c r="C52" s="5" t="s">
        <v>153</v>
      </c>
      <c r="D52" s="5">
        <v>25</v>
      </c>
      <c r="E52" s="5"/>
    </row>
    <row r="53" spans="1:5" x14ac:dyDescent="0.3">
      <c r="A53" s="5">
        <v>3</v>
      </c>
      <c r="B53" s="4">
        <v>44993</v>
      </c>
      <c r="C53" s="5" t="s">
        <v>153</v>
      </c>
      <c r="D53" s="5">
        <v>25</v>
      </c>
      <c r="E53" s="5"/>
    </row>
    <row r="54" spans="1:5" x14ac:dyDescent="0.3">
      <c r="A54" s="5">
        <v>4</v>
      </c>
      <c r="B54" s="4">
        <v>44994</v>
      </c>
      <c r="C54" s="5" t="s">
        <v>153</v>
      </c>
      <c r="D54" s="5">
        <v>25</v>
      </c>
      <c r="E54" s="5"/>
    </row>
    <row r="55" spans="1:5" x14ac:dyDescent="0.3">
      <c r="A55" s="5">
        <v>5</v>
      </c>
      <c r="B55" s="4">
        <v>44994</v>
      </c>
      <c r="C55" s="5" t="s">
        <v>173</v>
      </c>
      <c r="D55" s="5">
        <v>50</v>
      </c>
      <c r="E55" s="5" t="s">
        <v>177</v>
      </c>
    </row>
    <row r="56" spans="1:5" x14ac:dyDescent="0.3">
      <c r="A56" s="5">
        <v>6</v>
      </c>
      <c r="B56" s="4">
        <v>44995</v>
      </c>
      <c r="C56" s="5" t="s">
        <v>173</v>
      </c>
      <c r="D56" s="5">
        <v>10</v>
      </c>
      <c r="E56" s="5"/>
    </row>
    <row r="57" spans="1:5" x14ac:dyDescent="0.3">
      <c r="A57" s="5">
        <v>7</v>
      </c>
      <c r="B57" s="4">
        <v>44997</v>
      </c>
      <c r="C57" s="5" t="s">
        <v>173</v>
      </c>
      <c r="D57" s="5">
        <v>50</v>
      </c>
      <c r="E57" s="5" t="s">
        <v>174</v>
      </c>
    </row>
    <row r="58" spans="1:5" x14ac:dyDescent="0.3">
      <c r="A58" s="5">
        <v>8</v>
      </c>
      <c r="B58" s="4">
        <v>44999</v>
      </c>
      <c r="C58" s="5" t="s">
        <v>173</v>
      </c>
      <c r="D58" s="5">
        <v>50</v>
      </c>
      <c r="E58" s="5" t="s">
        <v>174</v>
      </c>
    </row>
    <row r="59" spans="1:5" x14ac:dyDescent="0.3">
      <c r="A59" s="5">
        <v>9</v>
      </c>
      <c r="B59" s="4">
        <v>45000</v>
      </c>
      <c r="C59" s="5" t="s">
        <v>173</v>
      </c>
      <c r="D59" s="5">
        <v>25</v>
      </c>
      <c r="E59" s="5" t="s">
        <v>174</v>
      </c>
    </row>
    <row r="60" spans="1:5" x14ac:dyDescent="0.3">
      <c r="A60" s="5">
        <v>10</v>
      </c>
      <c r="B60" s="4">
        <v>45001</v>
      </c>
      <c r="C60" s="5" t="s">
        <v>173</v>
      </c>
      <c r="D60" s="5">
        <v>25</v>
      </c>
      <c r="E60" s="5"/>
    </row>
    <row r="61" spans="1:5" x14ac:dyDescent="0.3">
      <c r="A61" s="5">
        <v>11</v>
      </c>
      <c r="B61" s="4">
        <v>45003</v>
      </c>
      <c r="C61" s="5" t="s">
        <v>153</v>
      </c>
      <c r="D61" s="5">
        <v>25</v>
      </c>
      <c r="E61" s="5"/>
    </row>
    <row r="62" spans="1:5" x14ac:dyDescent="0.3">
      <c r="A62" s="5">
        <v>12</v>
      </c>
      <c r="B62" s="4">
        <v>45003</v>
      </c>
      <c r="C62" s="5" t="s">
        <v>173</v>
      </c>
      <c r="D62" s="5">
        <v>25</v>
      </c>
      <c r="E62" s="5" t="s">
        <v>174</v>
      </c>
    </row>
    <row r="63" spans="1:5" x14ac:dyDescent="0.3">
      <c r="A63" s="5">
        <v>13</v>
      </c>
      <c r="B63" s="4">
        <v>45004</v>
      </c>
      <c r="C63" s="5" t="s">
        <v>153</v>
      </c>
      <c r="D63" s="5">
        <v>25</v>
      </c>
      <c r="E63" s="5"/>
    </row>
    <row r="64" spans="1:5" x14ac:dyDescent="0.3">
      <c r="A64" s="5">
        <v>14</v>
      </c>
      <c r="B64" s="4">
        <v>45007</v>
      </c>
      <c r="C64" s="5" t="s">
        <v>153</v>
      </c>
      <c r="D64" s="5">
        <v>50</v>
      </c>
      <c r="E64" s="5"/>
    </row>
    <row r="65" spans="1:11" x14ac:dyDescent="0.3">
      <c r="A65" s="5">
        <v>15</v>
      </c>
      <c r="B65" s="4">
        <v>45008</v>
      </c>
      <c r="C65" s="5" t="s">
        <v>153</v>
      </c>
      <c r="D65" s="5">
        <v>50</v>
      </c>
      <c r="E65" s="5"/>
    </row>
    <row r="66" spans="1:11" x14ac:dyDescent="0.3">
      <c r="A66" s="5">
        <v>16</v>
      </c>
      <c r="B66" s="4">
        <v>45009</v>
      </c>
      <c r="C66" s="5" t="s">
        <v>153</v>
      </c>
      <c r="D66" s="5">
        <v>25</v>
      </c>
      <c r="E66" s="5"/>
    </row>
    <row r="67" spans="1:11" x14ac:dyDescent="0.3">
      <c r="A67" s="5">
        <v>17</v>
      </c>
      <c r="B67" s="4">
        <v>45010</v>
      </c>
      <c r="C67" s="5" t="s">
        <v>153</v>
      </c>
      <c r="D67" s="5">
        <v>50</v>
      </c>
      <c r="E67" s="5"/>
    </row>
    <row r="68" spans="1:11" x14ac:dyDescent="0.3">
      <c r="A68" s="5">
        <v>18</v>
      </c>
      <c r="B68" s="4">
        <v>45011</v>
      </c>
      <c r="C68" s="5" t="s">
        <v>153</v>
      </c>
      <c r="D68" s="5">
        <v>25</v>
      </c>
      <c r="E68" s="5"/>
    </row>
    <row r="69" spans="1:11" x14ac:dyDescent="0.3">
      <c r="A69" s="5">
        <v>19</v>
      </c>
      <c r="B69" s="4">
        <v>45012</v>
      </c>
      <c r="C69" s="5" t="s">
        <v>153</v>
      </c>
      <c r="D69" s="5">
        <v>75</v>
      </c>
      <c r="E69" s="5" t="s">
        <v>174</v>
      </c>
      <c r="F69" t="s">
        <v>108</v>
      </c>
    </row>
    <row r="70" spans="1:11" x14ac:dyDescent="0.3">
      <c r="A70" s="5">
        <v>20</v>
      </c>
      <c r="B70" s="30"/>
      <c r="C70" s="30"/>
      <c r="D70" s="30"/>
      <c r="E70" s="30"/>
    </row>
    <row r="71" spans="1:11" ht="15" thickBot="1" x14ac:dyDescent="0.35"/>
    <row r="72" spans="1:11" ht="25.8" thickBot="1" x14ac:dyDescent="0.65">
      <c r="A72" s="74" t="s">
        <v>181</v>
      </c>
      <c r="B72" s="75"/>
      <c r="C72" s="75"/>
      <c r="D72" s="75"/>
      <c r="E72" s="76"/>
      <c r="G72" s="74" t="s">
        <v>181</v>
      </c>
      <c r="H72" s="75"/>
      <c r="I72" s="75"/>
      <c r="J72" s="75"/>
      <c r="K72" s="76"/>
    </row>
    <row r="73" spans="1:11" s="45" customFormat="1" ht="18" customHeight="1" x14ac:dyDescent="0.3">
      <c r="A73" s="43" t="s">
        <v>1</v>
      </c>
      <c r="B73" s="44" t="s">
        <v>2</v>
      </c>
      <c r="C73" s="43" t="s">
        <v>3</v>
      </c>
      <c r="D73" s="43" t="s">
        <v>179</v>
      </c>
      <c r="E73" s="43" t="s">
        <v>19</v>
      </c>
      <c r="G73" s="43" t="s">
        <v>1</v>
      </c>
      <c r="H73" s="44" t="s">
        <v>2</v>
      </c>
      <c r="I73" s="43" t="s">
        <v>3</v>
      </c>
      <c r="J73" s="43" t="s">
        <v>179</v>
      </c>
      <c r="K73" s="43" t="s">
        <v>19</v>
      </c>
    </row>
    <row r="74" spans="1:11" x14ac:dyDescent="0.3">
      <c r="A74" s="5">
        <v>1</v>
      </c>
      <c r="B74" s="4">
        <v>45017</v>
      </c>
      <c r="C74" s="5" t="s">
        <v>153</v>
      </c>
      <c r="D74" s="5">
        <v>25</v>
      </c>
      <c r="E74" s="42"/>
      <c r="G74" s="5">
        <v>1</v>
      </c>
      <c r="H74" s="4">
        <v>45033</v>
      </c>
      <c r="I74" s="5" t="s">
        <v>188</v>
      </c>
      <c r="J74" s="5" t="s">
        <v>190</v>
      </c>
      <c r="K74" s="5">
        <v>4</v>
      </c>
    </row>
    <row r="75" spans="1:11" x14ac:dyDescent="0.3">
      <c r="A75" s="5">
        <v>2</v>
      </c>
      <c r="B75" s="4">
        <v>45019</v>
      </c>
      <c r="C75" s="5" t="s">
        <v>173</v>
      </c>
      <c r="D75" s="5">
        <v>50</v>
      </c>
      <c r="E75" s="5"/>
      <c r="G75" s="5">
        <v>2</v>
      </c>
      <c r="H75" s="4"/>
      <c r="I75" s="5"/>
      <c r="J75" s="5"/>
      <c r="K75" s="5"/>
    </row>
    <row r="76" spans="1:11" x14ac:dyDescent="0.3">
      <c r="A76" s="5">
        <v>3</v>
      </c>
      <c r="B76" s="4">
        <v>45020</v>
      </c>
      <c r="C76" s="5" t="s">
        <v>173</v>
      </c>
      <c r="D76" s="5">
        <v>25</v>
      </c>
      <c r="E76" s="5"/>
      <c r="G76" s="5">
        <v>3</v>
      </c>
      <c r="H76" s="4"/>
      <c r="I76" s="5"/>
      <c r="J76" s="5"/>
      <c r="K76" s="5"/>
    </row>
    <row r="77" spans="1:11" x14ac:dyDescent="0.3">
      <c r="A77" s="5">
        <v>4</v>
      </c>
      <c r="B77" s="4">
        <v>45022</v>
      </c>
      <c r="C77" s="5" t="s">
        <v>173</v>
      </c>
      <c r="D77" s="5">
        <v>50</v>
      </c>
      <c r="E77" s="5"/>
      <c r="G77" s="5">
        <v>4</v>
      </c>
      <c r="H77" s="4"/>
      <c r="I77" s="5"/>
      <c r="J77" s="5"/>
      <c r="K77" s="5"/>
    </row>
    <row r="78" spans="1:11" x14ac:dyDescent="0.3">
      <c r="A78" s="5">
        <v>5</v>
      </c>
      <c r="B78" s="4">
        <v>45023</v>
      </c>
      <c r="C78" s="5" t="s">
        <v>173</v>
      </c>
      <c r="D78" s="5">
        <v>25</v>
      </c>
      <c r="E78" s="5"/>
      <c r="G78" s="5">
        <v>5</v>
      </c>
      <c r="H78" s="4"/>
      <c r="I78" s="5"/>
      <c r="J78" s="5"/>
      <c r="K78" s="5"/>
    </row>
    <row r="79" spans="1:11" x14ac:dyDescent="0.3">
      <c r="A79" s="5">
        <v>6</v>
      </c>
      <c r="B79" s="4">
        <v>45030</v>
      </c>
      <c r="C79" s="5" t="s">
        <v>173</v>
      </c>
      <c r="D79" s="5">
        <v>10</v>
      </c>
      <c r="E79" s="5"/>
      <c r="G79" s="5">
        <v>6</v>
      </c>
      <c r="H79" s="4"/>
      <c r="I79" s="5"/>
      <c r="J79" s="5"/>
      <c r="K79" s="5"/>
    </row>
    <row r="80" spans="1:11" x14ac:dyDescent="0.3">
      <c r="A80" s="5">
        <v>7</v>
      </c>
      <c r="B80" s="4"/>
      <c r="C80" s="5"/>
      <c r="D80" s="5"/>
      <c r="E80" s="5"/>
      <c r="G80" s="5">
        <v>7</v>
      </c>
      <c r="H80" s="4"/>
      <c r="I80" s="5"/>
      <c r="J80" s="5"/>
      <c r="K80" s="5"/>
    </row>
    <row r="81" spans="1:5" ht="15" thickBot="1" x14ac:dyDescent="0.35"/>
    <row r="82" spans="1:5" ht="25.8" thickBot="1" x14ac:dyDescent="0.65">
      <c r="A82" s="74" t="s">
        <v>199</v>
      </c>
      <c r="B82" s="75"/>
      <c r="C82" s="75"/>
      <c r="D82" s="75"/>
      <c r="E82" s="76"/>
    </row>
    <row r="83" spans="1:5" x14ac:dyDescent="0.3">
      <c r="A83" s="43" t="s">
        <v>1</v>
      </c>
      <c r="B83" s="44" t="s">
        <v>2</v>
      </c>
      <c r="C83" s="43" t="s">
        <v>3</v>
      </c>
      <c r="D83" s="43" t="s">
        <v>179</v>
      </c>
      <c r="E83" s="43" t="s">
        <v>19</v>
      </c>
    </row>
    <row r="84" spans="1:5" x14ac:dyDescent="0.3">
      <c r="A84" s="5">
        <v>1</v>
      </c>
      <c r="B84" s="4">
        <v>45116</v>
      </c>
      <c r="C84" s="5" t="s">
        <v>198</v>
      </c>
      <c r="D84" s="5">
        <v>115</v>
      </c>
      <c r="E84" s="5" t="s">
        <v>174</v>
      </c>
    </row>
    <row r="85" spans="1:5" x14ac:dyDescent="0.3">
      <c r="A85" s="5">
        <v>2</v>
      </c>
      <c r="B85" s="4">
        <v>45117</v>
      </c>
      <c r="C85" s="5" t="s">
        <v>200</v>
      </c>
      <c r="D85" s="5">
        <v>25</v>
      </c>
      <c r="E85" s="5" t="s">
        <v>174</v>
      </c>
    </row>
    <row r="86" spans="1:5" x14ac:dyDescent="0.3">
      <c r="A86" s="5">
        <v>3</v>
      </c>
      <c r="B86" s="4">
        <v>45120</v>
      </c>
      <c r="C86" s="5" t="s">
        <v>200</v>
      </c>
      <c r="D86" s="5">
        <v>25</v>
      </c>
      <c r="E86" s="5" t="s">
        <v>174</v>
      </c>
    </row>
    <row r="87" spans="1:5" x14ac:dyDescent="0.3">
      <c r="A87" s="81">
        <v>4</v>
      </c>
      <c r="B87" s="83">
        <v>45131</v>
      </c>
      <c r="C87" s="81" t="s">
        <v>173</v>
      </c>
      <c r="D87" s="5" t="s">
        <v>204</v>
      </c>
      <c r="E87" s="5" t="s">
        <v>174</v>
      </c>
    </row>
    <row r="88" spans="1:5" x14ac:dyDescent="0.3">
      <c r="A88" s="82"/>
      <c r="B88" s="84"/>
      <c r="C88" s="82"/>
      <c r="D88" s="5">
        <v>10</v>
      </c>
      <c r="E88" s="5"/>
    </row>
    <row r="89" spans="1:5" x14ac:dyDescent="0.3">
      <c r="A89" s="5">
        <v>5</v>
      </c>
      <c r="B89" s="4">
        <v>45132</v>
      </c>
      <c r="C89" s="5" t="s">
        <v>173</v>
      </c>
      <c r="D89" s="5">
        <v>15</v>
      </c>
      <c r="E89" s="5"/>
    </row>
    <row r="90" spans="1:5" x14ac:dyDescent="0.3">
      <c r="A90" s="5"/>
      <c r="B90" s="4"/>
      <c r="C90" s="5"/>
      <c r="D90" s="5"/>
      <c r="E90" s="5"/>
    </row>
    <row r="92" spans="1:5" ht="15" thickBot="1" x14ac:dyDescent="0.35"/>
    <row r="93" spans="1:5" ht="25.8" thickBot="1" x14ac:dyDescent="0.65">
      <c r="A93" s="74" t="s">
        <v>206</v>
      </c>
      <c r="B93" s="75"/>
      <c r="C93" s="75"/>
      <c r="D93" s="75"/>
      <c r="E93" s="76"/>
    </row>
    <row r="94" spans="1:5" x14ac:dyDescent="0.3">
      <c r="A94" s="43" t="s">
        <v>1</v>
      </c>
      <c r="B94" s="44" t="s">
        <v>2</v>
      </c>
      <c r="C94" s="43" t="s">
        <v>3</v>
      </c>
      <c r="D94" s="43" t="s">
        <v>179</v>
      </c>
      <c r="E94" s="43" t="s">
        <v>19</v>
      </c>
    </row>
    <row r="95" spans="1:5" x14ac:dyDescent="0.3">
      <c r="A95" s="5">
        <v>1</v>
      </c>
      <c r="B95" s="4">
        <v>45140</v>
      </c>
      <c r="C95" s="5" t="s">
        <v>173</v>
      </c>
      <c r="D95" s="5">
        <v>8</v>
      </c>
      <c r="E95" s="5"/>
    </row>
    <row r="96" spans="1:5" x14ac:dyDescent="0.3">
      <c r="A96" s="5">
        <v>2</v>
      </c>
      <c r="B96" s="4">
        <v>45147</v>
      </c>
      <c r="C96" s="5" t="s">
        <v>173</v>
      </c>
      <c r="D96" s="5">
        <v>75</v>
      </c>
      <c r="E96" s="5"/>
    </row>
    <row r="97" spans="1:5" x14ac:dyDescent="0.3">
      <c r="A97" s="5">
        <v>3</v>
      </c>
      <c r="B97" s="4">
        <v>45148</v>
      </c>
      <c r="C97" s="5" t="s">
        <v>173</v>
      </c>
      <c r="D97" s="5">
        <v>75</v>
      </c>
      <c r="E97" s="5"/>
    </row>
    <row r="98" spans="1:5" x14ac:dyDescent="0.3">
      <c r="A98" s="5">
        <v>4</v>
      </c>
      <c r="B98" s="4">
        <v>45150</v>
      </c>
      <c r="C98" s="5" t="s">
        <v>173</v>
      </c>
      <c r="D98" s="5">
        <v>10</v>
      </c>
      <c r="E98" s="5"/>
    </row>
    <row r="99" spans="1:5" x14ac:dyDescent="0.3">
      <c r="A99" s="5">
        <v>5</v>
      </c>
      <c r="B99" s="4">
        <v>45162</v>
      </c>
      <c r="C99" s="5" t="s">
        <v>173</v>
      </c>
      <c r="D99" s="5">
        <v>25</v>
      </c>
      <c r="E99" s="5"/>
    </row>
    <row r="100" spans="1:5" x14ac:dyDescent="0.3">
      <c r="A100" s="5">
        <v>6</v>
      </c>
      <c r="B100" s="4">
        <v>45169</v>
      </c>
      <c r="C100" s="5" t="s">
        <v>173</v>
      </c>
      <c r="D100" s="5">
        <v>12</v>
      </c>
      <c r="E100" s="5"/>
    </row>
    <row r="101" spans="1:5" ht="15" thickBot="1" x14ac:dyDescent="0.35"/>
    <row r="102" spans="1:5" ht="25.8" thickBot="1" x14ac:dyDescent="0.65">
      <c r="A102" s="74" t="s">
        <v>213</v>
      </c>
      <c r="B102" s="75"/>
      <c r="C102" s="75"/>
      <c r="D102" s="75"/>
      <c r="E102" s="76"/>
    </row>
    <row r="103" spans="1:5" x14ac:dyDescent="0.3">
      <c r="A103" s="43" t="s">
        <v>1</v>
      </c>
      <c r="B103" s="44" t="s">
        <v>2</v>
      </c>
      <c r="C103" s="43" t="s">
        <v>3</v>
      </c>
      <c r="D103" s="43" t="s">
        <v>179</v>
      </c>
      <c r="E103" s="43" t="s">
        <v>19</v>
      </c>
    </row>
    <row r="104" spans="1:5" x14ac:dyDescent="0.3">
      <c r="A104" s="5">
        <v>1</v>
      </c>
      <c r="B104" s="4">
        <v>45170</v>
      </c>
      <c r="C104" s="5" t="s">
        <v>173</v>
      </c>
      <c r="D104" s="5">
        <v>10</v>
      </c>
      <c r="E104" s="5"/>
    </row>
    <row r="105" spans="1:5" x14ac:dyDescent="0.3">
      <c r="A105" s="5">
        <v>2</v>
      </c>
      <c r="B105" s="4">
        <v>45172</v>
      </c>
      <c r="C105" s="5" t="s">
        <v>214</v>
      </c>
      <c r="D105" s="5">
        <v>25</v>
      </c>
      <c r="E105" s="5"/>
    </row>
    <row r="106" spans="1:5" x14ac:dyDescent="0.3">
      <c r="A106" s="5">
        <v>3</v>
      </c>
      <c r="B106" s="4">
        <v>45177</v>
      </c>
      <c r="C106" s="5" t="s">
        <v>173</v>
      </c>
      <c r="D106" s="5">
        <v>25</v>
      </c>
      <c r="E106" s="5"/>
    </row>
    <row r="107" spans="1:5" x14ac:dyDescent="0.3">
      <c r="A107" s="5">
        <v>4</v>
      </c>
      <c r="B107" s="4">
        <v>45178</v>
      </c>
      <c r="C107" s="5" t="s">
        <v>173</v>
      </c>
      <c r="D107" s="5">
        <v>25</v>
      </c>
      <c r="E107" s="5"/>
    </row>
    <row r="108" spans="1:5" x14ac:dyDescent="0.3">
      <c r="A108" s="5">
        <v>5</v>
      </c>
      <c r="B108" s="4">
        <v>45179</v>
      </c>
      <c r="C108" s="5" t="s">
        <v>173</v>
      </c>
      <c r="D108" s="5">
        <v>2</v>
      </c>
      <c r="E108" s="5"/>
    </row>
    <row r="109" spans="1:5" x14ac:dyDescent="0.3">
      <c r="A109" s="5">
        <v>6</v>
      </c>
      <c r="B109" s="4">
        <v>45184</v>
      </c>
      <c r="C109" s="5" t="s">
        <v>173</v>
      </c>
      <c r="D109" s="5">
        <v>20</v>
      </c>
      <c r="E109" s="5"/>
    </row>
    <row r="110" spans="1:5" x14ac:dyDescent="0.3">
      <c r="A110" s="5">
        <v>7</v>
      </c>
      <c r="B110" s="4">
        <v>45191</v>
      </c>
      <c r="C110" s="5" t="s">
        <v>173</v>
      </c>
      <c r="D110" s="5">
        <v>8</v>
      </c>
      <c r="E110" s="5"/>
    </row>
    <row r="111" spans="1:5" x14ac:dyDescent="0.3">
      <c r="A111" s="5">
        <v>8</v>
      </c>
      <c r="B111" s="4">
        <v>45193</v>
      </c>
      <c r="C111" s="5" t="s">
        <v>173</v>
      </c>
      <c r="D111" s="5">
        <v>8</v>
      </c>
      <c r="E111" s="5"/>
    </row>
    <row r="112" spans="1:5" x14ac:dyDescent="0.3">
      <c r="A112" s="5"/>
      <c r="B112" s="5"/>
      <c r="C112" s="5"/>
      <c r="D112" s="5"/>
      <c r="E112" s="5"/>
    </row>
    <row r="113" spans="1:6" x14ac:dyDescent="0.3">
      <c r="A113" s="5"/>
      <c r="B113" s="5"/>
      <c r="C113" s="5"/>
      <c r="D113" s="5"/>
      <c r="E113" s="5"/>
    </row>
    <row r="114" spans="1:6" ht="15" thickBot="1" x14ac:dyDescent="0.35"/>
    <row r="115" spans="1:6" ht="25.8" thickBot="1" x14ac:dyDescent="0.65">
      <c r="A115" s="74" t="s">
        <v>222</v>
      </c>
      <c r="B115" s="75"/>
      <c r="C115" s="75"/>
      <c r="D115" s="75"/>
      <c r="E115" s="76"/>
    </row>
    <row r="116" spans="1:6" x14ac:dyDescent="0.3">
      <c r="A116" s="43" t="s">
        <v>1</v>
      </c>
      <c r="B116" s="44" t="s">
        <v>2</v>
      </c>
      <c r="C116" s="43" t="s">
        <v>3</v>
      </c>
      <c r="D116" s="43" t="s">
        <v>179</v>
      </c>
      <c r="E116" s="43" t="s">
        <v>19</v>
      </c>
    </row>
    <row r="117" spans="1:6" x14ac:dyDescent="0.3">
      <c r="A117" s="5">
        <v>1</v>
      </c>
      <c r="B117" s="4">
        <v>45218</v>
      </c>
      <c r="C117" s="5" t="s">
        <v>173</v>
      </c>
      <c r="D117" s="5">
        <v>25</v>
      </c>
      <c r="E117" s="5"/>
    </row>
    <row r="118" spans="1:6" x14ac:dyDescent="0.3">
      <c r="A118" s="5">
        <v>2</v>
      </c>
      <c r="B118" s="4">
        <v>45219</v>
      </c>
      <c r="C118" s="5" t="s">
        <v>173</v>
      </c>
      <c r="D118" s="5">
        <v>150</v>
      </c>
      <c r="E118" s="5"/>
    </row>
    <row r="119" spans="1:6" x14ac:dyDescent="0.3">
      <c r="A119" s="5"/>
      <c r="B119" s="4">
        <v>45219</v>
      </c>
      <c r="C119" s="5" t="s">
        <v>229</v>
      </c>
      <c r="D119" s="5">
        <v>30</v>
      </c>
      <c r="E119" s="5" t="s">
        <v>122</v>
      </c>
    </row>
    <row r="120" spans="1:6" x14ac:dyDescent="0.3">
      <c r="A120" s="5">
        <v>3</v>
      </c>
      <c r="B120" s="4">
        <v>45221</v>
      </c>
      <c r="C120" s="5" t="s">
        <v>173</v>
      </c>
      <c r="D120" s="5">
        <v>100</v>
      </c>
      <c r="E120" s="5"/>
    </row>
    <row r="121" spans="1:6" x14ac:dyDescent="0.3">
      <c r="A121" s="5">
        <v>4</v>
      </c>
      <c r="B121" s="4">
        <v>45221</v>
      </c>
      <c r="C121" s="5" t="s">
        <v>231</v>
      </c>
      <c r="D121" s="5" t="s">
        <v>230</v>
      </c>
      <c r="E121" s="5" t="s">
        <v>122</v>
      </c>
      <c r="F121" s="46" t="s">
        <v>232</v>
      </c>
    </row>
    <row r="122" spans="1:6" x14ac:dyDescent="0.3">
      <c r="A122" s="5">
        <v>5</v>
      </c>
      <c r="B122" s="4">
        <v>45224</v>
      </c>
      <c r="C122" s="5" t="s">
        <v>234</v>
      </c>
      <c r="D122" s="5">
        <v>125</v>
      </c>
      <c r="E122" s="5"/>
      <c r="F122" t="s">
        <v>233</v>
      </c>
    </row>
    <row r="123" spans="1:6" x14ac:dyDescent="0.3">
      <c r="A123" s="5">
        <v>6</v>
      </c>
      <c r="B123" s="4">
        <v>45225</v>
      </c>
      <c r="C123" s="5" t="s">
        <v>38</v>
      </c>
      <c r="D123" s="5">
        <v>25</v>
      </c>
      <c r="E123" s="5"/>
      <c r="F123" t="s">
        <v>233</v>
      </c>
    </row>
    <row r="124" spans="1:6" x14ac:dyDescent="0.3">
      <c r="A124" s="5">
        <v>7</v>
      </c>
      <c r="B124" s="4">
        <v>45226</v>
      </c>
      <c r="C124" s="5" t="s">
        <v>64</v>
      </c>
      <c r="D124" s="5">
        <v>3</v>
      </c>
      <c r="E124" s="5"/>
    </row>
    <row r="125" spans="1:6" x14ac:dyDescent="0.3">
      <c r="A125" s="5">
        <v>8</v>
      </c>
      <c r="B125" s="4"/>
      <c r="C125" s="5"/>
      <c r="D125" s="5"/>
      <c r="E125" s="5"/>
    </row>
    <row r="126" spans="1:6" x14ac:dyDescent="0.3">
      <c r="A126" s="5"/>
      <c r="B126" s="5"/>
      <c r="C126" s="5"/>
      <c r="D126" s="5"/>
      <c r="E126" s="5"/>
    </row>
    <row r="127" spans="1:6" x14ac:dyDescent="0.3">
      <c r="A127" s="5"/>
      <c r="B127" s="5"/>
      <c r="C127" s="5"/>
      <c r="D127" s="5"/>
      <c r="E127" s="5"/>
    </row>
    <row r="129" spans="1:5" ht="15" thickBot="1" x14ac:dyDescent="0.35"/>
    <row r="130" spans="1:5" ht="25.8" thickBot="1" x14ac:dyDescent="0.65">
      <c r="A130" s="74" t="s">
        <v>236</v>
      </c>
      <c r="B130" s="75"/>
      <c r="C130" s="75"/>
      <c r="D130" s="75"/>
      <c r="E130" s="76"/>
    </row>
    <row r="131" spans="1:5" x14ac:dyDescent="0.3">
      <c r="A131" s="11" t="s">
        <v>1</v>
      </c>
      <c r="B131" s="2" t="s">
        <v>2</v>
      </c>
      <c r="C131" s="11" t="s">
        <v>3</v>
      </c>
      <c r="D131" s="11" t="s">
        <v>28</v>
      </c>
      <c r="E131" s="11" t="s">
        <v>5</v>
      </c>
    </row>
    <row r="132" spans="1:5" x14ac:dyDescent="0.3">
      <c r="A132" s="18">
        <v>1</v>
      </c>
      <c r="B132" s="19">
        <v>45532</v>
      </c>
      <c r="C132" s="18" t="s">
        <v>184</v>
      </c>
      <c r="D132" s="5"/>
      <c r="E132" s="5">
        <v>75</v>
      </c>
    </row>
    <row r="133" spans="1:5" x14ac:dyDescent="0.3">
      <c r="A133" s="18">
        <v>2</v>
      </c>
      <c r="B133" s="19">
        <v>45533</v>
      </c>
      <c r="C133" s="18" t="s">
        <v>184</v>
      </c>
      <c r="D133" s="5"/>
      <c r="E133" s="5">
        <v>25</v>
      </c>
    </row>
    <row r="134" spans="1:5" x14ac:dyDescent="0.3">
      <c r="A134" s="5"/>
      <c r="B134" s="4"/>
      <c r="C134" s="5"/>
      <c r="D134" s="5"/>
      <c r="E134" s="5"/>
    </row>
    <row r="135" spans="1:5" x14ac:dyDescent="0.3">
      <c r="A135" s="5"/>
      <c r="B135" s="4"/>
      <c r="C135" s="5"/>
      <c r="D135" s="5"/>
      <c r="E135" s="5"/>
    </row>
    <row r="136" spans="1:5" x14ac:dyDescent="0.3">
      <c r="A136" s="5"/>
      <c r="B136" s="4"/>
      <c r="C136" s="5"/>
      <c r="D136" s="5"/>
      <c r="E136" s="5"/>
    </row>
    <row r="137" spans="1:5" x14ac:dyDescent="0.3">
      <c r="A137" s="5"/>
      <c r="B137" s="4"/>
      <c r="C137" s="5"/>
      <c r="D137" s="5"/>
      <c r="E137" s="5"/>
    </row>
    <row r="138" spans="1:5" x14ac:dyDescent="0.3">
      <c r="A138" s="5"/>
      <c r="B138" s="4"/>
      <c r="C138" s="5"/>
      <c r="D138" s="5"/>
      <c r="E138" s="5"/>
    </row>
    <row r="139" spans="1:5" x14ac:dyDescent="0.3">
      <c r="A139" s="5"/>
      <c r="B139" s="5"/>
      <c r="C139" s="5"/>
      <c r="D139" s="5"/>
      <c r="E139" s="5"/>
    </row>
    <row r="140" spans="1:5" x14ac:dyDescent="0.3">
      <c r="A140" s="5"/>
      <c r="B140" s="5"/>
      <c r="C140" s="5"/>
      <c r="D140" s="5"/>
      <c r="E140" s="5"/>
    </row>
    <row r="142" spans="1:5" ht="15" thickBot="1" x14ac:dyDescent="0.35"/>
    <row r="143" spans="1:5" ht="25.8" thickBot="1" x14ac:dyDescent="0.65">
      <c r="A143" s="74" t="s">
        <v>252</v>
      </c>
      <c r="B143" s="75"/>
      <c r="C143" s="75"/>
      <c r="D143" s="75"/>
      <c r="E143" s="76"/>
    </row>
    <row r="144" spans="1:5" x14ac:dyDescent="0.3">
      <c r="A144" s="11" t="s">
        <v>1</v>
      </c>
      <c r="B144" s="2" t="s">
        <v>2</v>
      </c>
      <c r="C144" s="11" t="s">
        <v>3</v>
      </c>
      <c r="D144" s="11" t="s">
        <v>28</v>
      </c>
      <c r="E144" s="11" t="s">
        <v>5</v>
      </c>
    </row>
    <row r="145" spans="1:5" x14ac:dyDescent="0.3">
      <c r="A145" s="18">
        <v>1</v>
      </c>
      <c r="B145" s="19">
        <v>46059</v>
      </c>
      <c r="C145" s="18" t="s">
        <v>184</v>
      </c>
      <c r="D145" s="5"/>
      <c r="E145" s="5">
        <v>75</v>
      </c>
    </row>
    <row r="146" spans="1:5" x14ac:dyDescent="0.3">
      <c r="A146" s="13">
        <v>2</v>
      </c>
      <c r="B146" s="19">
        <v>46060</v>
      </c>
      <c r="C146" s="18" t="s">
        <v>184</v>
      </c>
      <c r="D146" s="5"/>
      <c r="E146" s="5">
        <v>25</v>
      </c>
    </row>
    <row r="147" spans="1:5" x14ac:dyDescent="0.3">
      <c r="A147" s="5">
        <v>3</v>
      </c>
      <c r="B147" s="4">
        <v>46062</v>
      </c>
      <c r="C147" s="5" t="s">
        <v>254</v>
      </c>
      <c r="D147" s="5"/>
      <c r="E147" s="5">
        <v>25</v>
      </c>
    </row>
    <row r="148" spans="1:5" x14ac:dyDescent="0.3">
      <c r="A148" s="18">
        <v>4</v>
      </c>
      <c r="B148" s="4">
        <v>46067</v>
      </c>
      <c r="C148" s="5" t="s">
        <v>263</v>
      </c>
      <c r="D148" s="5"/>
      <c r="E148" s="5">
        <v>15</v>
      </c>
    </row>
    <row r="149" spans="1:5" x14ac:dyDescent="0.3">
      <c r="A149" s="13">
        <v>5</v>
      </c>
      <c r="B149" s="4">
        <v>46067</v>
      </c>
      <c r="C149" s="5" t="s">
        <v>122</v>
      </c>
      <c r="D149" s="5"/>
      <c r="E149" s="5" t="s">
        <v>264</v>
      </c>
    </row>
    <row r="150" spans="1:5" x14ac:dyDescent="0.3">
      <c r="A150" s="5">
        <v>6</v>
      </c>
      <c r="B150" s="4">
        <v>46075</v>
      </c>
      <c r="C150" s="5" t="s">
        <v>271</v>
      </c>
      <c r="D150" s="5"/>
      <c r="E150" s="5">
        <v>5</v>
      </c>
    </row>
    <row r="151" spans="1:5" x14ac:dyDescent="0.3">
      <c r="A151" s="18">
        <v>7</v>
      </c>
      <c r="B151" s="4">
        <v>46086</v>
      </c>
      <c r="C151" s="5" t="s">
        <v>263</v>
      </c>
      <c r="D151" s="5"/>
      <c r="E151" s="5">
        <v>15</v>
      </c>
    </row>
    <row r="152" spans="1:5" x14ac:dyDescent="0.3">
      <c r="A152" s="13">
        <v>8</v>
      </c>
      <c r="B152" s="4">
        <v>46097</v>
      </c>
      <c r="C152" s="5" t="s">
        <v>263</v>
      </c>
      <c r="D152" s="5"/>
      <c r="E152" s="5">
        <v>15</v>
      </c>
    </row>
    <row r="153" spans="1:5" x14ac:dyDescent="0.3">
      <c r="A153" s="5">
        <v>9</v>
      </c>
      <c r="B153" s="4">
        <v>46098</v>
      </c>
      <c r="C153" s="5" t="s">
        <v>263</v>
      </c>
      <c r="D153" s="5"/>
      <c r="E153" s="5">
        <v>15</v>
      </c>
    </row>
    <row r="154" spans="1:5" x14ac:dyDescent="0.3">
      <c r="A154" s="18">
        <v>10</v>
      </c>
      <c r="B154" s="4">
        <v>46101</v>
      </c>
      <c r="C154" s="5" t="s">
        <v>263</v>
      </c>
      <c r="D154" s="5"/>
      <c r="E154" s="5">
        <v>10</v>
      </c>
    </row>
    <row r="155" spans="1:5" x14ac:dyDescent="0.3">
      <c r="A155" s="13">
        <v>11</v>
      </c>
      <c r="B155" s="25">
        <v>46105</v>
      </c>
      <c r="C155" s="5" t="s">
        <v>263</v>
      </c>
      <c r="D155" s="30"/>
      <c r="E155" s="5">
        <v>25</v>
      </c>
    </row>
    <row r="156" spans="1:5" x14ac:dyDescent="0.3">
      <c r="A156" s="5">
        <v>12</v>
      </c>
      <c r="B156" s="25">
        <v>46107</v>
      </c>
      <c r="C156" s="5" t="s">
        <v>263</v>
      </c>
      <c r="D156" s="30"/>
      <c r="E156" s="5">
        <v>10</v>
      </c>
    </row>
    <row r="157" spans="1:5" x14ac:dyDescent="0.3">
      <c r="A157" s="18">
        <v>13</v>
      </c>
      <c r="B157" s="25">
        <v>46108</v>
      </c>
      <c r="C157" s="5" t="s">
        <v>366</v>
      </c>
      <c r="D157" s="30" t="s">
        <v>367</v>
      </c>
      <c r="E157" s="5">
        <v>25</v>
      </c>
    </row>
    <row r="158" spans="1:5" x14ac:dyDescent="0.3">
      <c r="A158" s="13">
        <v>14</v>
      </c>
      <c r="B158" s="25">
        <v>46113</v>
      </c>
      <c r="C158" s="5" t="s">
        <v>263</v>
      </c>
      <c r="D158" s="30"/>
      <c r="E158" s="5">
        <v>10</v>
      </c>
    </row>
    <row r="159" spans="1:5" x14ac:dyDescent="0.3">
      <c r="A159" s="5">
        <v>15</v>
      </c>
      <c r="B159" s="25">
        <v>46116</v>
      </c>
      <c r="C159" s="5" t="s">
        <v>263</v>
      </c>
      <c r="D159" s="30"/>
      <c r="E159" s="5">
        <v>10</v>
      </c>
    </row>
    <row r="160" spans="1:5" x14ac:dyDescent="0.3">
      <c r="A160" s="30"/>
      <c r="B160" s="25">
        <v>46124</v>
      </c>
      <c r="C160" s="5" t="s">
        <v>432</v>
      </c>
      <c r="D160" s="30"/>
      <c r="E160" s="5">
        <v>16</v>
      </c>
    </row>
    <row r="161" spans="1:5" x14ac:dyDescent="0.3">
      <c r="A161" s="30"/>
      <c r="B161" s="25">
        <v>46128</v>
      </c>
      <c r="C161" s="5" t="s">
        <v>263</v>
      </c>
      <c r="D161" s="30"/>
      <c r="E161" s="5">
        <v>15</v>
      </c>
    </row>
  </sheetData>
  <autoFilter ref="A1:L80" xr:uid="{00000000-0009-0000-0000-000002000000}"/>
  <mergeCells count="22">
    <mergeCell ref="A143:E143"/>
    <mergeCell ref="A130:E130"/>
    <mergeCell ref="A2:E2"/>
    <mergeCell ref="A8:E8"/>
    <mergeCell ref="A16:E16"/>
    <mergeCell ref="A22:E22"/>
    <mergeCell ref="C87:C88"/>
    <mergeCell ref="B87:B88"/>
    <mergeCell ref="A87:A88"/>
    <mergeCell ref="A115:E115"/>
    <mergeCell ref="A102:E102"/>
    <mergeCell ref="A93:E93"/>
    <mergeCell ref="H41:L41"/>
    <mergeCell ref="H16:L16"/>
    <mergeCell ref="A33:E33"/>
    <mergeCell ref="A82:E82"/>
    <mergeCell ref="A72:E72"/>
    <mergeCell ref="A49:E49"/>
    <mergeCell ref="A48:E48"/>
    <mergeCell ref="A43:E43"/>
    <mergeCell ref="G72:K72"/>
    <mergeCell ref="F37:F38"/>
  </mergeCells>
  <pageMargins left="0.7" right="0.7" top="0.75" bottom="0.75" header="0.3" footer="0.3"/>
  <pageSetup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2"/>
  <sheetViews>
    <sheetView topLeftCell="A115" workbookViewId="0">
      <selection activeCell="I124" sqref="I124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29.33203125" bestFit="1" customWidth="1"/>
    <col min="4" max="4" width="7" bestFit="1" customWidth="1"/>
    <col min="5" max="5" width="18.33203125" bestFit="1" customWidth="1"/>
    <col min="6" max="6" width="15.5546875" bestFit="1" customWidth="1"/>
    <col min="9" max="9" width="29.33203125" bestFit="1" customWidth="1"/>
    <col min="11" max="11" width="18.33203125" bestFit="1" customWidth="1"/>
  </cols>
  <sheetData>
    <row r="1" spans="1:5" ht="25.8" thickBot="1" x14ac:dyDescent="0.65">
      <c r="A1" s="74" t="s">
        <v>27</v>
      </c>
      <c r="B1" s="75"/>
      <c r="C1" s="75"/>
      <c r="D1" s="75"/>
      <c r="E1" s="76"/>
    </row>
    <row r="2" spans="1:5" ht="15" thickBot="1" x14ac:dyDescent="0.35">
      <c r="A2" s="11" t="s">
        <v>1</v>
      </c>
      <c r="B2" s="11" t="s">
        <v>2</v>
      </c>
      <c r="C2" s="1" t="s">
        <v>3</v>
      </c>
      <c r="D2" s="1" t="s">
        <v>28</v>
      </c>
      <c r="E2" s="1" t="s">
        <v>29</v>
      </c>
    </row>
    <row r="3" spans="1:5" x14ac:dyDescent="0.3">
      <c r="A3" s="5">
        <v>1</v>
      </c>
      <c r="B3" s="25">
        <v>44695</v>
      </c>
      <c r="C3" s="5" t="s">
        <v>22</v>
      </c>
      <c r="D3" s="24" t="s">
        <v>30</v>
      </c>
      <c r="E3" s="5">
        <v>27000</v>
      </c>
    </row>
    <row r="4" spans="1:5" x14ac:dyDescent="0.3">
      <c r="A4" s="5">
        <v>2</v>
      </c>
      <c r="B4" s="25">
        <v>44699</v>
      </c>
      <c r="C4" s="5" t="s">
        <v>38</v>
      </c>
      <c r="D4" s="24" t="s">
        <v>30</v>
      </c>
      <c r="E4" s="5">
        <v>27000</v>
      </c>
    </row>
    <row r="5" spans="1:5" ht="15" thickBot="1" x14ac:dyDescent="0.35"/>
    <row r="6" spans="1:5" ht="25.8" thickBot="1" x14ac:dyDescent="0.65">
      <c r="A6" s="74" t="s">
        <v>32</v>
      </c>
      <c r="B6" s="75"/>
      <c r="C6" s="75"/>
      <c r="D6" s="75"/>
      <c r="E6" s="76"/>
    </row>
    <row r="7" spans="1:5" ht="15" thickBot="1" x14ac:dyDescent="0.35">
      <c r="A7" s="11" t="s">
        <v>1</v>
      </c>
      <c r="B7" s="2" t="s">
        <v>2</v>
      </c>
      <c r="C7" s="1" t="s">
        <v>3</v>
      </c>
      <c r="D7" s="11" t="s">
        <v>28</v>
      </c>
      <c r="E7" s="1" t="s">
        <v>5</v>
      </c>
    </row>
    <row r="8" spans="1:5" x14ac:dyDescent="0.3">
      <c r="A8" s="21">
        <v>1</v>
      </c>
      <c r="B8" s="22">
        <v>44716</v>
      </c>
      <c r="C8" s="5" t="s">
        <v>26</v>
      </c>
      <c r="D8" s="21"/>
      <c r="E8" s="8" t="s">
        <v>23</v>
      </c>
    </row>
    <row r="9" spans="1:5" x14ac:dyDescent="0.3">
      <c r="A9" s="5">
        <v>2</v>
      </c>
      <c r="B9" s="4">
        <v>44741</v>
      </c>
      <c r="C9" s="5" t="s">
        <v>26</v>
      </c>
      <c r="D9" s="5"/>
      <c r="E9" s="5" t="s">
        <v>37</v>
      </c>
    </row>
    <row r="11" spans="1:5" ht="15" thickBot="1" x14ac:dyDescent="0.35"/>
    <row r="12" spans="1:5" ht="25.8" thickBot="1" x14ac:dyDescent="0.65">
      <c r="A12" s="74" t="s">
        <v>41</v>
      </c>
      <c r="B12" s="75"/>
      <c r="C12" s="75"/>
      <c r="D12" s="75"/>
      <c r="E12" s="76"/>
    </row>
    <row r="13" spans="1:5" x14ac:dyDescent="0.3">
      <c r="A13" s="11" t="s">
        <v>1</v>
      </c>
      <c r="B13" s="2" t="s">
        <v>2</v>
      </c>
      <c r="C13" s="11" t="s">
        <v>3</v>
      </c>
      <c r="D13" s="11" t="s">
        <v>28</v>
      </c>
      <c r="E13" s="11" t="s">
        <v>5</v>
      </c>
    </row>
    <row r="14" spans="1:5" x14ac:dyDescent="0.3">
      <c r="A14" s="5">
        <v>1</v>
      </c>
      <c r="B14" s="4">
        <v>44743</v>
      </c>
      <c r="C14" s="5" t="s">
        <v>42</v>
      </c>
      <c r="D14" s="5"/>
      <c r="E14" s="5" t="s">
        <v>23</v>
      </c>
    </row>
    <row r="15" spans="1:5" x14ac:dyDescent="0.3">
      <c r="A15" s="5"/>
      <c r="B15" s="5"/>
      <c r="C15" s="5"/>
      <c r="D15" s="5"/>
      <c r="E15" s="5"/>
    </row>
    <row r="16" spans="1:5" x14ac:dyDescent="0.3">
      <c r="A16" s="5"/>
      <c r="B16" s="5"/>
      <c r="C16" s="5"/>
      <c r="D16" s="5"/>
      <c r="E16" s="5"/>
    </row>
    <row r="17" spans="1:11" x14ac:dyDescent="0.3">
      <c r="A17" s="5"/>
      <c r="B17" s="5"/>
      <c r="C17" s="5"/>
      <c r="D17" s="5"/>
      <c r="E17" s="5"/>
    </row>
    <row r="18" spans="1:11" x14ac:dyDescent="0.3">
      <c r="A18" s="5"/>
      <c r="B18" s="5"/>
      <c r="C18" s="5"/>
      <c r="D18" s="5"/>
      <c r="E18" s="5"/>
    </row>
    <row r="19" spans="1:11" x14ac:dyDescent="0.3">
      <c r="A19" s="5"/>
      <c r="B19" s="5"/>
      <c r="C19" s="5"/>
      <c r="D19" s="5"/>
      <c r="E19" s="5"/>
    </row>
    <row r="20" spans="1:11" x14ac:dyDescent="0.3">
      <c r="A20" s="5"/>
      <c r="B20" s="5"/>
      <c r="C20" s="5"/>
      <c r="D20" s="5"/>
      <c r="E20" s="5"/>
    </row>
    <row r="21" spans="1:11" ht="15" thickBot="1" x14ac:dyDescent="0.35"/>
    <row r="22" spans="1:11" ht="25.8" thickBot="1" x14ac:dyDescent="0.65">
      <c r="A22" s="74" t="s">
        <v>51</v>
      </c>
      <c r="B22" s="75"/>
      <c r="C22" s="75"/>
      <c r="D22" s="75"/>
      <c r="E22" s="76"/>
      <c r="G22" s="74" t="s">
        <v>51</v>
      </c>
      <c r="H22" s="75"/>
      <c r="I22" s="75"/>
      <c r="J22" s="75"/>
      <c r="K22" s="76"/>
    </row>
    <row r="23" spans="1:11" x14ac:dyDescent="0.3">
      <c r="A23" s="11" t="s">
        <v>1</v>
      </c>
      <c r="B23" s="2" t="s">
        <v>2</v>
      </c>
      <c r="C23" s="11" t="s">
        <v>3</v>
      </c>
      <c r="D23" s="11" t="s">
        <v>28</v>
      </c>
      <c r="E23" s="11" t="s">
        <v>5</v>
      </c>
      <c r="G23" s="11" t="s">
        <v>1</v>
      </c>
      <c r="H23" s="2" t="s">
        <v>2</v>
      </c>
      <c r="I23" s="11" t="s">
        <v>3</v>
      </c>
      <c r="J23" s="11" t="s">
        <v>28</v>
      </c>
      <c r="K23" s="11" t="s">
        <v>5</v>
      </c>
    </row>
    <row r="24" spans="1:11" x14ac:dyDescent="0.3">
      <c r="A24" s="5">
        <v>1</v>
      </c>
      <c r="B24" s="4">
        <v>44785</v>
      </c>
      <c r="C24" s="5" t="s">
        <v>39</v>
      </c>
      <c r="D24" s="5"/>
      <c r="E24" s="5" t="s">
        <v>23</v>
      </c>
      <c r="G24" s="5">
        <v>1</v>
      </c>
      <c r="H24" s="4">
        <v>44795</v>
      </c>
      <c r="I24" s="5" t="s">
        <v>75</v>
      </c>
      <c r="J24" s="5"/>
      <c r="K24" s="5">
        <v>9</v>
      </c>
    </row>
    <row r="25" spans="1:11" x14ac:dyDescent="0.3">
      <c r="A25" s="5">
        <v>2</v>
      </c>
      <c r="B25" s="4">
        <v>44786</v>
      </c>
      <c r="C25" s="5" t="s">
        <v>39</v>
      </c>
      <c r="D25" s="5"/>
      <c r="E25" s="5" t="s">
        <v>23</v>
      </c>
      <c r="G25" s="5"/>
      <c r="H25" s="5"/>
      <c r="I25" s="5"/>
      <c r="J25" s="5"/>
      <c r="K25" s="5"/>
    </row>
    <row r="26" spans="1:11" x14ac:dyDescent="0.3">
      <c r="A26" s="5">
        <v>3</v>
      </c>
      <c r="B26" s="4">
        <v>44788</v>
      </c>
      <c r="C26" s="5" t="s">
        <v>39</v>
      </c>
      <c r="D26" s="5"/>
      <c r="E26" s="5" t="s">
        <v>66</v>
      </c>
      <c r="G26" s="5"/>
      <c r="H26" s="5"/>
      <c r="I26" s="5"/>
      <c r="J26" s="5"/>
      <c r="K26" s="5"/>
    </row>
    <row r="27" spans="1:11" x14ac:dyDescent="0.3">
      <c r="A27" s="5">
        <v>4</v>
      </c>
      <c r="B27" s="4">
        <v>44794</v>
      </c>
      <c r="C27" s="5" t="s">
        <v>39</v>
      </c>
      <c r="D27" s="5"/>
      <c r="E27" s="5" t="s">
        <v>69</v>
      </c>
      <c r="G27" s="5"/>
      <c r="H27" s="5"/>
      <c r="I27" s="5"/>
      <c r="J27" s="5"/>
      <c r="K27" s="5"/>
    </row>
    <row r="28" spans="1:11" x14ac:dyDescent="0.3">
      <c r="A28" s="5"/>
      <c r="B28" s="4"/>
      <c r="C28" s="5"/>
      <c r="D28" s="5"/>
      <c r="E28" s="5"/>
      <c r="G28" s="5"/>
      <c r="H28" s="5"/>
      <c r="I28" s="5"/>
      <c r="J28" s="5"/>
      <c r="K28" s="5"/>
    </row>
    <row r="29" spans="1:11" x14ac:dyDescent="0.3">
      <c r="A29" s="5"/>
      <c r="B29" s="5"/>
      <c r="C29" s="5"/>
      <c r="D29" s="5"/>
      <c r="E29" s="5"/>
      <c r="G29" s="5"/>
      <c r="H29" s="5"/>
      <c r="I29" s="5"/>
      <c r="J29" s="5"/>
      <c r="K29" s="5"/>
    </row>
    <row r="30" spans="1:11" x14ac:dyDescent="0.3">
      <c r="A30" s="5"/>
      <c r="B30" s="5"/>
      <c r="C30" s="5"/>
      <c r="D30" s="5"/>
      <c r="E30" s="5"/>
      <c r="G30" s="5"/>
      <c r="H30" s="5"/>
      <c r="I30" s="5"/>
      <c r="J30" s="5"/>
      <c r="K30" s="5"/>
    </row>
    <row r="31" spans="1:11" x14ac:dyDescent="0.3">
      <c r="G31" s="5"/>
      <c r="H31" s="5"/>
      <c r="I31" s="5"/>
      <c r="J31" s="5"/>
      <c r="K31" s="5"/>
    </row>
    <row r="32" spans="1:11" ht="15" thickBot="1" x14ac:dyDescent="0.35">
      <c r="G32" s="5"/>
      <c r="H32" s="5"/>
      <c r="I32" s="5"/>
      <c r="J32" s="5"/>
      <c r="K32" s="5"/>
    </row>
    <row r="33" spans="1:8" ht="25.8" thickBot="1" x14ac:dyDescent="0.65">
      <c r="A33" s="74" t="s">
        <v>78</v>
      </c>
      <c r="B33" s="75"/>
      <c r="C33" s="75"/>
      <c r="D33" s="75"/>
      <c r="E33" s="76"/>
    </row>
    <row r="34" spans="1:8" x14ac:dyDescent="0.3">
      <c r="A34" s="11" t="s">
        <v>1</v>
      </c>
      <c r="B34" s="2" t="s">
        <v>2</v>
      </c>
      <c r="C34" s="11" t="s">
        <v>3</v>
      </c>
      <c r="D34" s="11" t="s">
        <v>28</v>
      </c>
      <c r="E34" s="11" t="s">
        <v>5</v>
      </c>
    </row>
    <row r="35" spans="1:8" x14ac:dyDescent="0.3">
      <c r="A35" s="5">
        <v>1</v>
      </c>
      <c r="B35" s="4">
        <v>44808</v>
      </c>
      <c r="C35" s="5" t="s">
        <v>39</v>
      </c>
      <c r="D35" s="5"/>
      <c r="E35" s="5" t="s">
        <v>79</v>
      </c>
      <c r="F35" s="34" t="s">
        <v>108</v>
      </c>
    </row>
    <row r="36" spans="1:8" x14ac:dyDescent="0.3">
      <c r="A36" s="5">
        <v>2</v>
      </c>
      <c r="B36" s="4">
        <v>44822</v>
      </c>
      <c r="C36" s="5" t="s">
        <v>112</v>
      </c>
      <c r="D36" s="5"/>
      <c r="E36" s="5" t="s">
        <v>113</v>
      </c>
      <c r="F36">
        <v>60000</v>
      </c>
      <c r="G36" s="31" t="s">
        <v>98</v>
      </c>
      <c r="H36" s="32">
        <v>48600</v>
      </c>
    </row>
    <row r="37" spans="1:8" x14ac:dyDescent="0.3">
      <c r="A37" s="5">
        <v>3</v>
      </c>
      <c r="B37" s="4">
        <v>44829</v>
      </c>
      <c r="C37" s="5" t="s">
        <v>39</v>
      </c>
      <c r="D37" s="5"/>
      <c r="E37" s="5" t="s">
        <v>117</v>
      </c>
      <c r="F37">
        <v>6000</v>
      </c>
      <c r="G37" s="31" t="s">
        <v>99</v>
      </c>
      <c r="H37" s="32">
        <v>24300</v>
      </c>
    </row>
    <row r="38" spans="1:8" x14ac:dyDescent="0.3">
      <c r="A38" s="5"/>
      <c r="B38" s="5"/>
      <c r="C38" s="5"/>
      <c r="D38" s="5"/>
      <c r="E38" s="5"/>
      <c r="G38" s="31" t="s">
        <v>86</v>
      </c>
      <c r="H38" s="32">
        <v>38745</v>
      </c>
    </row>
    <row r="39" spans="1:8" x14ac:dyDescent="0.3">
      <c r="A39" s="5"/>
      <c r="B39" s="5"/>
      <c r="C39" s="5"/>
      <c r="D39" s="5"/>
      <c r="E39" s="5"/>
      <c r="G39" s="33" t="s">
        <v>100</v>
      </c>
      <c r="H39" s="33">
        <f>H36+H37+H38</f>
        <v>111645</v>
      </c>
    </row>
    <row r="40" spans="1:8" ht="15" thickBot="1" x14ac:dyDescent="0.35">
      <c r="A40" s="90"/>
      <c r="B40" s="91"/>
      <c r="C40" s="91"/>
      <c r="D40" s="91"/>
      <c r="E40" s="92"/>
    </row>
    <row r="41" spans="1:8" ht="25.8" thickBot="1" x14ac:dyDescent="0.65">
      <c r="A41" s="74" t="s">
        <v>156</v>
      </c>
      <c r="B41" s="75"/>
      <c r="C41" s="75"/>
      <c r="D41" s="75"/>
      <c r="E41" s="76"/>
    </row>
    <row r="42" spans="1:8" x14ac:dyDescent="0.3">
      <c r="A42" s="11" t="s">
        <v>1</v>
      </c>
      <c r="B42" s="2" t="s">
        <v>2</v>
      </c>
      <c r="C42" s="11" t="s">
        <v>3</v>
      </c>
      <c r="D42" s="11" t="s">
        <v>28</v>
      </c>
      <c r="E42" s="11" t="s">
        <v>5</v>
      </c>
    </row>
    <row r="43" spans="1:8" x14ac:dyDescent="0.3">
      <c r="A43" s="5">
        <v>1</v>
      </c>
      <c r="B43" s="4">
        <v>44973</v>
      </c>
      <c r="C43" s="5" t="s">
        <v>48</v>
      </c>
      <c r="D43" s="5"/>
      <c r="E43" s="5">
        <v>75</v>
      </c>
    </row>
    <row r="44" spans="1:8" x14ac:dyDescent="0.3">
      <c r="A44" s="5">
        <v>2</v>
      </c>
      <c r="B44" s="4">
        <v>44974</v>
      </c>
      <c r="C44" s="5" t="s">
        <v>48</v>
      </c>
      <c r="D44" s="5"/>
      <c r="E44" s="5">
        <v>50</v>
      </c>
    </row>
    <row r="45" spans="1:8" x14ac:dyDescent="0.3">
      <c r="A45" s="5">
        <v>3</v>
      </c>
      <c r="B45" s="4">
        <v>44978</v>
      </c>
      <c r="C45" s="5" t="s">
        <v>155</v>
      </c>
      <c r="D45" s="5"/>
      <c r="E45" s="5">
        <v>17</v>
      </c>
    </row>
    <row r="46" spans="1:8" ht="15" thickBot="1" x14ac:dyDescent="0.35">
      <c r="A46" s="90"/>
      <c r="B46" s="91"/>
      <c r="C46" s="91"/>
      <c r="D46" s="91"/>
      <c r="E46" s="92"/>
    </row>
    <row r="47" spans="1:8" ht="25.8" thickBot="1" x14ac:dyDescent="0.65">
      <c r="A47" s="74" t="s">
        <v>182</v>
      </c>
      <c r="B47" s="75"/>
      <c r="C47" s="75"/>
      <c r="D47" s="75"/>
      <c r="E47" s="76"/>
    </row>
    <row r="48" spans="1:8" x14ac:dyDescent="0.3">
      <c r="A48" s="11" t="s">
        <v>1</v>
      </c>
      <c r="B48" s="2" t="s">
        <v>2</v>
      </c>
      <c r="C48" s="11" t="s">
        <v>3</v>
      </c>
      <c r="D48" s="11" t="s">
        <v>28</v>
      </c>
      <c r="E48" s="11" t="s">
        <v>5</v>
      </c>
    </row>
    <row r="49" spans="1:11" x14ac:dyDescent="0.3">
      <c r="A49" s="18">
        <v>1</v>
      </c>
      <c r="B49" s="19">
        <v>44990</v>
      </c>
      <c r="C49" s="18" t="s">
        <v>155</v>
      </c>
      <c r="D49" s="5"/>
      <c r="E49" s="5">
        <v>75</v>
      </c>
    </row>
    <row r="50" spans="1:11" x14ac:dyDescent="0.3">
      <c r="A50" s="13">
        <v>2</v>
      </c>
      <c r="B50" s="15">
        <v>44991</v>
      </c>
      <c r="C50" s="13" t="s">
        <v>155</v>
      </c>
      <c r="D50" s="5"/>
      <c r="E50" s="5">
        <v>25</v>
      </c>
    </row>
    <row r="51" spans="1:11" x14ac:dyDescent="0.3">
      <c r="A51" s="5">
        <v>3</v>
      </c>
      <c r="B51" s="4">
        <v>45001</v>
      </c>
      <c r="C51" s="5" t="s">
        <v>155</v>
      </c>
      <c r="D51" s="5"/>
      <c r="E51" s="5">
        <v>25</v>
      </c>
    </row>
    <row r="52" spans="1:11" x14ac:dyDescent="0.3">
      <c r="A52" s="5">
        <v>4</v>
      </c>
      <c r="B52" s="4">
        <v>45011</v>
      </c>
      <c r="C52" s="5" t="s">
        <v>155</v>
      </c>
      <c r="D52" s="5"/>
      <c r="E52" s="5">
        <v>75</v>
      </c>
    </row>
    <row r="53" spans="1:11" x14ac:dyDescent="0.3">
      <c r="A53" s="5">
        <v>5</v>
      </c>
      <c r="B53" s="4">
        <v>45013</v>
      </c>
      <c r="C53" s="13" t="s">
        <v>155</v>
      </c>
      <c r="D53" s="5"/>
      <c r="E53" s="5">
        <v>25</v>
      </c>
      <c r="F53" t="s">
        <v>108</v>
      </c>
    </row>
    <row r="54" spans="1:11" ht="15" thickBot="1" x14ac:dyDescent="0.35"/>
    <row r="55" spans="1:11" ht="25.8" thickBot="1" x14ac:dyDescent="0.65">
      <c r="A55" s="74" t="s">
        <v>183</v>
      </c>
      <c r="B55" s="75"/>
      <c r="C55" s="75"/>
      <c r="D55" s="75"/>
      <c r="E55" s="76"/>
      <c r="G55" s="74" t="s">
        <v>183</v>
      </c>
      <c r="H55" s="75"/>
      <c r="I55" s="75"/>
      <c r="J55" s="75"/>
      <c r="K55" s="76"/>
    </row>
    <row r="56" spans="1:11" x14ac:dyDescent="0.3">
      <c r="A56" s="11" t="s">
        <v>1</v>
      </c>
      <c r="B56" s="2" t="s">
        <v>2</v>
      </c>
      <c r="C56" s="11" t="s">
        <v>3</v>
      </c>
      <c r="D56" s="11" t="s">
        <v>28</v>
      </c>
      <c r="E56" s="11" t="s">
        <v>5</v>
      </c>
      <c r="G56" s="11" t="s">
        <v>1</v>
      </c>
      <c r="H56" s="2" t="s">
        <v>2</v>
      </c>
      <c r="I56" s="11" t="s">
        <v>3</v>
      </c>
      <c r="J56" s="11" t="s">
        <v>28</v>
      </c>
      <c r="K56" s="11" t="s">
        <v>5</v>
      </c>
    </row>
    <row r="57" spans="1:11" x14ac:dyDescent="0.3">
      <c r="A57" s="18">
        <v>1</v>
      </c>
      <c r="B57" s="19">
        <v>45017</v>
      </c>
      <c r="C57" s="18" t="s">
        <v>155</v>
      </c>
      <c r="D57" s="5"/>
      <c r="E57" s="5">
        <v>25</v>
      </c>
      <c r="G57" s="81">
        <v>1</v>
      </c>
      <c r="H57" s="83">
        <v>45033</v>
      </c>
      <c r="I57" s="81" t="s">
        <v>188</v>
      </c>
      <c r="J57" s="5" t="s">
        <v>59</v>
      </c>
      <c r="K57" s="5" t="s">
        <v>81</v>
      </c>
    </row>
    <row r="58" spans="1:11" x14ac:dyDescent="0.3">
      <c r="A58" s="13">
        <v>2</v>
      </c>
      <c r="B58" s="15">
        <v>45019</v>
      </c>
      <c r="C58" s="13" t="s">
        <v>184</v>
      </c>
      <c r="D58" s="5"/>
      <c r="E58" s="5">
        <v>50</v>
      </c>
      <c r="G58" s="82"/>
      <c r="H58" s="84"/>
      <c r="I58" s="82"/>
      <c r="J58" s="24" t="s">
        <v>30</v>
      </c>
      <c r="K58" s="5" t="s">
        <v>189</v>
      </c>
    </row>
    <row r="59" spans="1:11" x14ac:dyDescent="0.3">
      <c r="A59" s="5">
        <v>3</v>
      </c>
      <c r="B59" s="4">
        <v>45020</v>
      </c>
      <c r="C59" s="13" t="s">
        <v>184</v>
      </c>
      <c r="D59" s="5" t="s">
        <v>186</v>
      </c>
      <c r="E59" s="5">
        <v>25</v>
      </c>
      <c r="G59" s="5"/>
      <c r="H59" s="4"/>
      <c r="I59" s="13"/>
      <c r="J59" s="5"/>
      <c r="K59" s="5"/>
    </row>
    <row r="60" spans="1:11" x14ac:dyDescent="0.3">
      <c r="A60" s="5">
        <v>4</v>
      </c>
      <c r="B60" s="4">
        <v>45022</v>
      </c>
      <c r="C60" s="13" t="s">
        <v>184</v>
      </c>
      <c r="D60" s="5" t="s">
        <v>186</v>
      </c>
      <c r="E60" s="5">
        <v>25</v>
      </c>
      <c r="G60" s="5"/>
      <c r="H60" s="4"/>
      <c r="I60" s="13"/>
      <c r="J60" s="5"/>
      <c r="K60" s="5"/>
    </row>
    <row r="61" spans="1:11" x14ac:dyDescent="0.3">
      <c r="A61" s="5">
        <v>5</v>
      </c>
      <c r="B61" s="4">
        <v>45030</v>
      </c>
      <c r="C61" s="13" t="s">
        <v>184</v>
      </c>
      <c r="D61" s="5"/>
      <c r="E61" s="5">
        <v>10</v>
      </c>
      <c r="G61" s="5"/>
      <c r="H61" s="4"/>
      <c r="I61" s="13"/>
      <c r="J61" s="5"/>
      <c r="K61" s="5"/>
    </row>
    <row r="62" spans="1:11" ht="15" thickBot="1" x14ac:dyDescent="0.35"/>
    <row r="63" spans="1:11" ht="25.8" thickBot="1" x14ac:dyDescent="0.65">
      <c r="A63" s="74" t="s">
        <v>197</v>
      </c>
      <c r="B63" s="75"/>
      <c r="C63" s="75"/>
      <c r="D63" s="75"/>
      <c r="E63" s="76"/>
    </row>
    <row r="64" spans="1:11" x14ac:dyDescent="0.3">
      <c r="A64" s="11" t="s">
        <v>1</v>
      </c>
      <c r="B64" s="2" t="s">
        <v>2</v>
      </c>
      <c r="C64" s="11" t="s">
        <v>3</v>
      </c>
      <c r="D64" s="11" t="s">
        <v>28</v>
      </c>
      <c r="E64" s="11" t="s">
        <v>5</v>
      </c>
    </row>
    <row r="65" spans="1:5" x14ac:dyDescent="0.3">
      <c r="A65" s="18">
        <v>1</v>
      </c>
      <c r="B65" s="19">
        <v>45116</v>
      </c>
      <c r="C65" s="13" t="s">
        <v>184</v>
      </c>
      <c r="D65" s="5"/>
      <c r="E65" s="5">
        <v>150</v>
      </c>
    </row>
    <row r="66" spans="1:5" x14ac:dyDescent="0.3">
      <c r="A66" s="13">
        <v>2</v>
      </c>
      <c r="B66" s="15">
        <v>45117</v>
      </c>
      <c r="C66" s="13" t="s">
        <v>184</v>
      </c>
      <c r="D66" s="5"/>
      <c r="E66" s="5">
        <v>50</v>
      </c>
    </row>
    <row r="67" spans="1:5" x14ac:dyDescent="0.3">
      <c r="A67" s="5">
        <v>3</v>
      </c>
      <c r="B67" s="4">
        <v>45131</v>
      </c>
      <c r="C67" s="13" t="s">
        <v>184</v>
      </c>
      <c r="D67" s="5"/>
      <c r="E67" s="5">
        <v>5</v>
      </c>
    </row>
    <row r="68" spans="1:5" x14ac:dyDescent="0.3">
      <c r="A68" s="5">
        <v>4</v>
      </c>
      <c r="B68" s="4">
        <v>45132</v>
      </c>
      <c r="C68" s="13" t="s">
        <v>184</v>
      </c>
      <c r="D68" s="5"/>
      <c r="E68" s="5">
        <v>10</v>
      </c>
    </row>
    <row r="69" spans="1:5" x14ac:dyDescent="0.3">
      <c r="A69" s="5">
        <v>5</v>
      </c>
      <c r="B69" s="4"/>
      <c r="C69" s="13"/>
      <c r="D69" s="5"/>
      <c r="E69" s="5"/>
    </row>
    <row r="70" spans="1:5" ht="15" thickBot="1" x14ac:dyDescent="0.35"/>
    <row r="71" spans="1:5" ht="25.8" thickBot="1" x14ac:dyDescent="0.65">
      <c r="A71" s="74" t="s">
        <v>207</v>
      </c>
      <c r="B71" s="75"/>
      <c r="C71" s="75"/>
      <c r="D71" s="75"/>
      <c r="E71" s="76"/>
    </row>
    <row r="72" spans="1:5" x14ac:dyDescent="0.3">
      <c r="A72" s="11" t="s">
        <v>1</v>
      </c>
      <c r="B72" s="2" t="s">
        <v>2</v>
      </c>
      <c r="C72" s="11" t="s">
        <v>3</v>
      </c>
      <c r="D72" s="11" t="s">
        <v>28</v>
      </c>
      <c r="E72" s="11" t="s">
        <v>5</v>
      </c>
    </row>
    <row r="73" spans="1:5" x14ac:dyDescent="0.3">
      <c r="A73" s="18">
        <v>1</v>
      </c>
      <c r="B73" s="19">
        <v>45140</v>
      </c>
      <c r="C73" s="18" t="s">
        <v>184</v>
      </c>
      <c r="D73" s="5"/>
      <c r="E73" s="5">
        <v>4</v>
      </c>
    </row>
    <row r="74" spans="1:5" x14ac:dyDescent="0.3">
      <c r="A74" s="13">
        <v>2</v>
      </c>
      <c r="B74" s="15">
        <v>45147</v>
      </c>
      <c r="C74" s="18" t="s">
        <v>184</v>
      </c>
      <c r="D74" s="5"/>
      <c r="E74" s="5">
        <v>75</v>
      </c>
    </row>
    <row r="75" spans="1:5" x14ac:dyDescent="0.3">
      <c r="A75" s="18">
        <v>3</v>
      </c>
      <c r="B75" s="19">
        <v>45169</v>
      </c>
      <c r="C75" s="18" t="s">
        <v>184</v>
      </c>
      <c r="D75" s="5"/>
      <c r="E75" s="5">
        <v>13</v>
      </c>
    </row>
    <row r="76" spans="1:5" ht="15" thickBot="1" x14ac:dyDescent="0.35"/>
    <row r="77" spans="1:5" ht="25.8" thickBot="1" x14ac:dyDescent="0.65">
      <c r="A77" s="74" t="s">
        <v>215</v>
      </c>
      <c r="B77" s="75"/>
      <c r="C77" s="75"/>
      <c r="D77" s="75"/>
      <c r="E77" s="76"/>
    </row>
    <row r="78" spans="1:5" x14ac:dyDescent="0.3">
      <c r="A78" s="11" t="s">
        <v>1</v>
      </c>
      <c r="B78" s="2" t="s">
        <v>2</v>
      </c>
      <c r="C78" s="11" t="s">
        <v>3</v>
      </c>
      <c r="D78" s="11" t="s">
        <v>28</v>
      </c>
      <c r="E78" s="11" t="s">
        <v>5</v>
      </c>
    </row>
    <row r="79" spans="1:5" x14ac:dyDescent="0.3">
      <c r="A79" s="18">
        <v>1</v>
      </c>
      <c r="B79" s="19">
        <v>45177</v>
      </c>
      <c r="C79" s="18" t="s">
        <v>184</v>
      </c>
      <c r="D79" s="5"/>
      <c r="E79" s="5">
        <v>25</v>
      </c>
    </row>
    <row r="80" spans="1:5" x14ac:dyDescent="0.3">
      <c r="A80" s="13">
        <v>2</v>
      </c>
      <c r="B80" s="15">
        <v>45178</v>
      </c>
      <c r="C80" s="18" t="s">
        <v>184</v>
      </c>
      <c r="D80" s="5"/>
      <c r="E80" s="5">
        <v>25</v>
      </c>
    </row>
    <row r="81" spans="1:6" x14ac:dyDescent="0.3">
      <c r="A81" s="5">
        <v>3</v>
      </c>
      <c r="B81" s="4">
        <v>45184</v>
      </c>
      <c r="C81" s="5" t="s">
        <v>184</v>
      </c>
      <c r="D81" s="5" t="s">
        <v>216</v>
      </c>
      <c r="E81" s="5">
        <v>15</v>
      </c>
    </row>
    <row r="82" spans="1:6" x14ac:dyDescent="0.3">
      <c r="A82" s="5"/>
      <c r="B82" s="5"/>
      <c r="C82" s="5"/>
      <c r="D82" s="5"/>
      <c r="E82" s="5"/>
    </row>
    <row r="83" spans="1:6" x14ac:dyDescent="0.3">
      <c r="A83" s="5"/>
      <c r="B83" s="5"/>
      <c r="C83" s="5"/>
      <c r="D83" s="5"/>
      <c r="E83" s="5"/>
    </row>
    <row r="84" spans="1:6" x14ac:dyDescent="0.3">
      <c r="A84" s="5"/>
      <c r="B84" s="5"/>
      <c r="C84" s="5"/>
      <c r="D84" s="5"/>
      <c r="E84" s="5"/>
    </row>
    <row r="85" spans="1:6" ht="15" thickBot="1" x14ac:dyDescent="0.35"/>
    <row r="86" spans="1:6" ht="25.8" thickBot="1" x14ac:dyDescent="0.65">
      <c r="A86" s="74" t="s">
        <v>224</v>
      </c>
      <c r="B86" s="75"/>
      <c r="C86" s="75"/>
      <c r="D86" s="75"/>
      <c r="E86" s="76"/>
    </row>
    <row r="87" spans="1:6" x14ac:dyDescent="0.3">
      <c r="A87" s="11" t="s">
        <v>1</v>
      </c>
      <c r="B87" s="2" t="s">
        <v>2</v>
      </c>
      <c r="C87" s="11" t="s">
        <v>3</v>
      </c>
      <c r="D87" s="11" t="s">
        <v>28</v>
      </c>
      <c r="E87" s="11" t="s">
        <v>5</v>
      </c>
    </row>
    <row r="88" spans="1:6" x14ac:dyDescent="0.3">
      <c r="A88" s="18">
        <v>1</v>
      </c>
      <c r="B88" s="19">
        <v>45220</v>
      </c>
      <c r="C88" s="5" t="s">
        <v>184</v>
      </c>
      <c r="D88" s="5"/>
      <c r="E88" s="5">
        <v>75</v>
      </c>
    </row>
    <row r="89" spans="1:6" x14ac:dyDescent="0.3">
      <c r="A89" s="13">
        <v>2</v>
      </c>
      <c r="B89" s="15">
        <v>45221</v>
      </c>
      <c r="C89" s="18" t="s">
        <v>184</v>
      </c>
      <c r="D89" s="5"/>
      <c r="E89" s="5">
        <v>125</v>
      </c>
    </row>
    <row r="90" spans="1:6" x14ac:dyDescent="0.3">
      <c r="A90" s="5">
        <v>3</v>
      </c>
      <c r="B90" s="4">
        <v>45222</v>
      </c>
      <c r="C90" s="5" t="s">
        <v>38</v>
      </c>
      <c r="D90" s="5"/>
      <c r="E90" s="5">
        <v>75</v>
      </c>
      <c r="F90" t="s">
        <v>233</v>
      </c>
    </row>
    <row r="91" spans="1:6" x14ac:dyDescent="0.3">
      <c r="A91" s="5">
        <v>4</v>
      </c>
      <c r="B91" s="4">
        <v>45224</v>
      </c>
      <c r="C91" s="5" t="s">
        <v>234</v>
      </c>
      <c r="D91" s="5"/>
      <c r="E91" s="5">
        <v>125</v>
      </c>
      <c r="F91" t="s">
        <v>233</v>
      </c>
    </row>
    <row r="92" spans="1:6" x14ac:dyDescent="0.3">
      <c r="A92" s="5">
        <v>5</v>
      </c>
      <c r="B92" s="4">
        <v>45225</v>
      </c>
      <c r="C92" s="5" t="s">
        <v>38</v>
      </c>
      <c r="D92" s="5"/>
      <c r="E92" s="5">
        <v>25</v>
      </c>
      <c r="F92" t="s">
        <v>233</v>
      </c>
    </row>
    <row r="93" spans="1:6" x14ac:dyDescent="0.3">
      <c r="A93" s="5">
        <v>6</v>
      </c>
      <c r="B93" s="4">
        <v>45226</v>
      </c>
      <c r="C93" s="5" t="s">
        <v>64</v>
      </c>
      <c r="D93" s="5"/>
      <c r="E93" s="5">
        <v>7</v>
      </c>
    </row>
    <row r="94" spans="1:6" x14ac:dyDescent="0.3">
      <c r="A94" s="5">
        <v>7</v>
      </c>
      <c r="B94" s="4">
        <v>45227</v>
      </c>
      <c r="C94" s="5" t="s">
        <v>38</v>
      </c>
      <c r="D94" s="5"/>
      <c r="E94" s="5">
        <v>2</v>
      </c>
    </row>
    <row r="95" spans="1:6" x14ac:dyDescent="0.3">
      <c r="A95" s="5"/>
      <c r="B95" s="5"/>
      <c r="C95" s="5"/>
      <c r="D95" s="5"/>
      <c r="E95" s="5"/>
    </row>
    <row r="96" spans="1:6" x14ac:dyDescent="0.3">
      <c r="A96" s="5"/>
      <c r="B96" s="5"/>
      <c r="C96" s="5"/>
      <c r="D96" s="5"/>
      <c r="E96" s="5"/>
    </row>
    <row r="98" spans="1:5" ht="15" thickBot="1" x14ac:dyDescent="0.35"/>
    <row r="99" spans="1:5" ht="25.8" thickBot="1" x14ac:dyDescent="0.65">
      <c r="A99" s="74" t="s">
        <v>235</v>
      </c>
      <c r="B99" s="75"/>
      <c r="C99" s="75"/>
      <c r="D99" s="75"/>
      <c r="E99" s="76"/>
    </row>
    <row r="100" spans="1:5" x14ac:dyDescent="0.3">
      <c r="A100" s="11" t="s">
        <v>1</v>
      </c>
      <c r="B100" s="2" t="s">
        <v>2</v>
      </c>
      <c r="C100" s="11" t="s">
        <v>3</v>
      </c>
      <c r="D100" s="11" t="s">
        <v>28</v>
      </c>
      <c r="E100" s="11" t="s">
        <v>5</v>
      </c>
    </row>
    <row r="101" spans="1:5" x14ac:dyDescent="0.3">
      <c r="A101" s="18">
        <v>1</v>
      </c>
      <c r="B101" s="19">
        <v>45533</v>
      </c>
      <c r="C101" s="18" t="s">
        <v>184</v>
      </c>
      <c r="D101" s="5"/>
      <c r="E101" s="5">
        <v>10</v>
      </c>
    </row>
    <row r="102" spans="1:5" x14ac:dyDescent="0.3">
      <c r="A102" s="13">
        <v>2</v>
      </c>
      <c r="B102" s="15">
        <v>45536</v>
      </c>
      <c r="C102" s="18" t="s">
        <v>184</v>
      </c>
      <c r="D102" s="5"/>
      <c r="E102" s="5">
        <v>15</v>
      </c>
    </row>
    <row r="103" spans="1:5" x14ac:dyDescent="0.3">
      <c r="A103" s="5"/>
      <c r="B103" s="4"/>
      <c r="C103" s="5"/>
      <c r="D103" s="5"/>
      <c r="E103" s="5"/>
    </row>
    <row r="104" spans="1:5" x14ac:dyDescent="0.3">
      <c r="A104" s="5"/>
      <c r="B104" s="4"/>
      <c r="C104" s="5"/>
      <c r="D104" s="5"/>
      <c r="E104" s="5"/>
    </row>
    <row r="105" spans="1:5" x14ac:dyDescent="0.3">
      <c r="A105" s="5"/>
      <c r="B105" s="4"/>
      <c r="C105" s="5"/>
      <c r="D105" s="5"/>
      <c r="E105" s="5"/>
    </row>
    <row r="106" spans="1:5" x14ac:dyDescent="0.3">
      <c r="A106" s="5"/>
      <c r="B106" s="4"/>
      <c r="C106" s="5"/>
      <c r="D106" s="5"/>
      <c r="E106" s="5"/>
    </row>
    <row r="107" spans="1:5" x14ac:dyDescent="0.3">
      <c r="A107" s="5"/>
      <c r="B107" s="4"/>
      <c r="C107" s="5"/>
      <c r="D107" s="5"/>
      <c r="E107" s="5"/>
    </row>
    <row r="108" spans="1:5" x14ac:dyDescent="0.3">
      <c r="A108" s="5"/>
      <c r="B108" s="5"/>
      <c r="C108" s="5"/>
      <c r="D108" s="5"/>
      <c r="E108" s="5"/>
    </row>
    <row r="109" spans="1:5" x14ac:dyDescent="0.3">
      <c r="A109" s="5"/>
      <c r="B109" s="5"/>
      <c r="C109" s="5"/>
      <c r="D109" s="5"/>
      <c r="E109" s="5"/>
    </row>
    <row r="112" spans="1:5" ht="15" thickBot="1" x14ac:dyDescent="0.35"/>
    <row r="113" spans="1:5" ht="25.8" thickBot="1" x14ac:dyDescent="0.65">
      <c r="A113" s="74" t="s">
        <v>251</v>
      </c>
      <c r="B113" s="75"/>
      <c r="C113" s="75"/>
      <c r="D113" s="75"/>
      <c r="E113" s="76"/>
    </row>
    <row r="114" spans="1:5" x14ac:dyDescent="0.3">
      <c r="A114" s="11" t="s">
        <v>1</v>
      </c>
      <c r="B114" s="2" t="s">
        <v>2</v>
      </c>
      <c r="C114" s="11" t="s">
        <v>3</v>
      </c>
      <c r="D114" s="11" t="s">
        <v>28</v>
      </c>
      <c r="E114" s="11" t="s">
        <v>5</v>
      </c>
    </row>
    <row r="115" spans="1:5" x14ac:dyDescent="0.3">
      <c r="A115" s="18">
        <v>1</v>
      </c>
      <c r="B115" s="19">
        <v>46059</v>
      </c>
      <c r="C115" s="18" t="s">
        <v>184</v>
      </c>
      <c r="D115" s="5"/>
      <c r="E115" s="5">
        <v>25</v>
      </c>
    </row>
    <row r="116" spans="1:5" x14ac:dyDescent="0.3">
      <c r="A116" s="13">
        <v>2</v>
      </c>
      <c r="B116" s="4">
        <v>46062</v>
      </c>
      <c r="C116" s="5" t="s">
        <v>254</v>
      </c>
      <c r="D116" s="5"/>
      <c r="E116" s="5">
        <v>25</v>
      </c>
    </row>
    <row r="117" spans="1:5" x14ac:dyDescent="0.3">
      <c r="A117" s="5">
        <v>3</v>
      </c>
      <c r="B117" s="4">
        <v>46067</v>
      </c>
      <c r="C117" s="5" t="s">
        <v>263</v>
      </c>
      <c r="D117" s="5"/>
      <c r="E117" s="5">
        <v>15</v>
      </c>
    </row>
    <row r="118" spans="1:5" x14ac:dyDescent="0.3">
      <c r="A118" s="18">
        <v>4</v>
      </c>
      <c r="B118" s="4">
        <v>46075</v>
      </c>
      <c r="C118" s="5" t="s">
        <v>271</v>
      </c>
      <c r="D118" s="5"/>
      <c r="E118" s="5">
        <v>5</v>
      </c>
    </row>
    <row r="119" spans="1:5" x14ac:dyDescent="0.3">
      <c r="A119" s="13">
        <v>5</v>
      </c>
      <c r="B119" s="4">
        <v>46088</v>
      </c>
      <c r="C119" s="5" t="s">
        <v>263</v>
      </c>
      <c r="D119" s="5"/>
      <c r="E119" s="5">
        <v>10</v>
      </c>
    </row>
    <row r="120" spans="1:5" x14ac:dyDescent="0.3">
      <c r="A120" s="5">
        <v>6</v>
      </c>
      <c r="B120" s="4">
        <v>46097</v>
      </c>
      <c r="C120" s="5" t="s">
        <v>263</v>
      </c>
      <c r="D120" s="5"/>
      <c r="E120" s="5">
        <v>15</v>
      </c>
    </row>
    <row r="121" spans="1:5" x14ac:dyDescent="0.3">
      <c r="A121" s="18">
        <v>7</v>
      </c>
      <c r="B121" s="4">
        <v>46098</v>
      </c>
      <c r="C121" s="5" t="s">
        <v>263</v>
      </c>
      <c r="D121" s="5"/>
      <c r="E121" s="5">
        <v>15</v>
      </c>
    </row>
    <row r="122" spans="1:5" x14ac:dyDescent="0.3">
      <c r="A122" s="13">
        <v>8</v>
      </c>
      <c r="B122" s="4">
        <v>46101</v>
      </c>
      <c r="C122" s="5" t="s">
        <v>263</v>
      </c>
      <c r="D122" s="5"/>
      <c r="E122" s="5">
        <v>10</v>
      </c>
    </row>
    <row r="123" spans="1:5" x14ac:dyDescent="0.3">
      <c r="A123" s="5">
        <v>9</v>
      </c>
      <c r="B123" s="4">
        <v>46105</v>
      </c>
      <c r="C123" s="5" t="s">
        <v>263</v>
      </c>
      <c r="D123" s="5"/>
      <c r="E123" s="5">
        <v>25</v>
      </c>
    </row>
    <row r="124" spans="1:5" x14ac:dyDescent="0.3">
      <c r="A124" s="18">
        <v>10</v>
      </c>
      <c r="B124" s="4">
        <v>46106</v>
      </c>
      <c r="C124" s="5" t="s">
        <v>254</v>
      </c>
      <c r="D124" s="5"/>
      <c r="E124" s="5">
        <v>25</v>
      </c>
    </row>
    <row r="125" spans="1:5" x14ac:dyDescent="0.3">
      <c r="A125" s="18">
        <v>11</v>
      </c>
      <c r="B125" s="25">
        <v>46113</v>
      </c>
      <c r="C125" s="5" t="s">
        <v>263</v>
      </c>
      <c r="D125" s="5"/>
      <c r="E125" s="5">
        <v>10</v>
      </c>
    </row>
    <row r="126" spans="1:5" x14ac:dyDescent="0.3">
      <c r="A126" s="5">
        <v>12</v>
      </c>
      <c r="B126" s="25">
        <v>46122</v>
      </c>
      <c r="C126" s="5" t="s">
        <v>426</v>
      </c>
      <c r="D126" s="30"/>
      <c r="E126" s="5">
        <v>8</v>
      </c>
    </row>
    <row r="127" spans="1:5" x14ac:dyDescent="0.3">
      <c r="A127" s="18">
        <v>13</v>
      </c>
      <c r="B127" s="25">
        <v>46123</v>
      </c>
      <c r="C127" s="5" t="s">
        <v>427</v>
      </c>
      <c r="D127" s="30"/>
      <c r="E127" s="5">
        <v>15</v>
      </c>
    </row>
    <row r="128" spans="1:5" x14ac:dyDescent="0.3">
      <c r="A128" s="18">
        <v>14</v>
      </c>
      <c r="B128" s="25">
        <v>46124</v>
      </c>
      <c r="C128" s="5" t="s">
        <v>432</v>
      </c>
      <c r="D128" s="30"/>
      <c r="E128" s="5">
        <v>25</v>
      </c>
    </row>
    <row r="129" spans="1:5" x14ac:dyDescent="0.3">
      <c r="A129" s="30"/>
      <c r="B129" s="25">
        <v>46128</v>
      </c>
      <c r="C129" s="5" t="s">
        <v>263</v>
      </c>
      <c r="D129" s="30"/>
      <c r="E129" s="5">
        <v>25</v>
      </c>
    </row>
    <row r="130" spans="1:5" x14ac:dyDescent="0.3">
      <c r="A130" s="30"/>
      <c r="B130" s="25">
        <v>46130</v>
      </c>
      <c r="C130" s="5" t="s">
        <v>263</v>
      </c>
      <c r="D130" s="30"/>
      <c r="E130" s="5">
        <v>25</v>
      </c>
    </row>
    <row r="131" spans="1:5" x14ac:dyDescent="0.3">
      <c r="A131" s="30"/>
      <c r="B131" s="25">
        <v>46149</v>
      </c>
      <c r="C131" s="5" t="s">
        <v>263</v>
      </c>
      <c r="D131" s="30"/>
      <c r="E131" s="5">
        <v>10</v>
      </c>
    </row>
    <row r="132" spans="1:5" x14ac:dyDescent="0.3">
      <c r="A132" s="30"/>
      <c r="B132" s="25">
        <v>46157</v>
      </c>
      <c r="C132" s="5" t="s">
        <v>263</v>
      </c>
      <c r="D132" s="30"/>
      <c r="E132" s="5">
        <v>10</v>
      </c>
    </row>
  </sheetData>
  <mergeCells count="21">
    <mergeCell ref="A113:E113"/>
    <mergeCell ref="A99:E99"/>
    <mergeCell ref="A1:E1"/>
    <mergeCell ref="A6:E6"/>
    <mergeCell ref="A12:E12"/>
    <mergeCell ref="A22:E22"/>
    <mergeCell ref="A47:E47"/>
    <mergeCell ref="A46:E46"/>
    <mergeCell ref="A41:E41"/>
    <mergeCell ref="A40:E40"/>
    <mergeCell ref="A86:E86"/>
    <mergeCell ref="A77:E77"/>
    <mergeCell ref="A71:E71"/>
    <mergeCell ref="A63:E63"/>
    <mergeCell ref="I57:I58"/>
    <mergeCell ref="H57:H58"/>
    <mergeCell ref="G57:G58"/>
    <mergeCell ref="G22:K22"/>
    <mergeCell ref="A33:E33"/>
    <mergeCell ref="A55:E55"/>
    <mergeCell ref="G55:K55"/>
  </mergeCells>
  <pageMargins left="0.7" right="0.7" top="0.75" bottom="0.75" header="0.3" footer="0.3"/>
  <pageSetup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0"/>
  <sheetViews>
    <sheetView topLeftCell="A64" workbookViewId="0">
      <selection activeCell="I81" sqref="I81"/>
    </sheetView>
  </sheetViews>
  <sheetFormatPr defaultRowHeight="14.4" x14ac:dyDescent="0.3"/>
  <cols>
    <col min="2" max="2" width="13.33203125" bestFit="1" customWidth="1"/>
    <col min="3" max="3" width="29.33203125" bestFit="1" customWidth="1"/>
    <col min="4" max="4" width="9.44140625" bestFit="1" customWidth="1"/>
    <col min="5" max="5" width="25.109375" bestFit="1" customWidth="1"/>
    <col min="6" max="6" width="6.44140625" customWidth="1"/>
    <col min="7" max="7" width="9" bestFit="1" customWidth="1"/>
    <col min="8" max="8" width="8.44140625" bestFit="1" customWidth="1"/>
    <col min="9" max="9" width="29.33203125" bestFit="1" customWidth="1"/>
    <col min="10" max="10" width="12.88671875" bestFit="1" customWidth="1"/>
    <col min="11" max="11" width="17.88671875" bestFit="1" customWidth="1"/>
  </cols>
  <sheetData>
    <row r="1" spans="1:11" ht="25.8" thickBot="1" x14ac:dyDescent="0.65">
      <c r="A1" s="74" t="s">
        <v>52</v>
      </c>
      <c r="B1" s="77"/>
      <c r="C1" s="77"/>
      <c r="D1" s="77"/>
      <c r="E1" s="78"/>
      <c r="G1" s="74" t="s">
        <v>33</v>
      </c>
      <c r="H1" s="77"/>
      <c r="I1" s="77"/>
      <c r="J1" s="77"/>
      <c r="K1" s="78"/>
    </row>
    <row r="2" spans="1:11" ht="15" thickBot="1" x14ac:dyDescent="0.35">
      <c r="A2" s="11" t="s">
        <v>1</v>
      </c>
      <c r="B2" s="29" t="s">
        <v>2</v>
      </c>
      <c r="C2" s="11" t="s">
        <v>3</v>
      </c>
      <c r="D2" s="11" t="s">
        <v>4</v>
      </c>
      <c r="E2" s="11" t="s">
        <v>14</v>
      </c>
      <c r="G2" s="1" t="s">
        <v>1</v>
      </c>
      <c r="H2" s="26" t="s">
        <v>2</v>
      </c>
      <c r="I2" s="1" t="s">
        <v>3</v>
      </c>
      <c r="J2" s="11" t="s">
        <v>4</v>
      </c>
      <c r="K2" s="1" t="s">
        <v>14</v>
      </c>
    </row>
    <row r="3" spans="1:11" x14ac:dyDescent="0.3">
      <c r="A3" s="5">
        <v>1</v>
      </c>
      <c r="B3" s="4">
        <v>44785</v>
      </c>
      <c r="C3" s="5" t="s">
        <v>48</v>
      </c>
      <c r="D3" s="5"/>
      <c r="E3" s="5">
        <v>300</v>
      </c>
      <c r="G3" s="16">
        <v>1</v>
      </c>
      <c r="H3" s="17">
        <v>44722</v>
      </c>
      <c r="I3" s="5" t="s">
        <v>34</v>
      </c>
      <c r="J3" s="5" t="s">
        <v>35</v>
      </c>
      <c r="K3" s="5" t="s">
        <v>23</v>
      </c>
    </row>
    <row r="4" spans="1:11" x14ac:dyDescent="0.3">
      <c r="A4" s="5">
        <v>2</v>
      </c>
      <c r="B4" s="4">
        <v>44787</v>
      </c>
      <c r="C4" s="5" t="s">
        <v>53</v>
      </c>
      <c r="D4" s="5"/>
      <c r="E4" s="5" t="s">
        <v>54</v>
      </c>
      <c r="G4" s="12">
        <v>2</v>
      </c>
      <c r="H4" s="27">
        <v>44723</v>
      </c>
      <c r="I4" s="5" t="s">
        <v>34</v>
      </c>
      <c r="J4" s="5" t="s">
        <v>35</v>
      </c>
      <c r="K4" s="5" t="s">
        <v>21</v>
      </c>
    </row>
    <row r="5" spans="1:11" x14ac:dyDescent="0.3">
      <c r="A5" s="5">
        <v>3</v>
      </c>
      <c r="B5" s="4">
        <v>44788</v>
      </c>
      <c r="C5" s="5" t="s">
        <v>53</v>
      </c>
      <c r="D5" s="5"/>
      <c r="E5" s="5" t="s">
        <v>67</v>
      </c>
      <c r="G5" s="81">
        <v>3</v>
      </c>
      <c r="H5" s="83">
        <v>44724</v>
      </c>
      <c r="I5" s="5" t="s">
        <v>34</v>
      </c>
      <c r="J5" s="5" t="s">
        <v>35</v>
      </c>
      <c r="K5" s="5" t="s">
        <v>21</v>
      </c>
    </row>
    <row r="6" spans="1:11" x14ac:dyDescent="0.3">
      <c r="A6" s="5">
        <v>4</v>
      </c>
      <c r="B6" s="4">
        <v>44794</v>
      </c>
      <c r="C6" s="5" t="s">
        <v>48</v>
      </c>
      <c r="D6" s="5"/>
      <c r="E6" s="5" t="s">
        <v>70</v>
      </c>
      <c r="G6" s="82"/>
      <c r="H6" s="84"/>
      <c r="I6" s="5" t="s">
        <v>34</v>
      </c>
      <c r="J6" s="5" t="s">
        <v>35</v>
      </c>
      <c r="K6" s="5" t="s">
        <v>36</v>
      </c>
    </row>
    <row r="7" spans="1:11" ht="15" thickBot="1" x14ac:dyDescent="0.35">
      <c r="A7" s="5">
        <v>5</v>
      </c>
      <c r="B7" s="4">
        <v>44794</v>
      </c>
      <c r="C7" s="5" t="s">
        <v>53</v>
      </c>
      <c r="D7" s="5"/>
      <c r="E7" s="5" t="s">
        <v>72</v>
      </c>
    </row>
    <row r="8" spans="1:11" ht="25.8" thickBot="1" x14ac:dyDescent="0.65">
      <c r="A8" s="5">
        <v>6</v>
      </c>
      <c r="B8" s="4">
        <v>44800</v>
      </c>
      <c r="C8" s="5" t="s">
        <v>48</v>
      </c>
      <c r="D8" s="5"/>
      <c r="E8" s="5">
        <v>300</v>
      </c>
      <c r="G8" s="74" t="s">
        <v>52</v>
      </c>
      <c r="H8" s="77"/>
      <c r="I8" s="77"/>
      <c r="J8" s="77"/>
      <c r="K8" s="78"/>
    </row>
    <row r="9" spans="1:11" x14ac:dyDescent="0.3">
      <c r="A9" s="5">
        <v>7</v>
      </c>
      <c r="B9" s="4">
        <v>44800</v>
      </c>
      <c r="C9" s="5" t="s">
        <v>71</v>
      </c>
      <c r="D9" s="5"/>
      <c r="E9" s="5">
        <v>80</v>
      </c>
      <c r="G9" s="11" t="s">
        <v>1</v>
      </c>
      <c r="H9" s="29" t="s">
        <v>2</v>
      </c>
      <c r="I9" s="11" t="s">
        <v>3</v>
      </c>
      <c r="J9" s="11" t="s">
        <v>4</v>
      </c>
      <c r="K9" s="11" t="s">
        <v>14</v>
      </c>
    </row>
    <row r="10" spans="1:11" x14ac:dyDescent="0.3">
      <c r="A10" s="5">
        <v>8</v>
      </c>
      <c r="B10" s="4">
        <v>44801</v>
      </c>
      <c r="C10" s="5" t="s">
        <v>53</v>
      </c>
      <c r="D10" s="5"/>
      <c r="E10" s="5" t="s">
        <v>67</v>
      </c>
      <c r="F10" s="34" t="s">
        <v>108</v>
      </c>
      <c r="G10" s="5">
        <v>1</v>
      </c>
      <c r="H10" s="4">
        <v>44794</v>
      </c>
      <c r="I10" s="5" t="s">
        <v>73</v>
      </c>
      <c r="J10" s="5"/>
      <c r="K10" s="5">
        <v>100</v>
      </c>
    </row>
    <row r="11" spans="1:11" x14ac:dyDescent="0.3">
      <c r="A11" s="5"/>
      <c r="B11" s="5"/>
      <c r="C11" s="5"/>
      <c r="D11" s="5"/>
      <c r="E11" s="5"/>
      <c r="G11" s="5">
        <v>2</v>
      </c>
      <c r="H11" s="4">
        <v>44795</v>
      </c>
      <c r="I11" s="5" t="s">
        <v>73</v>
      </c>
      <c r="J11" s="5"/>
      <c r="K11" s="5">
        <v>50</v>
      </c>
    </row>
    <row r="12" spans="1:11" x14ac:dyDescent="0.3">
      <c r="G12" s="5"/>
      <c r="H12" s="4"/>
      <c r="I12" s="5"/>
      <c r="J12" s="5"/>
      <c r="K12" s="5"/>
    </row>
    <row r="13" spans="1:11" x14ac:dyDescent="0.3">
      <c r="B13" t="s">
        <v>87</v>
      </c>
      <c r="C13">
        <v>14000</v>
      </c>
    </row>
    <row r="14" spans="1:11" x14ac:dyDescent="0.3">
      <c r="B14" t="s">
        <v>88</v>
      </c>
      <c r="C14">
        <v>3000</v>
      </c>
    </row>
    <row r="15" spans="1:11" x14ac:dyDescent="0.3">
      <c r="C15">
        <v>17000</v>
      </c>
    </row>
    <row r="16" spans="1:11" ht="15" thickBot="1" x14ac:dyDescent="0.35"/>
    <row r="17" spans="1:11" ht="25.8" thickBot="1" x14ac:dyDescent="0.65">
      <c r="A17" s="74" t="s">
        <v>115</v>
      </c>
      <c r="B17" s="77"/>
      <c r="C17" s="77"/>
      <c r="D17" s="77"/>
      <c r="E17" s="78"/>
    </row>
    <row r="18" spans="1:11" x14ac:dyDescent="0.3">
      <c r="A18" s="11" t="s">
        <v>1</v>
      </c>
      <c r="B18" s="29" t="s">
        <v>2</v>
      </c>
      <c r="C18" s="11" t="s">
        <v>3</v>
      </c>
      <c r="D18" s="11" t="s">
        <v>4</v>
      </c>
      <c r="E18" s="11" t="s">
        <v>14</v>
      </c>
    </row>
    <row r="19" spans="1:11" x14ac:dyDescent="0.3">
      <c r="A19" s="5">
        <v>1</v>
      </c>
      <c r="B19" s="4">
        <v>44827</v>
      </c>
      <c r="C19" s="5" t="s">
        <v>56</v>
      </c>
      <c r="D19" s="5"/>
      <c r="E19" s="5">
        <v>333</v>
      </c>
      <c r="F19" s="94">
        <v>25104</v>
      </c>
    </row>
    <row r="20" spans="1:11" x14ac:dyDescent="0.3">
      <c r="A20" s="81">
        <v>2</v>
      </c>
      <c r="B20" s="83">
        <v>44828</v>
      </c>
      <c r="C20" s="81" t="s">
        <v>56</v>
      </c>
      <c r="D20" s="5"/>
      <c r="E20" s="5">
        <v>334</v>
      </c>
      <c r="F20" s="94"/>
    </row>
    <row r="21" spans="1:11" x14ac:dyDescent="0.3">
      <c r="A21" s="85"/>
      <c r="B21" s="86"/>
      <c r="C21" s="85"/>
      <c r="D21" s="5"/>
      <c r="E21" s="5">
        <v>333</v>
      </c>
      <c r="F21" s="94"/>
    </row>
    <row r="22" spans="1:11" x14ac:dyDescent="0.3">
      <c r="A22" s="82"/>
      <c r="B22" s="84"/>
      <c r="C22" s="82"/>
      <c r="D22" s="5"/>
      <c r="E22" s="5">
        <v>92</v>
      </c>
      <c r="F22" s="94"/>
    </row>
    <row r="23" spans="1:11" x14ac:dyDescent="0.3">
      <c r="A23" s="5">
        <v>3</v>
      </c>
      <c r="B23" s="4">
        <v>44828</v>
      </c>
      <c r="C23" s="5" t="s">
        <v>116</v>
      </c>
      <c r="D23" s="5"/>
      <c r="E23" s="5">
        <v>1000</v>
      </c>
      <c r="F23" s="94"/>
      <c r="G23" t="s">
        <v>108</v>
      </c>
    </row>
    <row r="24" spans="1:11" x14ac:dyDescent="0.3">
      <c r="A24" s="5"/>
      <c r="B24" s="5"/>
      <c r="C24" s="5"/>
      <c r="D24" s="5"/>
      <c r="E24" s="5"/>
    </row>
    <row r="27" spans="1:11" ht="15" thickBot="1" x14ac:dyDescent="0.35"/>
    <row r="28" spans="1:11" ht="25.8" thickBot="1" x14ac:dyDescent="0.65">
      <c r="A28" s="74" t="s">
        <v>163</v>
      </c>
      <c r="B28" s="77"/>
      <c r="C28" s="77"/>
      <c r="D28" s="77"/>
      <c r="E28" s="78"/>
      <c r="G28" s="74" t="s">
        <v>163</v>
      </c>
      <c r="H28" s="77"/>
      <c r="I28" s="77"/>
      <c r="J28" s="77"/>
      <c r="K28" s="78"/>
    </row>
    <row r="29" spans="1:11" x14ac:dyDescent="0.3">
      <c r="A29" s="11" t="s">
        <v>1</v>
      </c>
      <c r="B29" s="29" t="s">
        <v>2</v>
      </c>
      <c r="C29" s="11" t="s">
        <v>3</v>
      </c>
      <c r="D29" s="11" t="s">
        <v>4</v>
      </c>
      <c r="E29" s="11" t="s">
        <v>14</v>
      </c>
      <c r="G29" s="11" t="s">
        <v>1</v>
      </c>
      <c r="H29" s="29" t="s">
        <v>2</v>
      </c>
      <c r="I29" s="11" t="s">
        <v>3</v>
      </c>
      <c r="J29" s="11" t="s">
        <v>4</v>
      </c>
      <c r="K29" s="11" t="s">
        <v>14</v>
      </c>
    </row>
    <row r="30" spans="1:11" x14ac:dyDescent="0.3">
      <c r="A30" s="5">
        <v>1</v>
      </c>
      <c r="B30" s="4">
        <v>44990</v>
      </c>
      <c r="C30" s="5" t="s">
        <v>71</v>
      </c>
      <c r="D30" s="5"/>
      <c r="E30" s="5">
        <v>200</v>
      </c>
      <c r="G30" s="5">
        <v>1</v>
      </c>
      <c r="H30" s="4">
        <v>44991</v>
      </c>
      <c r="I30" s="5" t="s">
        <v>170</v>
      </c>
      <c r="J30" s="5"/>
      <c r="K30" s="5" t="s">
        <v>164</v>
      </c>
    </row>
    <row r="31" spans="1:11" x14ac:dyDescent="0.3">
      <c r="A31" s="5">
        <v>2</v>
      </c>
      <c r="B31" s="4">
        <v>44994</v>
      </c>
      <c r="C31" s="5" t="s">
        <v>175</v>
      </c>
      <c r="D31" s="5" t="s">
        <v>176</v>
      </c>
      <c r="E31" s="5">
        <v>262</v>
      </c>
    </row>
    <row r="32" spans="1:11" x14ac:dyDescent="0.3">
      <c r="A32" s="5">
        <v>3</v>
      </c>
      <c r="B32" s="4">
        <v>44998</v>
      </c>
      <c r="C32" s="5" t="s">
        <v>71</v>
      </c>
      <c r="D32" s="5"/>
      <c r="E32" s="5">
        <v>666</v>
      </c>
    </row>
    <row r="33" spans="1:6" x14ac:dyDescent="0.3">
      <c r="A33" s="5">
        <v>4</v>
      </c>
      <c r="B33" s="4">
        <v>45005</v>
      </c>
      <c r="C33" s="5" t="s">
        <v>71</v>
      </c>
      <c r="D33" s="5"/>
      <c r="E33" s="5">
        <v>600</v>
      </c>
    </row>
    <row r="34" spans="1:6" x14ac:dyDescent="0.3">
      <c r="A34" s="5">
        <v>5</v>
      </c>
      <c r="B34" s="4">
        <v>45007</v>
      </c>
      <c r="C34" s="5" t="s">
        <v>71</v>
      </c>
      <c r="D34" s="5"/>
      <c r="E34" s="5">
        <v>333</v>
      </c>
    </row>
    <row r="35" spans="1:6" x14ac:dyDescent="0.3">
      <c r="A35" s="5">
        <v>6</v>
      </c>
      <c r="B35" s="4">
        <v>45008</v>
      </c>
      <c r="C35" s="5" t="s">
        <v>71</v>
      </c>
      <c r="D35" s="5"/>
      <c r="E35" s="5">
        <v>666</v>
      </c>
    </row>
    <row r="36" spans="1:6" x14ac:dyDescent="0.3">
      <c r="A36" s="5">
        <v>7</v>
      </c>
      <c r="B36" s="4">
        <v>45009</v>
      </c>
      <c r="C36" s="5" t="s">
        <v>71</v>
      </c>
      <c r="D36" s="5"/>
      <c r="E36" s="5">
        <v>333</v>
      </c>
    </row>
    <row r="37" spans="1:6" x14ac:dyDescent="0.3">
      <c r="A37" s="5">
        <v>8</v>
      </c>
      <c r="B37" s="4">
        <v>45010</v>
      </c>
      <c r="C37" s="5" t="s">
        <v>71</v>
      </c>
      <c r="D37" s="30"/>
      <c r="E37" s="5">
        <v>666</v>
      </c>
      <c r="F37" t="s">
        <v>108</v>
      </c>
    </row>
    <row r="38" spans="1:6" ht="15" thickBot="1" x14ac:dyDescent="0.35"/>
    <row r="39" spans="1:6" ht="25.8" thickBot="1" x14ac:dyDescent="0.65">
      <c r="A39" s="74" t="s">
        <v>185</v>
      </c>
      <c r="B39" s="77"/>
      <c r="C39" s="77"/>
      <c r="D39" s="77"/>
      <c r="E39" s="78"/>
    </row>
    <row r="40" spans="1:6" x14ac:dyDescent="0.3">
      <c r="A40" s="11" t="s">
        <v>1</v>
      </c>
      <c r="B40" s="29" t="s">
        <v>2</v>
      </c>
      <c r="C40" s="11" t="s">
        <v>3</v>
      </c>
      <c r="D40" s="11" t="s">
        <v>4</v>
      </c>
      <c r="E40" s="11" t="s">
        <v>14</v>
      </c>
    </row>
    <row r="41" spans="1:6" x14ac:dyDescent="0.3">
      <c r="A41" s="5">
        <v>1</v>
      </c>
      <c r="B41" s="4">
        <v>45019</v>
      </c>
      <c r="C41" s="5" t="s">
        <v>175</v>
      </c>
      <c r="D41" s="5"/>
      <c r="E41" s="5">
        <v>1000</v>
      </c>
    </row>
    <row r="42" spans="1:6" x14ac:dyDescent="0.3">
      <c r="A42" s="5">
        <v>2</v>
      </c>
      <c r="B42" s="4">
        <v>45020</v>
      </c>
      <c r="C42" s="5" t="s">
        <v>175</v>
      </c>
      <c r="D42" s="5"/>
      <c r="E42" s="5">
        <v>333</v>
      </c>
    </row>
    <row r="43" spans="1:6" x14ac:dyDescent="0.3">
      <c r="A43" s="5">
        <v>3</v>
      </c>
      <c r="B43" s="4">
        <v>45022</v>
      </c>
      <c r="C43" s="5" t="s">
        <v>175</v>
      </c>
      <c r="D43" s="5"/>
      <c r="E43" s="5">
        <v>333</v>
      </c>
    </row>
    <row r="44" spans="1:6" x14ac:dyDescent="0.3">
      <c r="A44" s="5">
        <v>4</v>
      </c>
      <c r="B44" s="4">
        <v>45030</v>
      </c>
      <c r="C44" s="5" t="s">
        <v>175</v>
      </c>
      <c r="D44" s="5"/>
      <c r="E44" s="5">
        <v>50</v>
      </c>
    </row>
    <row r="45" spans="1:6" ht="15" thickBot="1" x14ac:dyDescent="0.35"/>
    <row r="46" spans="1:6" ht="25.8" thickBot="1" x14ac:dyDescent="0.65">
      <c r="A46" s="74" t="s">
        <v>201</v>
      </c>
      <c r="B46" s="77"/>
      <c r="C46" s="77"/>
      <c r="D46" s="77"/>
      <c r="E46" s="78"/>
    </row>
    <row r="47" spans="1:6" x14ac:dyDescent="0.3">
      <c r="A47" s="11" t="s">
        <v>1</v>
      </c>
      <c r="B47" s="29" t="s">
        <v>2</v>
      </c>
      <c r="C47" s="11" t="s">
        <v>3</v>
      </c>
      <c r="D47" s="11" t="s">
        <v>4</v>
      </c>
      <c r="E47" s="11" t="s">
        <v>14</v>
      </c>
    </row>
    <row r="48" spans="1:6" x14ac:dyDescent="0.3">
      <c r="A48" s="5">
        <v>1</v>
      </c>
      <c r="B48" s="4">
        <v>45127</v>
      </c>
      <c r="C48" s="5" t="s">
        <v>175</v>
      </c>
      <c r="D48" s="5"/>
      <c r="E48" s="5">
        <v>333</v>
      </c>
    </row>
    <row r="49" spans="1:5" x14ac:dyDescent="0.3">
      <c r="A49" s="5">
        <v>2</v>
      </c>
      <c r="B49" s="4"/>
      <c r="C49" s="5"/>
      <c r="D49" s="5"/>
      <c r="E49" s="5"/>
    </row>
    <row r="50" spans="1:5" x14ac:dyDescent="0.3">
      <c r="A50" s="5">
        <v>3</v>
      </c>
      <c r="B50" s="4"/>
      <c r="C50" s="5"/>
      <c r="D50" s="5"/>
      <c r="E50" s="5"/>
    </row>
    <row r="51" spans="1:5" x14ac:dyDescent="0.3">
      <c r="A51" s="5">
        <v>4</v>
      </c>
      <c r="B51" s="4"/>
      <c r="C51" s="5"/>
      <c r="D51" s="5"/>
      <c r="E51" s="5"/>
    </row>
    <row r="52" spans="1:5" ht="15" thickBot="1" x14ac:dyDescent="0.35"/>
    <row r="53" spans="1:5" ht="25.8" thickBot="1" x14ac:dyDescent="0.65">
      <c r="A53" s="74" t="s">
        <v>208</v>
      </c>
      <c r="B53" s="77"/>
      <c r="C53" s="77"/>
      <c r="D53" s="77"/>
      <c r="E53" s="78"/>
    </row>
    <row r="54" spans="1:5" x14ac:dyDescent="0.3">
      <c r="A54" s="11" t="s">
        <v>1</v>
      </c>
      <c r="B54" s="29" t="s">
        <v>2</v>
      </c>
      <c r="C54" s="11" t="s">
        <v>3</v>
      </c>
      <c r="D54" s="11" t="s">
        <v>4</v>
      </c>
      <c r="E54" s="11" t="s">
        <v>14</v>
      </c>
    </row>
    <row r="55" spans="1:5" x14ac:dyDescent="0.3">
      <c r="A55" s="5">
        <v>1</v>
      </c>
      <c r="B55" s="4">
        <v>45140</v>
      </c>
      <c r="C55" s="5" t="s">
        <v>175</v>
      </c>
      <c r="D55" s="5"/>
      <c r="E55" s="5">
        <v>100</v>
      </c>
    </row>
    <row r="56" spans="1:5" x14ac:dyDescent="0.3">
      <c r="A56" s="5">
        <v>2</v>
      </c>
      <c r="B56" s="4">
        <v>45147</v>
      </c>
      <c r="C56" s="5" t="s">
        <v>175</v>
      </c>
      <c r="D56" s="5"/>
      <c r="E56" s="5">
        <v>666</v>
      </c>
    </row>
    <row r="57" spans="1:5" x14ac:dyDescent="0.3">
      <c r="A57" s="5">
        <v>3</v>
      </c>
      <c r="B57" s="4">
        <v>45148</v>
      </c>
      <c r="C57" s="5" t="s">
        <v>175</v>
      </c>
      <c r="D57" s="5"/>
      <c r="E57" s="5">
        <v>2000</v>
      </c>
    </row>
    <row r="58" spans="1:5" x14ac:dyDescent="0.3">
      <c r="A58" s="5">
        <v>4</v>
      </c>
      <c r="B58" s="4">
        <v>45162</v>
      </c>
      <c r="C58" s="5" t="s">
        <v>175</v>
      </c>
      <c r="D58" s="5"/>
      <c r="E58" s="5">
        <v>300</v>
      </c>
    </row>
    <row r="59" spans="1:5" ht="15" thickBot="1" x14ac:dyDescent="0.35"/>
    <row r="60" spans="1:5" ht="25.8" thickBot="1" x14ac:dyDescent="0.65">
      <c r="A60" s="74" t="s">
        <v>217</v>
      </c>
      <c r="B60" s="77"/>
      <c r="C60" s="77"/>
      <c r="D60" s="77"/>
      <c r="E60" s="78"/>
    </row>
    <row r="61" spans="1:5" x14ac:dyDescent="0.3">
      <c r="A61" s="11" t="s">
        <v>1</v>
      </c>
      <c r="B61" s="29" t="s">
        <v>2</v>
      </c>
      <c r="C61" s="11" t="s">
        <v>3</v>
      </c>
      <c r="D61" s="11" t="s">
        <v>4</v>
      </c>
      <c r="E61" s="11" t="s">
        <v>14</v>
      </c>
    </row>
    <row r="62" spans="1:5" x14ac:dyDescent="0.3">
      <c r="A62" s="5">
        <v>1</v>
      </c>
      <c r="B62" s="4">
        <v>45196</v>
      </c>
      <c r="C62" s="5" t="s">
        <v>218</v>
      </c>
      <c r="D62" s="5" t="s">
        <v>219</v>
      </c>
      <c r="E62" s="5" t="s">
        <v>220</v>
      </c>
    </row>
    <row r="63" spans="1:5" x14ac:dyDescent="0.3">
      <c r="A63" s="5">
        <v>2</v>
      </c>
      <c r="B63" s="4">
        <v>45197</v>
      </c>
      <c r="C63" s="5" t="s">
        <v>218</v>
      </c>
      <c r="D63" s="5" t="s">
        <v>219</v>
      </c>
      <c r="E63" s="5" t="s">
        <v>220</v>
      </c>
    </row>
    <row r="64" spans="1:5" x14ac:dyDescent="0.3">
      <c r="A64" s="5">
        <v>3</v>
      </c>
      <c r="B64" s="4"/>
      <c r="C64" s="5"/>
      <c r="D64" s="5"/>
      <c r="E64" s="5"/>
    </row>
    <row r="65" spans="1:5" x14ac:dyDescent="0.3">
      <c r="A65" s="5">
        <v>4</v>
      </c>
      <c r="B65" s="4"/>
      <c r="C65" s="5"/>
      <c r="D65" s="5"/>
      <c r="E65" s="5"/>
    </row>
    <row r="66" spans="1:5" ht="15" thickBot="1" x14ac:dyDescent="0.35"/>
    <row r="67" spans="1:5" ht="25.8" thickBot="1" x14ac:dyDescent="0.65">
      <c r="A67" s="74" t="s">
        <v>221</v>
      </c>
      <c r="B67" s="77"/>
      <c r="C67" s="77"/>
      <c r="D67" s="77"/>
      <c r="E67" s="78"/>
    </row>
    <row r="68" spans="1:5" x14ac:dyDescent="0.3">
      <c r="A68" s="11" t="s">
        <v>1</v>
      </c>
      <c r="B68" s="29" t="s">
        <v>2</v>
      </c>
      <c r="C68" s="11" t="s">
        <v>3</v>
      </c>
      <c r="D68" s="11" t="s">
        <v>4</v>
      </c>
      <c r="E68" s="11" t="s">
        <v>14</v>
      </c>
    </row>
    <row r="69" spans="1:5" x14ac:dyDescent="0.3">
      <c r="A69" s="5">
        <v>1</v>
      </c>
      <c r="B69" s="4">
        <v>45218</v>
      </c>
      <c r="C69" s="5" t="s">
        <v>184</v>
      </c>
      <c r="D69" s="5"/>
      <c r="E69" s="5">
        <v>666</v>
      </c>
    </row>
    <row r="70" spans="1:5" x14ac:dyDescent="0.3">
      <c r="A70" s="5">
        <v>2</v>
      </c>
      <c r="B70" s="4">
        <v>45220</v>
      </c>
      <c r="C70" s="5" t="s">
        <v>184</v>
      </c>
      <c r="D70" s="5"/>
      <c r="E70" s="5">
        <v>999</v>
      </c>
    </row>
    <row r="71" spans="1:5" x14ac:dyDescent="0.3">
      <c r="A71" s="5">
        <v>3</v>
      </c>
      <c r="B71" s="4">
        <v>45224</v>
      </c>
      <c r="C71" s="5" t="s">
        <v>184</v>
      </c>
      <c r="D71" s="5"/>
      <c r="E71" s="5">
        <v>333</v>
      </c>
    </row>
    <row r="72" spans="1:5" x14ac:dyDescent="0.3">
      <c r="A72" s="5">
        <v>4</v>
      </c>
      <c r="B72" s="4"/>
      <c r="C72" s="5"/>
      <c r="D72" s="5"/>
      <c r="E72" s="5"/>
    </row>
    <row r="74" spans="1:5" ht="15" thickBot="1" x14ac:dyDescent="0.35"/>
    <row r="75" spans="1:5" ht="25.8" thickBot="1" x14ac:dyDescent="0.65">
      <c r="A75" s="74" t="s">
        <v>248</v>
      </c>
      <c r="B75" s="77"/>
      <c r="C75" s="77"/>
      <c r="D75" s="77"/>
      <c r="E75" s="78"/>
    </row>
    <row r="76" spans="1:5" x14ac:dyDescent="0.3">
      <c r="A76" s="11" t="s">
        <v>1</v>
      </c>
      <c r="B76" s="29" t="s">
        <v>2</v>
      </c>
      <c r="C76" s="11" t="s">
        <v>3</v>
      </c>
      <c r="D76" s="11" t="s">
        <v>4</v>
      </c>
      <c r="E76" s="11" t="s">
        <v>14</v>
      </c>
    </row>
    <row r="77" spans="1:5" x14ac:dyDescent="0.3">
      <c r="A77" s="5">
        <v>1</v>
      </c>
      <c r="B77" s="4">
        <v>46059</v>
      </c>
      <c r="C77" s="5" t="s">
        <v>249</v>
      </c>
      <c r="D77" s="5"/>
      <c r="E77" s="5">
        <v>1333</v>
      </c>
    </row>
    <row r="78" spans="1:5" x14ac:dyDescent="0.3">
      <c r="A78" s="5">
        <v>2</v>
      </c>
      <c r="B78" s="4">
        <v>46060</v>
      </c>
      <c r="C78" s="5" t="s">
        <v>253</v>
      </c>
      <c r="D78" s="5"/>
      <c r="E78" s="5">
        <v>1000</v>
      </c>
    </row>
    <row r="79" spans="1:5" x14ac:dyDescent="0.3">
      <c r="A79" s="5">
        <v>3</v>
      </c>
      <c r="B79" s="4"/>
      <c r="C79" s="5"/>
      <c r="D79" s="5"/>
      <c r="E79" s="5"/>
    </row>
    <row r="80" spans="1:5" x14ac:dyDescent="0.3">
      <c r="A80" s="5">
        <v>4</v>
      </c>
      <c r="B80" s="4"/>
      <c r="C80" s="5"/>
      <c r="D80" s="5"/>
      <c r="E80" s="5"/>
    </row>
  </sheetData>
  <mergeCells count="18">
    <mergeCell ref="A75:E75"/>
    <mergeCell ref="A28:E28"/>
    <mergeCell ref="G28:K28"/>
    <mergeCell ref="A17:E17"/>
    <mergeCell ref="C20:C22"/>
    <mergeCell ref="B20:B22"/>
    <mergeCell ref="A20:A22"/>
    <mergeCell ref="F19:F23"/>
    <mergeCell ref="A67:E67"/>
    <mergeCell ref="A60:E60"/>
    <mergeCell ref="A53:E53"/>
    <mergeCell ref="A46:E46"/>
    <mergeCell ref="A39:E39"/>
    <mergeCell ref="G1:K1"/>
    <mergeCell ref="G5:G6"/>
    <mergeCell ref="H5:H6"/>
    <mergeCell ref="A1:E1"/>
    <mergeCell ref="G8:K8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D14"/>
  <sheetViews>
    <sheetView workbookViewId="0">
      <selection activeCell="G15" sqref="G15"/>
    </sheetView>
  </sheetViews>
  <sheetFormatPr defaultRowHeight="14.4" x14ac:dyDescent="0.3"/>
  <cols>
    <col min="2" max="2" width="15.33203125" bestFit="1" customWidth="1"/>
  </cols>
  <sheetData>
    <row r="3" spans="2:4" x14ac:dyDescent="0.3">
      <c r="B3" s="31" t="s">
        <v>101</v>
      </c>
      <c r="C3" s="31">
        <v>393895</v>
      </c>
    </row>
    <row r="4" spans="2:4" x14ac:dyDescent="0.3">
      <c r="B4" s="31" t="s">
        <v>102</v>
      </c>
      <c r="C4" s="31">
        <v>70000</v>
      </c>
    </row>
    <row r="5" spans="2:4" x14ac:dyDescent="0.3">
      <c r="B5" s="31" t="s">
        <v>103</v>
      </c>
      <c r="C5" s="31">
        <v>250000</v>
      </c>
    </row>
    <row r="6" spans="2:4" x14ac:dyDescent="0.3">
      <c r="B6" s="31" t="s">
        <v>102</v>
      </c>
      <c r="C6" s="31">
        <v>60000</v>
      </c>
    </row>
    <row r="7" spans="2:4" x14ac:dyDescent="0.3">
      <c r="B7" s="31" t="s">
        <v>104</v>
      </c>
      <c r="C7" s="31">
        <v>50000</v>
      </c>
    </row>
    <row r="8" spans="2:4" x14ac:dyDescent="0.3">
      <c r="B8" s="31" t="s">
        <v>102</v>
      </c>
      <c r="C8" s="31">
        <v>100000</v>
      </c>
    </row>
    <row r="9" spans="2:4" x14ac:dyDescent="0.3">
      <c r="B9" s="31" t="s">
        <v>105</v>
      </c>
      <c r="C9" s="31">
        <v>80000</v>
      </c>
    </row>
    <row r="10" spans="2:4" x14ac:dyDescent="0.3">
      <c r="B10" s="31" t="s">
        <v>106</v>
      </c>
      <c r="C10" s="31">
        <v>130000</v>
      </c>
    </row>
    <row r="11" spans="2:4" x14ac:dyDescent="0.3">
      <c r="B11" s="31" t="s">
        <v>107</v>
      </c>
      <c r="C11" s="31">
        <v>120000</v>
      </c>
    </row>
    <row r="12" spans="2:4" x14ac:dyDescent="0.3">
      <c r="B12" s="36" t="s">
        <v>108</v>
      </c>
      <c r="C12" s="33">
        <f>SUM(C3:C11)</f>
        <v>1253895</v>
      </c>
    </row>
    <row r="13" spans="2:4" x14ac:dyDescent="0.3">
      <c r="B13" s="31" t="s">
        <v>128</v>
      </c>
      <c r="C13" s="33">
        <v>273904</v>
      </c>
      <c r="D13" t="s">
        <v>129</v>
      </c>
    </row>
    <row r="14" spans="2:4" x14ac:dyDescent="0.3">
      <c r="B14" s="31" t="s">
        <v>106</v>
      </c>
      <c r="C14" s="33">
        <v>100000</v>
      </c>
    </row>
  </sheetData>
  <pageMargins left="0.7" right="0.7" top="0.75" bottom="0.75" header="0.3" footer="0.3"/>
  <pageSetup orientation="portrait" horizontalDpi="4294967292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>
      <selection activeCell="G15" sqref="G15"/>
    </sheetView>
  </sheetViews>
  <sheetFormatPr defaultRowHeight="14.4" x14ac:dyDescent="0.3"/>
  <cols>
    <col min="2" max="2" width="10.33203125" bestFit="1" customWidth="1"/>
    <col min="3" max="3" width="22.44140625" bestFit="1" customWidth="1"/>
    <col min="4" max="4" width="10.88671875" bestFit="1" customWidth="1"/>
  </cols>
  <sheetData>
    <row r="1" spans="1:4" ht="18" thickBot="1" x14ac:dyDescent="0.5">
      <c r="A1" s="95" t="s">
        <v>147</v>
      </c>
      <c r="B1" s="96"/>
      <c r="C1" s="96"/>
      <c r="D1" s="97"/>
    </row>
    <row r="2" spans="1:4" x14ac:dyDescent="0.3">
      <c r="A2" s="40" t="s">
        <v>143</v>
      </c>
      <c r="B2" s="40" t="s">
        <v>144</v>
      </c>
      <c r="C2" s="40" t="s">
        <v>145</v>
      </c>
      <c r="D2" s="40" t="s">
        <v>146</v>
      </c>
    </row>
    <row r="3" spans="1:4" x14ac:dyDescent="0.3">
      <c r="A3" s="5">
        <v>1</v>
      </c>
      <c r="B3" s="4">
        <v>44953</v>
      </c>
      <c r="C3" s="5" t="s">
        <v>148</v>
      </c>
      <c r="D3" s="5">
        <v>5</v>
      </c>
    </row>
    <row r="4" spans="1:4" x14ac:dyDescent="0.3">
      <c r="A4" s="5">
        <v>2</v>
      </c>
      <c r="B4" s="4">
        <v>44954</v>
      </c>
      <c r="C4" s="5" t="s">
        <v>148</v>
      </c>
      <c r="D4" s="5">
        <v>5</v>
      </c>
    </row>
    <row r="5" spans="1:4" x14ac:dyDescent="0.3">
      <c r="A5" s="5">
        <v>3</v>
      </c>
      <c r="B5" s="4">
        <v>44955</v>
      </c>
      <c r="C5" s="5" t="s">
        <v>149</v>
      </c>
      <c r="D5" s="5">
        <v>2</v>
      </c>
    </row>
    <row r="6" spans="1:4" x14ac:dyDescent="0.3">
      <c r="A6" s="5">
        <v>4</v>
      </c>
      <c r="B6" s="4">
        <v>44956</v>
      </c>
      <c r="C6" s="5" t="s">
        <v>150</v>
      </c>
      <c r="D6" s="5">
        <v>4</v>
      </c>
    </row>
    <row r="7" spans="1:4" x14ac:dyDescent="0.3">
      <c r="A7" s="5">
        <v>5</v>
      </c>
      <c r="B7" s="4">
        <v>44957</v>
      </c>
      <c r="C7" s="5" t="s">
        <v>149</v>
      </c>
      <c r="D7" s="5">
        <v>2</v>
      </c>
    </row>
    <row r="8" spans="1:4" x14ac:dyDescent="0.3">
      <c r="A8" s="12">
        <v>6</v>
      </c>
      <c r="B8" s="4">
        <v>44958</v>
      </c>
      <c r="C8" s="5" t="s">
        <v>151</v>
      </c>
      <c r="D8" s="5">
        <v>1</v>
      </c>
    </row>
    <row r="9" spans="1:4" x14ac:dyDescent="0.3">
      <c r="A9" s="12">
        <v>7</v>
      </c>
      <c r="B9" s="4"/>
      <c r="C9" s="5"/>
      <c r="D9" s="5"/>
    </row>
    <row r="10" spans="1:4" x14ac:dyDescent="0.3">
      <c r="A10" s="5">
        <v>8</v>
      </c>
      <c r="B10" s="4"/>
      <c r="C10" s="5"/>
      <c r="D10" s="5"/>
    </row>
    <row r="11" spans="1:4" x14ac:dyDescent="0.3">
      <c r="A11" s="5">
        <v>9</v>
      </c>
      <c r="B11" s="4"/>
      <c r="C11" s="5"/>
      <c r="D11" s="5"/>
    </row>
    <row r="12" spans="1:4" x14ac:dyDescent="0.3">
      <c r="A12" s="5"/>
      <c r="B12" s="4"/>
      <c r="C12" s="5"/>
      <c r="D12" s="5"/>
    </row>
    <row r="13" spans="1:4" x14ac:dyDescent="0.3">
      <c r="A13" s="12"/>
      <c r="B13" s="14"/>
      <c r="C13" s="5"/>
      <c r="D13" s="5"/>
    </row>
    <row r="14" spans="1:4" x14ac:dyDescent="0.3">
      <c r="A14" s="12"/>
      <c r="B14" s="14"/>
      <c r="C14" s="5"/>
      <c r="D14" s="5"/>
    </row>
    <row r="15" spans="1:4" x14ac:dyDescent="0.3">
      <c r="A15" s="12"/>
      <c r="B15" s="14"/>
      <c r="C15" s="5"/>
      <c r="D15" s="5"/>
    </row>
    <row r="16" spans="1:4" x14ac:dyDescent="0.3">
      <c r="A16" s="5"/>
      <c r="B16" s="4"/>
      <c r="C16" s="5"/>
      <c r="D16" s="5"/>
    </row>
    <row r="17" spans="1:4" x14ac:dyDescent="0.3">
      <c r="A17" s="5"/>
      <c r="B17" s="4"/>
      <c r="C17" s="5"/>
      <c r="D17" s="5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68EC-6104-434D-8CFE-DF7C253626E5}">
  <dimension ref="A1:K20"/>
  <sheetViews>
    <sheetView workbookViewId="0">
      <selection activeCell="H19" sqref="H19"/>
    </sheetView>
  </sheetViews>
  <sheetFormatPr defaultRowHeight="14.4" x14ac:dyDescent="0.3"/>
  <cols>
    <col min="2" max="2" width="10.33203125" bestFit="1" customWidth="1"/>
    <col min="3" max="3" width="16.6640625" bestFit="1" customWidth="1"/>
  </cols>
  <sheetData>
    <row r="1" spans="1:11" x14ac:dyDescent="0.3">
      <c r="A1" s="98" t="s">
        <v>297</v>
      </c>
      <c r="B1" s="98"/>
      <c r="C1" s="98"/>
      <c r="D1" s="98"/>
    </row>
    <row r="2" spans="1:11" x14ac:dyDescent="0.3">
      <c r="A2" s="98"/>
      <c r="B2" s="98"/>
      <c r="C2" s="98"/>
      <c r="D2" s="98"/>
    </row>
    <row r="3" spans="1:11" x14ac:dyDescent="0.3">
      <c r="A3" s="31" t="s">
        <v>280</v>
      </c>
      <c r="B3" s="31" t="s">
        <v>2</v>
      </c>
      <c r="C3" s="31" t="s">
        <v>281</v>
      </c>
      <c r="D3" s="31" t="s">
        <v>282</v>
      </c>
    </row>
    <row r="4" spans="1:11" x14ac:dyDescent="0.3">
      <c r="A4" s="31">
        <v>1</v>
      </c>
      <c r="B4" s="41">
        <v>46058</v>
      </c>
      <c r="C4" s="47" t="s">
        <v>283</v>
      </c>
      <c r="D4" s="48">
        <v>90</v>
      </c>
    </row>
    <row r="5" spans="1:11" x14ac:dyDescent="0.3">
      <c r="A5" s="31">
        <v>2</v>
      </c>
      <c r="B5" s="41">
        <v>46061</v>
      </c>
      <c r="C5" s="47" t="s">
        <v>284</v>
      </c>
      <c r="D5" s="48">
        <v>104</v>
      </c>
      <c r="K5">
        <v>41800</v>
      </c>
    </row>
    <row r="6" spans="1:11" x14ac:dyDescent="0.3">
      <c r="A6" s="31">
        <v>3</v>
      </c>
      <c r="B6" s="41">
        <v>46065</v>
      </c>
      <c r="C6" s="47" t="s">
        <v>288</v>
      </c>
      <c r="D6" s="48">
        <v>1620</v>
      </c>
      <c r="K6">
        <v>48000</v>
      </c>
    </row>
    <row r="7" spans="1:11" x14ac:dyDescent="0.3">
      <c r="A7" s="31">
        <v>4</v>
      </c>
      <c r="B7" s="41">
        <v>46067</v>
      </c>
      <c r="C7" s="47" t="s">
        <v>289</v>
      </c>
      <c r="D7" s="48"/>
      <c r="K7">
        <v>14800</v>
      </c>
    </row>
    <row r="8" spans="1:11" x14ac:dyDescent="0.3">
      <c r="A8" s="31">
        <v>5</v>
      </c>
      <c r="B8" s="41">
        <v>46067</v>
      </c>
      <c r="C8" s="47" t="s">
        <v>290</v>
      </c>
      <c r="D8" s="48">
        <v>40</v>
      </c>
      <c r="K8">
        <v>17400</v>
      </c>
    </row>
    <row r="9" spans="1:11" x14ac:dyDescent="0.3">
      <c r="A9" s="31">
        <v>6</v>
      </c>
      <c r="B9" s="41">
        <v>46067</v>
      </c>
      <c r="C9" s="47" t="s">
        <v>291</v>
      </c>
      <c r="D9" s="48">
        <v>350</v>
      </c>
      <c r="K9">
        <v>8000</v>
      </c>
    </row>
    <row r="10" spans="1:11" x14ac:dyDescent="0.3">
      <c r="A10" s="31">
        <v>7</v>
      </c>
      <c r="B10" s="41">
        <v>46068</v>
      </c>
      <c r="C10" s="47" t="s">
        <v>292</v>
      </c>
      <c r="D10" s="48">
        <v>80</v>
      </c>
      <c r="K10">
        <v>9450</v>
      </c>
    </row>
    <row r="11" spans="1:11" x14ac:dyDescent="0.3">
      <c r="A11" s="31">
        <v>8</v>
      </c>
      <c r="B11" s="41">
        <v>46069</v>
      </c>
      <c r="C11" s="47" t="s">
        <v>293</v>
      </c>
      <c r="D11" s="48">
        <v>100</v>
      </c>
      <c r="K11">
        <v>27996</v>
      </c>
    </row>
    <row r="12" spans="1:11" x14ac:dyDescent="0.3">
      <c r="A12" s="31">
        <v>9</v>
      </c>
      <c r="B12" s="41">
        <v>46069</v>
      </c>
      <c r="C12" s="47" t="s">
        <v>294</v>
      </c>
      <c r="D12" s="48">
        <v>246</v>
      </c>
      <c r="K12">
        <v>9000</v>
      </c>
    </row>
    <row r="13" spans="1:11" x14ac:dyDescent="0.3">
      <c r="A13" s="31">
        <v>10</v>
      </c>
      <c r="B13" s="41">
        <v>46070</v>
      </c>
      <c r="C13" s="47" t="s">
        <v>291</v>
      </c>
      <c r="D13" s="48">
        <v>340</v>
      </c>
      <c r="K13">
        <v>78269</v>
      </c>
    </row>
    <row r="14" spans="1:11" x14ac:dyDescent="0.3">
      <c r="A14" s="31">
        <v>11</v>
      </c>
      <c r="B14" s="41">
        <v>46070</v>
      </c>
      <c r="C14" s="47" t="s">
        <v>293</v>
      </c>
      <c r="D14" s="48">
        <v>100</v>
      </c>
      <c r="K14">
        <v>15000</v>
      </c>
    </row>
    <row r="15" spans="1:11" x14ac:dyDescent="0.3">
      <c r="A15" s="31">
        <v>12</v>
      </c>
      <c r="B15" s="41">
        <v>46071</v>
      </c>
      <c r="C15" s="47" t="s">
        <v>295</v>
      </c>
      <c r="D15" s="48">
        <v>250</v>
      </c>
      <c r="K15">
        <v>5090</v>
      </c>
    </row>
    <row r="16" spans="1:11" x14ac:dyDescent="0.3">
      <c r="A16" s="31">
        <v>13</v>
      </c>
      <c r="B16" s="41">
        <v>46071</v>
      </c>
      <c r="C16" s="47" t="s">
        <v>293</v>
      </c>
      <c r="D16" s="48">
        <v>120</v>
      </c>
      <c r="K16">
        <v>5000</v>
      </c>
    </row>
    <row r="17" spans="1:11" x14ac:dyDescent="0.3">
      <c r="A17" s="31">
        <v>14</v>
      </c>
      <c r="B17" s="41">
        <v>46072</v>
      </c>
      <c r="C17" s="47" t="s">
        <v>291</v>
      </c>
      <c r="D17" s="48">
        <v>690</v>
      </c>
      <c r="K17">
        <v>5000</v>
      </c>
    </row>
    <row r="18" spans="1:11" x14ac:dyDescent="0.3">
      <c r="A18" s="31">
        <v>15</v>
      </c>
      <c r="B18" s="41">
        <v>46072</v>
      </c>
      <c r="C18" s="47" t="s">
        <v>296</v>
      </c>
      <c r="D18" s="48">
        <v>480</v>
      </c>
      <c r="K18">
        <v>15000</v>
      </c>
    </row>
    <row r="19" spans="1:11" x14ac:dyDescent="0.3">
      <c r="A19" s="31">
        <v>16</v>
      </c>
      <c r="B19" s="41">
        <v>46074</v>
      </c>
      <c r="C19" s="47" t="s">
        <v>289</v>
      </c>
      <c r="D19" s="48"/>
      <c r="K19">
        <v>3500</v>
      </c>
    </row>
    <row r="20" spans="1:11" x14ac:dyDescent="0.3">
      <c r="A20" s="31">
        <v>17</v>
      </c>
      <c r="B20" s="41">
        <v>46079</v>
      </c>
      <c r="C20" s="47" t="s">
        <v>296</v>
      </c>
      <c r="D20" s="31">
        <v>480</v>
      </c>
    </row>
  </sheetData>
  <mergeCells count="1">
    <mergeCell ref="A1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46A2-1DF5-4B48-9C53-A62B08520EDF}">
  <dimension ref="A1:E25"/>
  <sheetViews>
    <sheetView workbookViewId="0">
      <selection activeCell="I13" sqref="I13"/>
    </sheetView>
  </sheetViews>
  <sheetFormatPr defaultRowHeight="14.4" x14ac:dyDescent="0.3"/>
  <cols>
    <col min="2" max="2" width="40.21875" bestFit="1" customWidth="1"/>
  </cols>
  <sheetData>
    <row r="1" spans="1:5" x14ac:dyDescent="0.3">
      <c r="A1" s="99" t="s">
        <v>326</v>
      </c>
      <c r="B1" s="99"/>
      <c r="C1" s="99"/>
      <c r="D1" s="99"/>
      <c r="E1" s="99"/>
    </row>
    <row r="2" spans="1:5" x14ac:dyDescent="0.3">
      <c r="A2" s="99"/>
      <c r="B2" s="99"/>
      <c r="C2" s="99"/>
      <c r="D2" s="99"/>
      <c r="E2" s="99"/>
    </row>
    <row r="3" spans="1:5" x14ac:dyDescent="0.3">
      <c r="A3" s="49" t="s">
        <v>280</v>
      </c>
      <c r="B3" s="49" t="s">
        <v>281</v>
      </c>
      <c r="C3" s="49" t="s">
        <v>300</v>
      </c>
      <c r="D3" s="49" t="s">
        <v>301</v>
      </c>
      <c r="E3" s="49" t="s">
        <v>302</v>
      </c>
    </row>
    <row r="4" spans="1:5" x14ac:dyDescent="0.3">
      <c r="A4" s="5">
        <v>1</v>
      </c>
      <c r="B4" s="30" t="s">
        <v>303</v>
      </c>
      <c r="C4" s="5" t="s">
        <v>304</v>
      </c>
      <c r="D4" s="5">
        <v>100</v>
      </c>
      <c r="E4" s="30"/>
    </row>
    <row r="5" spans="1:5" x14ac:dyDescent="0.3">
      <c r="A5" s="5">
        <v>2</v>
      </c>
      <c r="B5" s="30" t="s">
        <v>305</v>
      </c>
      <c r="C5" s="5" t="s">
        <v>306</v>
      </c>
      <c r="D5" s="5">
        <v>1</v>
      </c>
      <c r="E5" s="30"/>
    </row>
    <row r="6" spans="1:5" x14ac:dyDescent="0.3">
      <c r="A6" s="5">
        <v>3</v>
      </c>
      <c r="B6" s="30" t="s">
        <v>307</v>
      </c>
      <c r="C6" s="5" t="s">
        <v>306</v>
      </c>
      <c r="D6" s="5">
        <v>2</v>
      </c>
      <c r="E6" s="30"/>
    </row>
    <row r="7" spans="1:5" x14ac:dyDescent="0.3">
      <c r="A7" s="5">
        <v>4</v>
      </c>
      <c r="B7" s="30" t="s">
        <v>308</v>
      </c>
      <c r="C7" s="5" t="s">
        <v>306</v>
      </c>
      <c r="D7" s="5">
        <v>2</v>
      </c>
      <c r="E7" s="30"/>
    </row>
    <row r="8" spans="1:5" x14ac:dyDescent="0.3">
      <c r="A8" s="5">
        <v>5</v>
      </c>
      <c r="B8" s="30" t="s">
        <v>309</v>
      </c>
      <c r="C8" s="5" t="s">
        <v>306</v>
      </c>
      <c r="D8" s="5">
        <v>2</v>
      </c>
      <c r="E8" s="30"/>
    </row>
    <row r="9" spans="1:5" x14ac:dyDescent="0.3">
      <c r="A9" s="5">
        <v>6</v>
      </c>
      <c r="B9" s="30" t="s">
        <v>310</v>
      </c>
      <c r="C9" s="5" t="s">
        <v>311</v>
      </c>
      <c r="D9" s="5">
        <v>2</v>
      </c>
      <c r="E9" s="30"/>
    </row>
    <row r="10" spans="1:5" x14ac:dyDescent="0.3">
      <c r="A10" s="5">
        <v>7</v>
      </c>
      <c r="B10" s="30" t="s">
        <v>312</v>
      </c>
      <c r="C10" s="5" t="s">
        <v>306</v>
      </c>
      <c r="D10" s="5">
        <v>3</v>
      </c>
      <c r="E10" s="30"/>
    </row>
    <row r="11" spans="1:5" x14ac:dyDescent="0.3">
      <c r="A11" s="5">
        <v>8</v>
      </c>
      <c r="B11" s="30" t="s">
        <v>313</v>
      </c>
      <c r="C11" s="5" t="s">
        <v>306</v>
      </c>
      <c r="D11" s="5">
        <v>1</v>
      </c>
      <c r="E11" s="30"/>
    </row>
    <row r="12" spans="1:5" x14ac:dyDescent="0.3">
      <c r="A12" s="5">
        <v>9</v>
      </c>
      <c r="B12" s="30" t="s">
        <v>314</v>
      </c>
      <c r="C12" s="5" t="s">
        <v>315</v>
      </c>
      <c r="D12" s="5">
        <v>1</v>
      </c>
      <c r="E12" s="30"/>
    </row>
    <row r="13" spans="1:5" x14ac:dyDescent="0.3">
      <c r="A13" s="5">
        <v>10</v>
      </c>
      <c r="B13" s="30" t="s">
        <v>316</v>
      </c>
      <c r="C13" s="5" t="s">
        <v>306</v>
      </c>
      <c r="D13" s="5">
        <v>1</v>
      </c>
      <c r="E13" s="30"/>
    </row>
    <row r="14" spans="1:5" x14ac:dyDescent="0.3">
      <c r="A14" s="5">
        <v>11</v>
      </c>
      <c r="B14" s="30" t="s">
        <v>318</v>
      </c>
      <c r="C14" s="5" t="s">
        <v>306</v>
      </c>
      <c r="D14" s="5">
        <v>1</v>
      </c>
      <c r="E14" s="30"/>
    </row>
    <row r="15" spans="1:5" x14ac:dyDescent="0.3">
      <c r="A15" s="5">
        <v>12</v>
      </c>
      <c r="B15" s="30" t="s">
        <v>319</v>
      </c>
      <c r="C15" s="5" t="s">
        <v>306</v>
      </c>
      <c r="D15" s="5">
        <v>5</v>
      </c>
      <c r="E15" s="30"/>
    </row>
    <row r="16" spans="1:5" x14ac:dyDescent="0.3">
      <c r="A16" s="5">
        <v>13</v>
      </c>
      <c r="B16" s="30" t="s">
        <v>320</v>
      </c>
      <c r="C16" s="5" t="s">
        <v>306</v>
      </c>
      <c r="D16" s="5">
        <v>2</v>
      </c>
      <c r="E16" s="30"/>
    </row>
    <row r="17" spans="1:5" x14ac:dyDescent="0.3">
      <c r="A17" s="5">
        <v>14</v>
      </c>
      <c r="B17" s="30" t="s">
        <v>321</v>
      </c>
      <c r="C17" s="5" t="s">
        <v>306</v>
      </c>
      <c r="D17" s="5">
        <v>16</v>
      </c>
      <c r="E17" s="30"/>
    </row>
    <row r="18" spans="1:5" x14ac:dyDescent="0.3">
      <c r="A18" s="5">
        <v>15</v>
      </c>
      <c r="B18" s="30" t="s">
        <v>322</v>
      </c>
      <c r="C18" s="5" t="s">
        <v>306</v>
      </c>
      <c r="D18" s="5">
        <v>2</v>
      </c>
      <c r="E18" s="30"/>
    </row>
    <row r="19" spans="1:5" x14ac:dyDescent="0.3">
      <c r="A19" s="5">
        <v>16</v>
      </c>
      <c r="B19" s="30" t="s">
        <v>323</v>
      </c>
      <c r="C19" s="5" t="s">
        <v>306</v>
      </c>
      <c r="D19" s="5">
        <v>2</v>
      </c>
      <c r="E19" s="30"/>
    </row>
    <row r="20" spans="1:5" x14ac:dyDescent="0.3">
      <c r="A20" s="5">
        <v>17</v>
      </c>
      <c r="B20" s="30" t="s">
        <v>324</v>
      </c>
      <c r="C20" s="5" t="s">
        <v>306</v>
      </c>
      <c r="D20" s="5">
        <v>4</v>
      </c>
      <c r="E20" s="30"/>
    </row>
    <row r="21" spans="1:5" x14ac:dyDescent="0.3">
      <c r="A21" s="5">
        <v>18</v>
      </c>
      <c r="B21" s="30" t="s">
        <v>325</v>
      </c>
      <c r="C21" s="5"/>
      <c r="D21" s="5"/>
      <c r="E21" s="30"/>
    </row>
    <row r="22" spans="1:5" x14ac:dyDescent="0.3">
      <c r="A22" s="5">
        <v>19</v>
      </c>
      <c r="B22" s="30" t="s">
        <v>317</v>
      </c>
      <c r="C22" s="5"/>
      <c r="D22" s="5"/>
      <c r="E22" s="30"/>
    </row>
    <row r="23" spans="1:5" x14ac:dyDescent="0.3">
      <c r="A23" s="100" t="s">
        <v>327</v>
      </c>
      <c r="B23" s="100"/>
      <c r="C23" s="100"/>
      <c r="D23" s="100"/>
      <c r="E23" s="100"/>
    </row>
    <row r="24" spans="1:5" x14ac:dyDescent="0.3">
      <c r="A24" s="100"/>
      <c r="B24" s="100"/>
      <c r="C24" s="100"/>
      <c r="D24" s="100"/>
      <c r="E24" s="100"/>
    </row>
    <row r="25" spans="1:5" x14ac:dyDescent="0.3">
      <c r="A25" s="100"/>
      <c r="B25" s="100"/>
      <c r="C25" s="100"/>
      <c r="D25" s="100"/>
      <c r="E25" s="100"/>
    </row>
  </sheetData>
  <mergeCells count="2">
    <mergeCell ref="A1:E2"/>
    <mergeCell ref="A23:E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E08F-B3FE-4E43-B137-CF916AC21CC9}">
  <dimension ref="A1:Q33"/>
  <sheetViews>
    <sheetView topLeftCell="A13" workbookViewId="0">
      <selection activeCell="D33" sqref="D33"/>
    </sheetView>
  </sheetViews>
  <sheetFormatPr defaultRowHeight="14.4" x14ac:dyDescent="0.3"/>
  <cols>
    <col min="2" max="2" width="10.33203125" bestFit="1" customWidth="1"/>
    <col min="3" max="3" width="12.109375" bestFit="1" customWidth="1"/>
    <col min="4" max="4" width="12.109375" customWidth="1"/>
    <col min="8" max="8" width="10.33203125" bestFit="1" customWidth="1"/>
    <col min="9" max="9" width="12.109375" bestFit="1" customWidth="1"/>
    <col min="10" max="10" width="9.88671875" bestFit="1" customWidth="1"/>
    <col min="14" max="14" width="10.33203125" bestFit="1" customWidth="1"/>
    <col min="15" max="15" width="12.109375" bestFit="1" customWidth="1"/>
  </cols>
  <sheetData>
    <row r="1" spans="1:17" x14ac:dyDescent="0.3">
      <c r="A1" s="101" t="s">
        <v>360</v>
      </c>
      <c r="B1" s="101"/>
      <c r="C1" s="101"/>
      <c r="D1" s="101"/>
      <c r="E1" s="101"/>
      <c r="G1" s="101" t="s">
        <v>356</v>
      </c>
      <c r="H1" s="101"/>
      <c r="I1" s="101"/>
      <c r="J1" s="101"/>
      <c r="K1" s="101"/>
      <c r="M1" s="101" t="s">
        <v>357</v>
      </c>
      <c r="N1" s="101"/>
      <c r="O1" s="101"/>
      <c r="P1" s="101"/>
      <c r="Q1" s="101"/>
    </row>
    <row r="2" spans="1:17" x14ac:dyDescent="0.3">
      <c r="A2" t="s">
        <v>280</v>
      </c>
      <c r="B2" t="s">
        <v>2</v>
      </c>
      <c r="C2" t="s">
        <v>281</v>
      </c>
      <c r="D2" t="s">
        <v>348</v>
      </c>
      <c r="E2" t="s">
        <v>345</v>
      </c>
      <c r="G2" t="s">
        <v>280</v>
      </c>
      <c r="H2" t="s">
        <v>354</v>
      </c>
      <c r="I2" t="s">
        <v>281</v>
      </c>
      <c r="J2" t="s">
        <v>355</v>
      </c>
      <c r="K2" t="s">
        <v>345</v>
      </c>
      <c r="M2" t="s">
        <v>280</v>
      </c>
      <c r="N2" t="s">
        <v>354</v>
      </c>
      <c r="O2" t="s">
        <v>281</v>
      </c>
      <c r="P2" t="s">
        <v>355</v>
      </c>
      <c r="Q2" t="s">
        <v>345</v>
      </c>
    </row>
    <row r="3" spans="1:17" x14ac:dyDescent="0.3">
      <c r="A3" s="31">
        <v>1</v>
      </c>
      <c r="B3" s="50">
        <v>46091</v>
      </c>
      <c r="C3" t="s">
        <v>344</v>
      </c>
      <c r="D3" t="s">
        <v>349</v>
      </c>
      <c r="E3" t="s">
        <v>346</v>
      </c>
      <c r="G3" s="31">
        <v>1</v>
      </c>
      <c r="H3" s="50">
        <v>46092</v>
      </c>
      <c r="I3" s="50" t="s">
        <v>344</v>
      </c>
      <c r="J3" s="51">
        <v>7500</v>
      </c>
      <c r="K3" t="s">
        <v>346</v>
      </c>
      <c r="M3" s="31">
        <v>1</v>
      </c>
      <c r="N3" s="50">
        <v>46092</v>
      </c>
      <c r="O3" s="50" t="s">
        <v>344</v>
      </c>
      <c r="P3" s="51">
        <v>4005</v>
      </c>
      <c r="Q3" t="s">
        <v>347</v>
      </c>
    </row>
    <row r="4" spans="1:17" x14ac:dyDescent="0.3">
      <c r="A4" s="31">
        <v>2</v>
      </c>
      <c r="B4" s="50">
        <v>46092</v>
      </c>
      <c r="C4" t="s">
        <v>344</v>
      </c>
      <c r="D4" t="s">
        <v>350</v>
      </c>
      <c r="E4" t="s">
        <v>347</v>
      </c>
      <c r="G4" s="31">
        <v>2</v>
      </c>
      <c r="H4" s="50">
        <v>46096</v>
      </c>
      <c r="I4" s="50" t="s">
        <v>358</v>
      </c>
      <c r="J4" s="51">
        <v>2000</v>
      </c>
      <c r="K4" t="s">
        <v>347</v>
      </c>
      <c r="M4" s="31">
        <v>2</v>
      </c>
      <c r="N4" s="50">
        <v>46095</v>
      </c>
      <c r="O4" s="50" t="s">
        <v>344</v>
      </c>
      <c r="P4" s="51">
        <v>4006</v>
      </c>
      <c r="Q4" t="s">
        <v>347</v>
      </c>
    </row>
    <row r="5" spans="1:17" x14ac:dyDescent="0.3">
      <c r="A5" s="31">
        <v>3</v>
      </c>
      <c r="B5" s="50">
        <v>46093</v>
      </c>
      <c r="C5" t="s">
        <v>344</v>
      </c>
      <c r="D5" t="s">
        <v>349</v>
      </c>
      <c r="E5" t="s">
        <v>347</v>
      </c>
      <c r="G5" s="31">
        <v>3</v>
      </c>
      <c r="H5" s="50">
        <v>46099</v>
      </c>
      <c r="I5" s="50" t="s">
        <v>344</v>
      </c>
      <c r="J5" s="51">
        <v>10000</v>
      </c>
      <c r="K5" t="s">
        <v>347</v>
      </c>
      <c r="M5" s="31">
        <v>3</v>
      </c>
      <c r="N5" s="50">
        <v>46096</v>
      </c>
      <c r="O5" s="50" t="s">
        <v>359</v>
      </c>
      <c r="P5" s="51">
        <v>2000</v>
      </c>
      <c r="Q5" t="s">
        <v>347</v>
      </c>
    </row>
    <row r="6" spans="1:17" x14ac:dyDescent="0.3">
      <c r="A6" s="31">
        <v>4</v>
      </c>
      <c r="B6" s="50">
        <v>46094</v>
      </c>
      <c r="C6" t="s">
        <v>344</v>
      </c>
      <c r="D6" t="s">
        <v>351</v>
      </c>
      <c r="E6" t="s">
        <v>347</v>
      </c>
      <c r="H6" s="50">
        <v>46101</v>
      </c>
      <c r="I6" s="50" t="s">
        <v>344</v>
      </c>
      <c r="J6" s="51">
        <v>1000</v>
      </c>
      <c r="K6" t="s">
        <v>347</v>
      </c>
      <c r="N6" s="50">
        <v>46096</v>
      </c>
      <c r="O6" s="50" t="s">
        <v>344</v>
      </c>
      <c r="P6" s="51">
        <v>4505</v>
      </c>
      <c r="Q6" t="s">
        <v>347</v>
      </c>
    </row>
    <row r="7" spans="1:17" x14ac:dyDescent="0.3">
      <c r="A7" s="31">
        <v>5</v>
      </c>
      <c r="B7" s="50">
        <v>46095</v>
      </c>
      <c r="C7" t="s">
        <v>344</v>
      </c>
      <c r="D7" t="s">
        <v>349</v>
      </c>
      <c r="E7" t="s">
        <v>347</v>
      </c>
      <c r="N7" s="50">
        <v>46099</v>
      </c>
      <c r="O7" s="50" t="s">
        <v>344</v>
      </c>
      <c r="P7" s="51">
        <v>2505</v>
      </c>
      <c r="Q7" t="s">
        <v>347</v>
      </c>
    </row>
    <row r="8" spans="1:17" x14ac:dyDescent="0.3">
      <c r="A8" s="31">
        <v>6</v>
      </c>
      <c r="B8" s="50">
        <v>46096</v>
      </c>
      <c r="C8" t="s">
        <v>344</v>
      </c>
      <c r="D8" t="s">
        <v>349</v>
      </c>
      <c r="E8" t="s">
        <v>347</v>
      </c>
      <c r="N8" s="50">
        <v>46132</v>
      </c>
      <c r="O8" s="50" t="s">
        <v>344</v>
      </c>
      <c r="P8" s="51">
        <v>2261</v>
      </c>
    </row>
    <row r="9" spans="1:17" x14ac:dyDescent="0.3">
      <c r="A9" s="31">
        <v>7</v>
      </c>
      <c r="B9" s="50">
        <v>46096</v>
      </c>
      <c r="C9" t="s">
        <v>352</v>
      </c>
      <c r="D9" t="s">
        <v>353</v>
      </c>
      <c r="E9" t="s">
        <v>347</v>
      </c>
    </row>
    <row r="10" spans="1:17" x14ac:dyDescent="0.3">
      <c r="A10" s="31">
        <v>8</v>
      </c>
      <c r="B10" s="50">
        <v>46097</v>
      </c>
      <c r="C10" t="s">
        <v>344</v>
      </c>
      <c r="D10" t="s">
        <v>349</v>
      </c>
      <c r="E10" t="s">
        <v>347</v>
      </c>
    </row>
    <row r="11" spans="1:17" x14ac:dyDescent="0.3">
      <c r="A11" s="31">
        <v>9</v>
      </c>
      <c r="B11" s="50">
        <v>46098</v>
      </c>
      <c r="C11" t="s">
        <v>344</v>
      </c>
      <c r="D11" t="s">
        <v>349</v>
      </c>
      <c r="E11" t="s">
        <v>347</v>
      </c>
    </row>
    <row r="12" spans="1:17" x14ac:dyDescent="0.3">
      <c r="A12" s="31">
        <v>10</v>
      </c>
      <c r="B12" s="50">
        <v>46099</v>
      </c>
      <c r="C12" t="s">
        <v>344</v>
      </c>
      <c r="D12" t="s">
        <v>349</v>
      </c>
      <c r="E12" t="s">
        <v>347</v>
      </c>
    </row>
    <row r="13" spans="1:17" x14ac:dyDescent="0.3">
      <c r="B13" s="50">
        <v>46107</v>
      </c>
      <c r="C13" t="s">
        <v>344</v>
      </c>
      <c r="D13" t="s">
        <v>349</v>
      </c>
    </row>
    <row r="14" spans="1:17" x14ac:dyDescent="0.3">
      <c r="B14" s="50">
        <v>46107</v>
      </c>
      <c r="C14" t="s">
        <v>364</v>
      </c>
      <c r="D14" t="s">
        <v>353</v>
      </c>
    </row>
    <row r="15" spans="1:17" x14ac:dyDescent="0.3">
      <c r="B15" s="50">
        <v>46108</v>
      </c>
      <c r="C15" t="s">
        <v>364</v>
      </c>
      <c r="D15" t="s">
        <v>349</v>
      </c>
    </row>
    <row r="16" spans="1:17" x14ac:dyDescent="0.3">
      <c r="B16" s="50">
        <v>46113</v>
      </c>
      <c r="C16" t="s">
        <v>364</v>
      </c>
      <c r="D16" t="s">
        <v>350</v>
      </c>
    </row>
    <row r="17" spans="2:5" x14ac:dyDescent="0.3">
      <c r="B17" s="50">
        <v>46115</v>
      </c>
      <c r="C17" t="s">
        <v>364</v>
      </c>
      <c r="D17" t="s">
        <v>350</v>
      </c>
    </row>
    <row r="18" spans="2:5" x14ac:dyDescent="0.3">
      <c r="B18" s="50">
        <v>46115</v>
      </c>
      <c r="C18" t="s">
        <v>344</v>
      </c>
      <c r="D18" t="s">
        <v>373</v>
      </c>
    </row>
    <row r="19" spans="2:5" x14ac:dyDescent="0.3">
      <c r="B19" s="50">
        <v>46116</v>
      </c>
      <c r="C19" t="s">
        <v>364</v>
      </c>
      <c r="D19" t="s">
        <v>375</v>
      </c>
    </row>
    <row r="20" spans="2:5" x14ac:dyDescent="0.3">
      <c r="B20" s="50">
        <v>46117</v>
      </c>
      <c r="C20" t="s">
        <v>344</v>
      </c>
      <c r="D20" t="s">
        <v>377</v>
      </c>
    </row>
    <row r="21" spans="2:5" x14ac:dyDescent="0.3">
      <c r="B21" s="50">
        <v>46123</v>
      </c>
      <c r="C21" t="s">
        <v>344</v>
      </c>
      <c r="D21" s="47">
        <v>8</v>
      </c>
    </row>
    <row r="22" spans="2:5" x14ac:dyDescent="0.3">
      <c r="B22" s="50">
        <v>46124</v>
      </c>
      <c r="C22" t="s">
        <v>344</v>
      </c>
      <c r="D22" s="47">
        <v>8</v>
      </c>
    </row>
    <row r="23" spans="2:5" x14ac:dyDescent="0.3">
      <c r="B23" s="50">
        <v>46124</v>
      </c>
      <c r="C23" t="s">
        <v>364</v>
      </c>
    </row>
    <row r="24" spans="2:5" x14ac:dyDescent="0.3">
      <c r="B24" s="50">
        <v>46128</v>
      </c>
      <c r="C24" t="s">
        <v>344</v>
      </c>
    </row>
    <row r="25" spans="2:5" x14ac:dyDescent="0.3">
      <c r="B25" s="50">
        <v>46132</v>
      </c>
      <c r="C25" t="s">
        <v>344</v>
      </c>
    </row>
    <row r="26" spans="2:5" x14ac:dyDescent="0.3">
      <c r="B26" s="50">
        <v>46135</v>
      </c>
      <c r="C26" t="s">
        <v>344</v>
      </c>
    </row>
    <row r="27" spans="2:5" x14ac:dyDescent="0.3">
      <c r="B27" s="50">
        <v>46136</v>
      </c>
      <c r="C27" t="s">
        <v>344</v>
      </c>
    </row>
    <row r="28" spans="2:5" x14ac:dyDescent="0.3">
      <c r="B28" s="102" t="s">
        <v>451</v>
      </c>
      <c r="C28" s="102"/>
      <c r="D28" s="102"/>
      <c r="E28" t="s">
        <v>468</v>
      </c>
    </row>
    <row r="29" spans="2:5" x14ac:dyDescent="0.3">
      <c r="B29" s="50">
        <v>46148</v>
      </c>
      <c r="C29" t="s">
        <v>344</v>
      </c>
      <c r="D29" t="s">
        <v>450</v>
      </c>
    </row>
    <row r="30" spans="2:5" x14ac:dyDescent="0.3">
      <c r="B30" s="50">
        <v>46152</v>
      </c>
      <c r="C30" t="s">
        <v>344</v>
      </c>
      <c r="D30" t="s">
        <v>349</v>
      </c>
    </row>
    <row r="31" spans="2:5" x14ac:dyDescent="0.3">
      <c r="B31" s="50">
        <v>46157</v>
      </c>
      <c r="C31" t="s">
        <v>344</v>
      </c>
      <c r="D31" t="s">
        <v>450</v>
      </c>
    </row>
    <row r="32" spans="2:5" x14ac:dyDescent="0.3">
      <c r="B32" s="50">
        <v>46160</v>
      </c>
      <c r="C32" t="s">
        <v>344</v>
      </c>
    </row>
    <row r="33" spans="2:3" x14ac:dyDescent="0.3">
      <c r="B33" s="50">
        <v>46169</v>
      </c>
      <c r="C33" t="s">
        <v>352</v>
      </c>
    </row>
  </sheetData>
  <mergeCells count="4">
    <mergeCell ref="G1:K1"/>
    <mergeCell ref="M1:Q1"/>
    <mergeCell ref="A1:E1"/>
    <mergeCell ref="B28:D28"/>
  </mergeCells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1123-720E-4C7E-81A4-3FA0DCF72057}">
  <dimension ref="A1:F19"/>
  <sheetViews>
    <sheetView workbookViewId="0">
      <selection activeCell="L22" sqref="L22"/>
    </sheetView>
  </sheetViews>
  <sheetFormatPr defaultRowHeight="14.4" x14ac:dyDescent="0.3"/>
  <cols>
    <col min="2" max="2" width="15.109375" bestFit="1" customWidth="1"/>
    <col min="6" max="6" width="11.33203125" bestFit="1" customWidth="1"/>
  </cols>
  <sheetData>
    <row r="1" spans="1:6" x14ac:dyDescent="0.3">
      <c r="A1" s="103" t="s">
        <v>419</v>
      </c>
      <c r="B1" s="103"/>
      <c r="C1" s="103"/>
      <c r="D1" s="103"/>
      <c r="E1" s="103"/>
      <c r="F1" s="103"/>
    </row>
    <row r="2" spans="1:6" x14ac:dyDescent="0.3">
      <c r="A2" s="104"/>
      <c r="B2" s="104"/>
      <c r="C2" s="104"/>
      <c r="D2" s="104"/>
      <c r="E2" s="104"/>
      <c r="F2" s="104"/>
    </row>
    <row r="3" spans="1:6" x14ac:dyDescent="0.3">
      <c r="A3" s="49" t="s">
        <v>280</v>
      </c>
      <c r="B3" s="49" t="s">
        <v>417</v>
      </c>
      <c r="C3" s="49" t="s">
        <v>411</v>
      </c>
      <c r="D3" s="49" t="s">
        <v>399</v>
      </c>
      <c r="E3" s="49" t="s">
        <v>418</v>
      </c>
      <c r="F3" s="49" t="s">
        <v>355</v>
      </c>
    </row>
    <row r="4" spans="1:6" x14ac:dyDescent="0.3">
      <c r="A4" s="5">
        <v>1</v>
      </c>
      <c r="B4" s="30" t="s">
        <v>237</v>
      </c>
      <c r="C4" s="30">
        <v>125</v>
      </c>
      <c r="D4" s="5" t="s">
        <v>383</v>
      </c>
      <c r="E4" s="30">
        <v>380</v>
      </c>
      <c r="F4" s="52">
        <f>C4*E4</f>
        <v>47500</v>
      </c>
    </row>
    <row r="5" spans="1:6" x14ac:dyDescent="0.3">
      <c r="A5" s="5">
        <v>2</v>
      </c>
      <c r="B5" s="30" t="s">
        <v>20</v>
      </c>
      <c r="C5" s="30">
        <v>366</v>
      </c>
      <c r="D5" s="5" t="s">
        <v>383</v>
      </c>
      <c r="E5" s="30">
        <v>130</v>
      </c>
      <c r="F5" s="52">
        <f t="shared" ref="F5:F10" si="0">C5*E5</f>
        <v>47580</v>
      </c>
    </row>
    <row r="6" spans="1:6" x14ac:dyDescent="0.3">
      <c r="A6" s="5">
        <v>3</v>
      </c>
      <c r="B6" s="30" t="s">
        <v>384</v>
      </c>
      <c r="C6" s="30">
        <v>262</v>
      </c>
      <c r="D6" s="5" t="s">
        <v>383</v>
      </c>
      <c r="E6" s="30">
        <v>150</v>
      </c>
      <c r="F6" s="52">
        <f t="shared" si="0"/>
        <v>39300</v>
      </c>
    </row>
    <row r="7" spans="1:6" x14ac:dyDescent="0.3">
      <c r="A7" s="5">
        <v>4</v>
      </c>
      <c r="B7" s="30" t="s">
        <v>176</v>
      </c>
      <c r="C7" s="30">
        <v>3100</v>
      </c>
      <c r="D7" s="5" t="s">
        <v>385</v>
      </c>
      <c r="E7" s="30">
        <v>12</v>
      </c>
      <c r="F7" s="52">
        <f t="shared" si="0"/>
        <v>37200</v>
      </c>
    </row>
    <row r="8" spans="1:6" x14ac:dyDescent="0.3">
      <c r="A8" s="5">
        <v>5</v>
      </c>
      <c r="B8" s="30" t="s">
        <v>386</v>
      </c>
      <c r="C8" s="30">
        <f>387+125</f>
        <v>512</v>
      </c>
      <c r="D8" s="5" t="s">
        <v>387</v>
      </c>
      <c r="E8" s="30">
        <v>650</v>
      </c>
      <c r="F8" s="52">
        <f t="shared" si="0"/>
        <v>332800</v>
      </c>
    </row>
    <row r="9" spans="1:6" x14ac:dyDescent="0.3">
      <c r="A9" s="5">
        <v>6</v>
      </c>
      <c r="B9" s="30" t="s">
        <v>388</v>
      </c>
      <c r="C9" s="30">
        <v>200</v>
      </c>
      <c r="D9" s="5" t="s">
        <v>389</v>
      </c>
      <c r="E9" s="30">
        <v>20</v>
      </c>
      <c r="F9" s="52">
        <f t="shared" si="0"/>
        <v>4000</v>
      </c>
    </row>
    <row r="10" spans="1:6" x14ac:dyDescent="0.3">
      <c r="A10" s="5">
        <v>7</v>
      </c>
      <c r="B10" s="30" t="s">
        <v>390</v>
      </c>
      <c r="C10" s="30">
        <f>300+120</f>
        <v>420</v>
      </c>
      <c r="D10" s="5" t="s">
        <v>391</v>
      </c>
      <c r="E10" s="30">
        <v>70</v>
      </c>
      <c r="F10" s="52">
        <f t="shared" si="0"/>
        <v>29400</v>
      </c>
    </row>
    <row r="11" spans="1:6" x14ac:dyDescent="0.3">
      <c r="A11" s="5">
        <v>8</v>
      </c>
      <c r="B11" s="30" t="s">
        <v>420</v>
      </c>
      <c r="C11" s="30"/>
      <c r="D11" s="30"/>
      <c r="E11" s="30"/>
      <c r="F11" s="52">
        <v>78269</v>
      </c>
    </row>
    <row r="12" spans="1:6" x14ac:dyDescent="0.3">
      <c r="A12" s="5">
        <v>9</v>
      </c>
      <c r="B12" s="30" t="s">
        <v>392</v>
      </c>
      <c r="C12" s="30">
        <v>12</v>
      </c>
      <c r="D12" s="5" t="s">
        <v>393</v>
      </c>
      <c r="E12" s="30">
        <v>6000</v>
      </c>
      <c r="F12" s="52">
        <f>C12*E12</f>
        <v>72000</v>
      </c>
    </row>
    <row r="13" spans="1:6" x14ac:dyDescent="0.3">
      <c r="A13" s="5"/>
      <c r="B13" s="30" t="s">
        <v>421</v>
      </c>
      <c r="C13" s="30"/>
      <c r="D13" s="5"/>
      <c r="E13" s="30"/>
      <c r="F13" s="52">
        <v>60000</v>
      </c>
    </row>
    <row r="14" spans="1:6" x14ac:dyDescent="0.3">
      <c r="A14" s="5">
        <v>10</v>
      </c>
      <c r="B14" s="53"/>
      <c r="C14" s="53"/>
      <c r="D14" s="53"/>
      <c r="E14" s="53"/>
      <c r="F14" s="54">
        <f>SUM(F4:F12)</f>
        <v>688049</v>
      </c>
    </row>
    <row r="15" spans="1:6" x14ac:dyDescent="0.3">
      <c r="A15" s="5">
        <v>11</v>
      </c>
      <c r="B15" s="30" t="s">
        <v>394</v>
      </c>
      <c r="C15" s="30">
        <v>154</v>
      </c>
      <c r="D15" s="5" t="s">
        <v>395</v>
      </c>
      <c r="E15" s="30">
        <v>1000</v>
      </c>
      <c r="F15" s="30">
        <f>C15*E15</f>
        <v>154000</v>
      </c>
    </row>
    <row r="16" spans="1:6" x14ac:dyDescent="0.3">
      <c r="A16" s="5">
        <v>12</v>
      </c>
      <c r="B16" s="30" t="s">
        <v>396</v>
      </c>
      <c r="C16" s="30">
        <v>6</v>
      </c>
      <c r="D16" s="5" t="s">
        <v>397</v>
      </c>
      <c r="E16" s="30">
        <v>5000</v>
      </c>
      <c r="F16" s="30">
        <f>C16*E16</f>
        <v>30000</v>
      </c>
    </row>
    <row r="17" spans="1:6" x14ac:dyDescent="0.3">
      <c r="A17" s="5">
        <v>13</v>
      </c>
      <c r="B17" s="30"/>
      <c r="C17" s="30"/>
      <c r="D17" s="30"/>
      <c r="E17" s="30"/>
      <c r="F17" s="54">
        <f>F14+F15+F16</f>
        <v>872049</v>
      </c>
    </row>
    <row r="18" spans="1:6" x14ac:dyDescent="0.3">
      <c r="A18" s="5">
        <v>14</v>
      </c>
      <c r="B18" s="30" t="s">
        <v>398</v>
      </c>
      <c r="C18" s="30"/>
      <c r="D18" s="30"/>
      <c r="E18" s="30"/>
      <c r="F18" s="52">
        <v>100000</v>
      </c>
    </row>
    <row r="19" spans="1:6" x14ac:dyDescent="0.3">
      <c r="A19" s="30"/>
      <c r="B19" s="30"/>
      <c r="C19" s="30"/>
      <c r="D19" s="30"/>
      <c r="E19" s="30"/>
      <c r="F19" s="54">
        <f>F17+F18</f>
        <v>972049</v>
      </c>
    </row>
  </sheetData>
  <mergeCells count="1">
    <mergeCell ref="A1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3CF5-1FE4-4F39-9624-5256F54A8AAB}">
  <sheetPr>
    <pageSetUpPr fitToPage="1"/>
  </sheetPr>
  <dimension ref="A1:Y44"/>
  <sheetViews>
    <sheetView topLeftCell="A13" zoomScale="80" zoomScaleNormal="80" workbookViewId="0">
      <selection activeCell="K35" sqref="K35"/>
    </sheetView>
  </sheetViews>
  <sheetFormatPr defaultRowHeight="14.4" x14ac:dyDescent="0.3"/>
  <cols>
    <col min="2" max="2" width="10.33203125" bestFit="1" customWidth="1"/>
    <col min="3" max="3" width="12.109375" bestFit="1" customWidth="1"/>
    <col min="6" max="6" width="40.44140625" bestFit="1" customWidth="1"/>
    <col min="7" max="7" width="2.77734375" customWidth="1"/>
    <col min="8" max="8" width="5.21875" bestFit="1" customWidth="1"/>
    <col min="9" max="9" width="10.33203125" bestFit="1" customWidth="1"/>
    <col min="10" max="10" width="12.109375" bestFit="1" customWidth="1"/>
    <col min="12" max="12" width="5" bestFit="1" customWidth="1"/>
    <col min="13" max="13" width="9.6640625" customWidth="1"/>
    <col min="14" max="14" width="2.77734375" customWidth="1"/>
    <col min="16" max="16" width="10.33203125" bestFit="1" customWidth="1"/>
    <col min="17" max="17" width="12.109375" bestFit="1" customWidth="1"/>
    <col min="18" max="18" width="9.88671875" bestFit="1" customWidth="1"/>
    <col min="20" max="20" width="1.5546875" customWidth="1"/>
    <col min="22" max="22" width="10.33203125" bestFit="1" customWidth="1"/>
    <col min="23" max="23" width="12.109375" bestFit="1" customWidth="1"/>
    <col min="24" max="24" width="9.88671875" bestFit="1" customWidth="1"/>
  </cols>
  <sheetData>
    <row r="1" spans="1:25" s="62" customFormat="1" ht="21" x14ac:dyDescent="0.4">
      <c r="A1" s="112" t="s">
        <v>408</v>
      </c>
      <c r="B1" s="112"/>
      <c r="C1" s="112"/>
      <c r="D1" s="112"/>
      <c r="E1" s="112"/>
      <c r="F1" s="112"/>
      <c r="G1" s="60"/>
      <c r="H1" s="60"/>
      <c r="I1" s="116" t="s">
        <v>407</v>
      </c>
      <c r="J1" s="117"/>
      <c r="K1" s="117"/>
      <c r="L1" s="117"/>
      <c r="M1" s="118"/>
      <c r="N1" s="61"/>
      <c r="O1" s="112" t="s">
        <v>356</v>
      </c>
      <c r="P1" s="112"/>
      <c r="Q1" s="112"/>
      <c r="R1" s="112"/>
      <c r="S1" s="112"/>
      <c r="T1" s="61"/>
      <c r="U1" s="112" t="s">
        <v>357</v>
      </c>
      <c r="V1" s="112"/>
      <c r="W1" s="112"/>
      <c r="X1" s="112"/>
      <c r="Y1" s="112"/>
    </row>
    <row r="2" spans="1:25" s="55" customFormat="1" x14ac:dyDescent="0.3">
      <c r="A2" s="59" t="s">
        <v>280</v>
      </c>
      <c r="B2" s="59" t="s">
        <v>2</v>
      </c>
      <c r="C2" s="59" t="s">
        <v>281</v>
      </c>
      <c r="D2" s="59" t="s">
        <v>348</v>
      </c>
      <c r="E2" s="59" t="s">
        <v>399</v>
      </c>
      <c r="F2" s="59" t="s">
        <v>345</v>
      </c>
      <c r="G2" s="59"/>
      <c r="H2" s="59" t="s">
        <v>403</v>
      </c>
      <c r="I2" s="59" t="s">
        <v>2</v>
      </c>
      <c r="J2" s="59" t="s">
        <v>281</v>
      </c>
      <c r="K2" s="59" t="s">
        <v>348</v>
      </c>
      <c r="L2" s="59" t="s">
        <v>399</v>
      </c>
      <c r="M2" s="59" t="s">
        <v>345</v>
      </c>
      <c r="N2" s="59"/>
      <c r="O2" s="59" t="s">
        <v>280</v>
      </c>
      <c r="P2" s="59" t="s">
        <v>354</v>
      </c>
      <c r="Q2" s="59" t="s">
        <v>281</v>
      </c>
      <c r="R2" s="59" t="s">
        <v>355</v>
      </c>
      <c r="S2" s="59" t="s">
        <v>345</v>
      </c>
      <c r="T2" s="59"/>
      <c r="U2" s="59" t="s">
        <v>280</v>
      </c>
      <c r="V2" s="59" t="s">
        <v>354</v>
      </c>
      <c r="W2" s="59" t="s">
        <v>281</v>
      </c>
      <c r="X2" s="59" t="s">
        <v>355</v>
      </c>
      <c r="Y2" s="59" t="s">
        <v>345</v>
      </c>
    </row>
    <row r="3" spans="1:25" x14ac:dyDescent="0.3">
      <c r="A3" s="5">
        <v>1</v>
      </c>
      <c r="B3" s="25">
        <v>46092</v>
      </c>
      <c r="C3" s="5" t="s">
        <v>344</v>
      </c>
      <c r="D3" s="5">
        <v>6</v>
      </c>
      <c r="E3" s="5" t="s">
        <v>400</v>
      </c>
      <c r="F3" s="5" t="s">
        <v>347</v>
      </c>
      <c r="G3" s="30"/>
      <c r="H3" s="5">
        <v>1</v>
      </c>
      <c r="I3" s="25">
        <v>46096</v>
      </c>
      <c r="J3" s="30" t="s">
        <v>352</v>
      </c>
      <c r="K3" s="5" t="s">
        <v>353</v>
      </c>
      <c r="L3" s="5"/>
      <c r="M3" s="30"/>
      <c r="N3" s="30"/>
      <c r="O3" s="5">
        <v>1</v>
      </c>
      <c r="P3" s="25">
        <v>46096</v>
      </c>
      <c r="Q3" s="25" t="s">
        <v>358</v>
      </c>
      <c r="R3" s="52">
        <v>2000</v>
      </c>
      <c r="S3" s="30" t="s">
        <v>347</v>
      </c>
      <c r="T3" s="30"/>
      <c r="U3" s="5">
        <v>1</v>
      </c>
      <c r="V3" s="25">
        <v>46092</v>
      </c>
      <c r="W3" s="25" t="s">
        <v>344</v>
      </c>
      <c r="X3" s="52">
        <v>4005</v>
      </c>
      <c r="Y3" s="5" t="s">
        <v>401</v>
      </c>
    </row>
    <row r="4" spans="1:25" x14ac:dyDescent="0.3">
      <c r="A4" s="5">
        <v>2</v>
      </c>
      <c r="B4" s="25">
        <v>46093</v>
      </c>
      <c r="C4" s="5" t="s">
        <v>344</v>
      </c>
      <c r="D4" s="5">
        <v>8</v>
      </c>
      <c r="E4" s="5" t="s">
        <v>400</v>
      </c>
      <c r="F4" s="5" t="s">
        <v>347</v>
      </c>
      <c r="G4" s="30"/>
      <c r="H4" s="5"/>
      <c r="I4" s="25"/>
      <c r="J4" s="30"/>
      <c r="K4" s="5"/>
      <c r="L4" s="5"/>
      <c r="M4" s="30"/>
      <c r="N4" s="30"/>
      <c r="O4" s="5">
        <v>2</v>
      </c>
      <c r="P4" s="25">
        <v>46099</v>
      </c>
      <c r="Q4" s="25" t="s">
        <v>344</v>
      </c>
      <c r="R4" s="52">
        <v>10000</v>
      </c>
      <c r="S4" s="30" t="s">
        <v>347</v>
      </c>
      <c r="T4" s="30"/>
      <c r="U4" s="5">
        <v>2</v>
      </c>
      <c r="V4" s="25">
        <v>46095</v>
      </c>
      <c r="W4" s="25" t="s">
        <v>344</v>
      </c>
      <c r="X4" s="52">
        <v>4006</v>
      </c>
      <c r="Y4" s="5" t="s">
        <v>401</v>
      </c>
    </row>
    <row r="5" spans="1:25" x14ac:dyDescent="0.3">
      <c r="A5" s="5">
        <v>3</v>
      </c>
      <c r="B5" s="25">
        <v>46094</v>
      </c>
      <c r="C5" s="5" t="s">
        <v>344</v>
      </c>
      <c r="D5" s="5">
        <v>1.5</v>
      </c>
      <c r="E5" s="5" t="s">
        <v>400</v>
      </c>
      <c r="F5" s="5" t="s">
        <v>347</v>
      </c>
      <c r="G5" s="30"/>
      <c r="H5" s="5"/>
      <c r="I5" s="25"/>
      <c r="J5" s="30"/>
      <c r="K5" s="5"/>
      <c r="L5" s="5"/>
      <c r="M5" s="30"/>
      <c r="N5" s="30"/>
      <c r="O5" s="5">
        <v>3</v>
      </c>
      <c r="P5" s="25">
        <v>46101</v>
      </c>
      <c r="Q5" s="25" t="s">
        <v>344</v>
      </c>
      <c r="R5" s="52">
        <v>1000</v>
      </c>
      <c r="S5" s="30" t="s">
        <v>347</v>
      </c>
      <c r="T5" s="30"/>
      <c r="U5" s="5">
        <v>3</v>
      </c>
      <c r="V5" s="25">
        <v>46096</v>
      </c>
      <c r="W5" s="25" t="s">
        <v>359</v>
      </c>
      <c r="X5" s="52">
        <v>2000</v>
      </c>
      <c r="Y5" s="5" t="s">
        <v>409</v>
      </c>
    </row>
    <row r="6" spans="1:25" x14ac:dyDescent="0.3">
      <c r="A6" s="5">
        <v>4</v>
      </c>
      <c r="B6" s="25">
        <v>46095</v>
      </c>
      <c r="C6" s="5" t="s">
        <v>344</v>
      </c>
      <c r="D6" s="5">
        <v>8</v>
      </c>
      <c r="E6" s="5" t="s">
        <v>400</v>
      </c>
      <c r="F6" s="5" t="s">
        <v>347</v>
      </c>
      <c r="G6" s="30"/>
      <c r="H6" s="5"/>
      <c r="I6" s="25"/>
      <c r="J6" s="30"/>
      <c r="K6" s="5"/>
      <c r="L6" s="5"/>
      <c r="M6" s="30"/>
      <c r="N6" s="30"/>
      <c r="O6" s="30"/>
      <c r="P6" s="30"/>
      <c r="Q6" s="30"/>
      <c r="R6" s="30"/>
      <c r="S6" s="30"/>
      <c r="T6" s="30"/>
      <c r="U6" s="5">
        <v>4</v>
      </c>
      <c r="V6" s="25">
        <v>46096</v>
      </c>
      <c r="W6" s="25" t="s">
        <v>344</v>
      </c>
      <c r="X6" s="52">
        <v>4505</v>
      </c>
      <c r="Y6" s="5" t="s">
        <v>401</v>
      </c>
    </row>
    <row r="7" spans="1:25" x14ac:dyDescent="0.3">
      <c r="A7" s="5">
        <v>5</v>
      </c>
      <c r="B7" s="25">
        <v>46096</v>
      </c>
      <c r="C7" s="5" t="s">
        <v>344</v>
      </c>
      <c r="D7" s="5">
        <v>8</v>
      </c>
      <c r="E7" s="5" t="s">
        <v>400</v>
      </c>
      <c r="F7" s="5" t="s">
        <v>347</v>
      </c>
      <c r="G7" s="30"/>
      <c r="H7" s="5"/>
      <c r="I7" s="25"/>
      <c r="J7" s="30"/>
      <c r="K7" s="5"/>
      <c r="L7" s="5"/>
      <c r="M7" s="30"/>
      <c r="N7" s="30"/>
      <c r="O7" s="30"/>
      <c r="P7" s="30"/>
      <c r="Q7" s="30"/>
      <c r="R7" s="30"/>
      <c r="S7" s="30"/>
      <c r="T7" s="30"/>
      <c r="U7" s="5">
        <v>5</v>
      </c>
      <c r="V7" s="25">
        <v>46099</v>
      </c>
      <c r="W7" s="25" t="s">
        <v>344</v>
      </c>
      <c r="X7" s="52">
        <v>2505</v>
      </c>
      <c r="Y7" s="5" t="s">
        <v>401</v>
      </c>
    </row>
    <row r="8" spans="1:25" x14ac:dyDescent="0.3">
      <c r="A8" s="5">
        <v>6</v>
      </c>
      <c r="B8" s="25">
        <v>46097</v>
      </c>
      <c r="C8" s="5" t="s">
        <v>344</v>
      </c>
      <c r="D8" s="5">
        <v>8</v>
      </c>
      <c r="E8" s="5" t="s">
        <v>400</v>
      </c>
      <c r="F8" s="5" t="s">
        <v>347</v>
      </c>
      <c r="G8" s="30"/>
      <c r="H8" s="5"/>
      <c r="I8" s="25"/>
      <c r="J8" s="30"/>
      <c r="K8" s="5"/>
      <c r="L8" s="5"/>
      <c r="M8" s="30"/>
      <c r="N8" s="30"/>
      <c r="O8" s="30"/>
      <c r="P8" s="30"/>
      <c r="Q8" s="30"/>
      <c r="R8" s="30"/>
      <c r="S8" s="30"/>
      <c r="T8" s="30"/>
      <c r="U8" s="5"/>
      <c r="V8" s="25"/>
      <c r="W8" s="25"/>
      <c r="X8" s="52"/>
      <c r="Y8" s="5"/>
    </row>
    <row r="9" spans="1:25" x14ac:dyDescent="0.3">
      <c r="A9" s="5">
        <v>7</v>
      </c>
      <c r="B9" s="25">
        <v>46098</v>
      </c>
      <c r="C9" s="5" t="s">
        <v>344</v>
      </c>
      <c r="D9" s="5">
        <v>8</v>
      </c>
      <c r="E9" s="5" t="s">
        <v>400</v>
      </c>
      <c r="F9" s="5" t="s">
        <v>347</v>
      </c>
      <c r="G9" s="30"/>
      <c r="H9" s="5"/>
      <c r="I9" s="25"/>
      <c r="J9" s="30"/>
      <c r="K9" s="5"/>
      <c r="L9" s="5"/>
      <c r="M9" s="30"/>
      <c r="N9" s="30"/>
      <c r="O9" s="30"/>
      <c r="P9" s="30"/>
      <c r="Q9" s="30"/>
      <c r="R9" s="30"/>
      <c r="S9" s="30"/>
      <c r="T9" s="30"/>
      <c r="U9" s="5"/>
      <c r="V9" s="25"/>
      <c r="W9" s="25"/>
      <c r="X9" s="52"/>
      <c r="Y9" s="5"/>
    </row>
    <row r="10" spans="1:25" x14ac:dyDescent="0.3">
      <c r="A10" s="5">
        <v>8</v>
      </c>
      <c r="B10" s="25">
        <v>46099</v>
      </c>
      <c r="C10" s="5" t="s">
        <v>344</v>
      </c>
      <c r="D10" s="5">
        <v>8</v>
      </c>
      <c r="E10" s="5" t="s">
        <v>400</v>
      </c>
      <c r="F10" s="5" t="s">
        <v>347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 spans="1:25" x14ac:dyDescent="0.3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spans="1:25" s="55" customFormat="1" x14ac:dyDescent="0.3">
      <c r="A12" s="113" t="s">
        <v>402</v>
      </c>
      <c r="B12" s="114"/>
      <c r="C12" s="115"/>
      <c r="D12" s="56">
        <f>SUM(D3:D10)</f>
        <v>55.5</v>
      </c>
      <c r="E12" s="57"/>
      <c r="F12" s="57"/>
      <c r="G12" s="57"/>
      <c r="H12" s="113" t="s">
        <v>404</v>
      </c>
      <c r="I12" s="114"/>
      <c r="J12" s="115"/>
      <c r="K12" s="56">
        <f>SUM(K3:K10)</f>
        <v>0</v>
      </c>
      <c r="L12" s="57"/>
      <c r="M12" s="57"/>
      <c r="N12" s="57"/>
      <c r="O12" s="113" t="s">
        <v>405</v>
      </c>
      <c r="P12" s="114"/>
      <c r="Q12" s="115"/>
      <c r="R12" s="58">
        <v>13000</v>
      </c>
      <c r="S12" s="57"/>
      <c r="T12" s="57"/>
      <c r="U12" s="113" t="s">
        <v>406</v>
      </c>
      <c r="V12" s="114"/>
      <c r="W12" s="115"/>
      <c r="X12" s="58">
        <v>17021</v>
      </c>
      <c r="Y12" s="57"/>
    </row>
    <row r="14" spans="1:25" x14ac:dyDescent="0.3">
      <c r="A14" s="109" t="s">
        <v>463</v>
      </c>
      <c r="B14" s="109"/>
      <c r="C14" s="109"/>
      <c r="D14" s="109"/>
      <c r="E14" s="109"/>
      <c r="F14" s="109"/>
    </row>
    <row r="15" spans="1:25" x14ac:dyDescent="0.3">
      <c r="A15" s="66" t="s">
        <v>403</v>
      </c>
      <c r="B15" s="66" t="s">
        <v>410</v>
      </c>
      <c r="C15" s="66" t="s">
        <v>411</v>
      </c>
      <c r="D15" s="66" t="s">
        <v>412</v>
      </c>
      <c r="E15" s="66" t="s">
        <v>413</v>
      </c>
      <c r="F15" s="66" t="s">
        <v>355</v>
      </c>
    </row>
    <row r="16" spans="1:25" x14ac:dyDescent="0.3">
      <c r="A16" s="5">
        <v>1</v>
      </c>
      <c r="B16" s="5" t="s">
        <v>344</v>
      </c>
      <c r="C16" s="5">
        <v>55.5</v>
      </c>
      <c r="D16" s="5" t="s">
        <v>400</v>
      </c>
      <c r="E16" s="64">
        <v>1000</v>
      </c>
      <c r="F16" s="64">
        <f>C16*E16</f>
        <v>55500</v>
      </c>
    </row>
    <row r="17" spans="1:25" x14ac:dyDescent="0.3">
      <c r="A17" s="110" t="s">
        <v>414</v>
      </c>
      <c r="B17" s="110"/>
      <c r="C17" s="110"/>
      <c r="D17" s="110"/>
      <c r="E17" s="110"/>
      <c r="F17" s="63">
        <f>R12</f>
        <v>13000</v>
      </c>
    </row>
    <row r="18" spans="1:25" x14ac:dyDescent="0.3">
      <c r="A18" s="110" t="s">
        <v>415</v>
      </c>
      <c r="B18" s="110"/>
      <c r="C18" s="110"/>
      <c r="D18" s="110"/>
      <c r="E18" s="110"/>
      <c r="F18" s="63">
        <f>X12</f>
        <v>17021</v>
      </c>
    </row>
    <row r="19" spans="1:25" x14ac:dyDescent="0.3">
      <c r="A19" s="111" t="s">
        <v>416</v>
      </c>
      <c r="B19" s="111"/>
      <c r="C19" s="111"/>
      <c r="D19" s="111"/>
      <c r="E19" s="111"/>
      <c r="F19" s="65">
        <f>F16-F17-F18</f>
        <v>25479</v>
      </c>
    </row>
    <row r="21" spans="1:25" s="62" customFormat="1" ht="21" x14ac:dyDescent="0.4">
      <c r="A21" s="116" t="s">
        <v>408</v>
      </c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8"/>
      <c r="N21" s="61"/>
      <c r="O21" s="112" t="s">
        <v>356</v>
      </c>
      <c r="P21" s="112"/>
      <c r="Q21" s="112"/>
      <c r="R21" s="112"/>
      <c r="S21" s="112"/>
      <c r="T21" s="61"/>
      <c r="U21" s="112" t="s">
        <v>357</v>
      </c>
      <c r="V21" s="112"/>
      <c r="W21" s="112"/>
      <c r="X21" s="112"/>
      <c r="Y21" s="112"/>
    </row>
    <row r="22" spans="1:25" s="55" customFormat="1" x14ac:dyDescent="0.3">
      <c r="A22" s="59" t="s">
        <v>280</v>
      </c>
      <c r="B22" s="59" t="s">
        <v>2</v>
      </c>
      <c r="C22" s="59" t="s">
        <v>281</v>
      </c>
      <c r="D22" s="59" t="s">
        <v>348</v>
      </c>
      <c r="E22" s="59" t="s">
        <v>399</v>
      </c>
      <c r="F22" s="119" t="s">
        <v>345</v>
      </c>
      <c r="G22" s="120"/>
      <c r="H22" s="120"/>
      <c r="I22" s="120"/>
      <c r="J22" s="120"/>
      <c r="K22" s="120"/>
      <c r="L22" s="120"/>
      <c r="M22" s="121"/>
      <c r="N22" s="59"/>
      <c r="O22" s="59" t="s">
        <v>280</v>
      </c>
      <c r="P22" s="59" t="s">
        <v>354</v>
      </c>
      <c r="Q22" s="59" t="s">
        <v>281</v>
      </c>
      <c r="R22" s="59" t="s">
        <v>355</v>
      </c>
      <c r="S22" s="59" t="s">
        <v>345</v>
      </c>
      <c r="T22" s="59"/>
      <c r="U22" s="59" t="s">
        <v>280</v>
      </c>
      <c r="V22" s="59" t="s">
        <v>354</v>
      </c>
      <c r="W22" s="59" t="s">
        <v>281</v>
      </c>
      <c r="X22" s="59" t="s">
        <v>355</v>
      </c>
      <c r="Y22" s="59" t="s">
        <v>345</v>
      </c>
    </row>
    <row r="23" spans="1:25" x14ac:dyDescent="0.3">
      <c r="A23" s="5">
        <v>1</v>
      </c>
      <c r="B23" s="25">
        <v>46157</v>
      </c>
      <c r="C23" s="5" t="s">
        <v>344</v>
      </c>
      <c r="D23" s="5">
        <v>4</v>
      </c>
      <c r="E23" s="5" t="s">
        <v>400</v>
      </c>
      <c r="F23" s="105"/>
      <c r="G23" s="106"/>
      <c r="H23" s="106"/>
      <c r="I23" s="106"/>
      <c r="J23" s="106"/>
      <c r="K23" s="106"/>
      <c r="L23" s="106"/>
      <c r="M23" s="107"/>
      <c r="N23" s="30"/>
      <c r="O23" s="5">
        <v>1</v>
      </c>
      <c r="P23" s="25">
        <v>46139</v>
      </c>
      <c r="Q23" s="25" t="s">
        <v>356</v>
      </c>
      <c r="R23" s="52">
        <v>10000</v>
      </c>
      <c r="S23" s="30"/>
      <c r="T23" s="30"/>
      <c r="U23" s="5">
        <v>1</v>
      </c>
      <c r="V23" s="25">
        <v>46157</v>
      </c>
      <c r="W23" s="25" t="s">
        <v>344</v>
      </c>
      <c r="X23" s="52">
        <v>2000</v>
      </c>
      <c r="Y23" s="5"/>
    </row>
    <row r="24" spans="1:25" x14ac:dyDescent="0.3">
      <c r="A24" s="5">
        <v>2</v>
      </c>
      <c r="B24" s="25">
        <v>46158</v>
      </c>
      <c r="C24" s="5" t="s">
        <v>344</v>
      </c>
      <c r="D24" s="70">
        <v>10.5</v>
      </c>
      <c r="E24" s="5" t="s">
        <v>400</v>
      </c>
      <c r="F24" s="105" t="s">
        <v>457</v>
      </c>
      <c r="G24" s="106"/>
      <c r="H24" s="106"/>
      <c r="I24" s="106"/>
      <c r="J24" s="106"/>
      <c r="K24" s="106"/>
      <c r="L24" s="106"/>
      <c r="M24" s="107"/>
      <c r="N24" s="30"/>
      <c r="O24" s="5">
        <v>2</v>
      </c>
      <c r="P24" s="25">
        <v>46166</v>
      </c>
      <c r="Q24" s="25" t="s">
        <v>356</v>
      </c>
      <c r="R24" s="52">
        <v>10000</v>
      </c>
      <c r="S24" s="30"/>
      <c r="T24" s="30"/>
      <c r="U24" s="5">
        <v>2</v>
      </c>
      <c r="V24" s="25">
        <v>46158</v>
      </c>
      <c r="W24" s="25" t="s">
        <v>344</v>
      </c>
      <c r="X24" s="52">
        <v>4902</v>
      </c>
      <c r="Y24" s="5"/>
    </row>
    <row r="25" spans="1:25" x14ac:dyDescent="0.3">
      <c r="A25" s="5">
        <v>3</v>
      </c>
      <c r="B25" s="25">
        <v>46160</v>
      </c>
      <c r="C25" s="5" t="s">
        <v>344</v>
      </c>
      <c r="D25" s="5">
        <v>7</v>
      </c>
      <c r="E25" s="5" t="s">
        <v>400</v>
      </c>
      <c r="F25" s="105" t="s">
        <v>458</v>
      </c>
      <c r="G25" s="106"/>
      <c r="H25" s="106"/>
      <c r="I25" s="106"/>
      <c r="J25" s="106"/>
      <c r="K25" s="106"/>
      <c r="L25" s="106"/>
      <c r="M25" s="107"/>
      <c r="N25" s="30"/>
      <c r="O25" s="5">
        <v>3</v>
      </c>
      <c r="P25" s="25">
        <v>46179</v>
      </c>
      <c r="Q25" s="25" t="s">
        <v>356</v>
      </c>
      <c r="R25" s="52">
        <v>10000</v>
      </c>
      <c r="S25" s="30"/>
      <c r="T25" s="30"/>
      <c r="U25" s="5">
        <v>3</v>
      </c>
      <c r="V25" s="25">
        <v>46160</v>
      </c>
      <c r="W25" s="25" t="s">
        <v>344</v>
      </c>
      <c r="X25" s="52">
        <v>2000</v>
      </c>
      <c r="Y25" s="5"/>
    </row>
    <row r="26" spans="1:25" x14ac:dyDescent="0.3">
      <c r="A26" s="5">
        <v>4</v>
      </c>
      <c r="B26" s="25">
        <v>46161</v>
      </c>
      <c r="C26" s="5" t="s">
        <v>344</v>
      </c>
      <c r="D26" s="70">
        <v>7.5</v>
      </c>
      <c r="E26" s="5" t="s">
        <v>400</v>
      </c>
      <c r="F26" s="105" t="s">
        <v>459</v>
      </c>
      <c r="G26" s="106"/>
      <c r="H26" s="106"/>
      <c r="I26" s="106"/>
      <c r="J26" s="106"/>
      <c r="K26" s="106"/>
      <c r="L26" s="106"/>
      <c r="M26" s="107"/>
      <c r="N26" s="30"/>
      <c r="O26" s="5">
        <v>4</v>
      </c>
      <c r="P26" s="25">
        <v>46181</v>
      </c>
      <c r="Q26" s="30" t="s">
        <v>356</v>
      </c>
      <c r="R26" s="52">
        <v>15000</v>
      </c>
      <c r="S26" s="30"/>
      <c r="T26" s="30"/>
      <c r="U26" s="5">
        <v>4</v>
      </c>
      <c r="V26" s="25">
        <v>46161</v>
      </c>
      <c r="W26" s="25" t="s">
        <v>344</v>
      </c>
      <c r="X26" s="52">
        <v>2702</v>
      </c>
      <c r="Y26" s="5"/>
    </row>
    <row r="27" spans="1:25" x14ac:dyDescent="0.3">
      <c r="A27" s="5">
        <v>5</v>
      </c>
      <c r="B27" s="25">
        <v>46162</v>
      </c>
      <c r="C27" s="5" t="s">
        <v>344</v>
      </c>
      <c r="D27" s="5">
        <v>8</v>
      </c>
      <c r="E27" s="5" t="s">
        <v>400</v>
      </c>
      <c r="F27" s="105" t="s">
        <v>460</v>
      </c>
      <c r="G27" s="106"/>
      <c r="H27" s="106"/>
      <c r="I27" s="106"/>
      <c r="J27" s="106"/>
      <c r="K27" s="106"/>
      <c r="L27" s="106"/>
      <c r="M27" s="107"/>
      <c r="N27" s="30"/>
      <c r="O27" s="30"/>
      <c r="P27" s="30"/>
      <c r="Q27" s="30"/>
      <c r="R27" s="30"/>
      <c r="S27" s="30"/>
      <c r="T27" s="30"/>
      <c r="U27" s="5">
        <v>5</v>
      </c>
      <c r="V27" s="25">
        <v>46162</v>
      </c>
      <c r="W27" s="25" t="s">
        <v>344</v>
      </c>
      <c r="X27" s="52">
        <v>4000</v>
      </c>
      <c r="Y27" s="5"/>
    </row>
    <row r="28" spans="1:25" x14ac:dyDescent="0.3">
      <c r="A28" s="5">
        <v>6</v>
      </c>
      <c r="B28" s="25">
        <v>46163</v>
      </c>
      <c r="C28" s="5" t="s">
        <v>344</v>
      </c>
      <c r="D28" s="70">
        <v>2.5</v>
      </c>
      <c r="E28" s="5" t="s">
        <v>400</v>
      </c>
      <c r="F28" s="105" t="s">
        <v>461</v>
      </c>
      <c r="G28" s="106"/>
      <c r="H28" s="106"/>
      <c r="I28" s="106"/>
      <c r="J28" s="106"/>
      <c r="K28" s="106"/>
      <c r="L28" s="106"/>
      <c r="M28" s="107"/>
      <c r="N28" s="30"/>
      <c r="O28" s="30"/>
      <c r="P28" s="30"/>
      <c r="Q28" s="30"/>
      <c r="R28" s="30"/>
      <c r="S28" s="30"/>
      <c r="T28" s="30"/>
      <c r="U28" s="5">
        <v>6</v>
      </c>
      <c r="V28" s="25">
        <v>46164</v>
      </c>
      <c r="W28" s="25" t="s">
        <v>344</v>
      </c>
      <c r="X28" s="52">
        <v>2202</v>
      </c>
      <c r="Y28" s="5"/>
    </row>
    <row r="29" spans="1:25" x14ac:dyDescent="0.3">
      <c r="A29" s="5">
        <v>7</v>
      </c>
      <c r="B29" s="25">
        <v>46164</v>
      </c>
      <c r="C29" s="5" t="s">
        <v>344</v>
      </c>
      <c r="D29" s="5">
        <v>5</v>
      </c>
      <c r="E29" s="5" t="s">
        <v>400</v>
      </c>
      <c r="F29" s="105" t="s">
        <v>462</v>
      </c>
      <c r="G29" s="106"/>
      <c r="H29" s="106"/>
      <c r="I29" s="106"/>
      <c r="J29" s="106"/>
      <c r="K29" s="106"/>
      <c r="L29" s="106"/>
      <c r="M29" s="107"/>
      <c r="N29" s="30"/>
      <c r="O29" s="30"/>
      <c r="P29" s="30"/>
      <c r="Q29" s="30"/>
      <c r="R29" s="30"/>
      <c r="S29" s="30"/>
      <c r="T29" s="30"/>
      <c r="U29" s="5">
        <v>7</v>
      </c>
      <c r="V29" s="25">
        <v>46172</v>
      </c>
      <c r="W29" s="25" t="s">
        <v>344</v>
      </c>
      <c r="X29" s="52">
        <v>2420</v>
      </c>
      <c r="Y29" s="5"/>
    </row>
    <row r="30" spans="1:25" x14ac:dyDescent="0.3">
      <c r="A30" s="5">
        <v>8</v>
      </c>
      <c r="B30" s="25">
        <v>46172</v>
      </c>
      <c r="C30" s="5" t="s">
        <v>344</v>
      </c>
      <c r="D30" s="5">
        <v>7.5</v>
      </c>
      <c r="E30" s="5" t="s">
        <v>400</v>
      </c>
      <c r="F30" s="105" t="s">
        <v>458</v>
      </c>
      <c r="G30" s="106"/>
      <c r="H30" s="106"/>
      <c r="I30" s="106"/>
      <c r="J30" s="106"/>
      <c r="K30" s="106"/>
      <c r="L30" s="106"/>
      <c r="M30" s="107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</row>
    <row r="31" spans="1:25" x14ac:dyDescent="0.3">
      <c r="A31" s="5"/>
      <c r="B31" s="25"/>
      <c r="C31" s="30"/>
      <c r="D31" s="5"/>
      <c r="E31" s="5"/>
      <c r="F31" s="105"/>
      <c r="G31" s="106"/>
      <c r="H31" s="106"/>
      <c r="I31" s="106"/>
      <c r="J31" s="106"/>
      <c r="K31" s="106"/>
      <c r="L31" s="106"/>
      <c r="M31" s="107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 spans="1:25" s="55" customFormat="1" x14ac:dyDescent="0.3">
      <c r="A32" s="113" t="s">
        <v>402</v>
      </c>
      <c r="B32" s="114"/>
      <c r="C32" s="115"/>
      <c r="D32" s="56">
        <f>SUM(D23:D31)</f>
        <v>52</v>
      </c>
      <c r="E32" s="57"/>
      <c r="F32" s="113"/>
      <c r="G32" s="114"/>
      <c r="H32" s="114"/>
      <c r="I32" s="114"/>
      <c r="J32" s="114"/>
      <c r="K32" s="114"/>
      <c r="L32" s="114"/>
      <c r="M32" s="115"/>
      <c r="N32" s="57"/>
      <c r="O32" s="113" t="s">
        <v>405</v>
      </c>
      <c r="P32" s="114"/>
      <c r="Q32" s="115"/>
      <c r="R32" s="58">
        <v>45000</v>
      </c>
      <c r="S32" s="57"/>
      <c r="T32" s="57"/>
      <c r="U32" s="113" t="s">
        <v>406</v>
      </c>
      <c r="V32" s="114"/>
      <c r="W32" s="115"/>
      <c r="X32" s="58">
        <v>20226</v>
      </c>
      <c r="Y32" s="57"/>
    </row>
    <row r="34" spans="1:25" x14ac:dyDescent="0.3">
      <c r="A34" s="109" t="s">
        <v>464</v>
      </c>
      <c r="B34" s="109"/>
      <c r="C34" s="109"/>
      <c r="D34" s="109"/>
      <c r="E34" s="109"/>
      <c r="F34" s="109"/>
    </row>
    <row r="35" spans="1:25" x14ac:dyDescent="0.3">
      <c r="A35" s="66" t="s">
        <v>403</v>
      </c>
      <c r="B35" s="66" t="s">
        <v>410</v>
      </c>
      <c r="C35" s="66" t="s">
        <v>411</v>
      </c>
      <c r="D35" s="66" t="s">
        <v>412</v>
      </c>
      <c r="E35" s="66" t="s">
        <v>413</v>
      </c>
      <c r="F35" s="66" t="s">
        <v>355</v>
      </c>
    </row>
    <row r="36" spans="1:25" x14ac:dyDescent="0.3">
      <c r="A36" s="5">
        <v>1</v>
      </c>
      <c r="B36" s="5" t="s">
        <v>344</v>
      </c>
      <c r="C36" s="5">
        <v>52</v>
      </c>
      <c r="D36" s="5" t="s">
        <v>400</v>
      </c>
      <c r="E36" s="64">
        <v>1000</v>
      </c>
      <c r="F36" s="64">
        <f>C36*E36</f>
        <v>52000</v>
      </c>
    </row>
    <row r="37" spans="1:25" x14ac:dyDescent="0.3">
      <c r="A37" s="110" t="s">
        <v>414</v>
      </c>
      <c r="B37" s="110"/>
      <c r="C37" s="110"/>
      <c r="D37" s="110"/>
      <c r="E37" s="110"/>
      <c r="F37" s="63">
        <f>R32</f>
        <v>45000</v>
      </c>
    </row>
    <row r="38" spans="1:25" x14ac:dyDescent="0.3">
      <c r="A38" s="110" t="s">
        <v>415</v>
      </c>
      <c r="B38" s="110"/>
      <c r="C38" s="110"/>
      <c r="D38" s="110"/>
      <c r="E38" s="110"/>
      <c r="F38" s="63">
        <f>X32</f>
        <v>20226</v>
      </c>
    </row>
    <row r="39" spans="1:25" x14ac:dyDescent="0.3">
      <c r="A39" s="111" t="s">
        <v>416</v>
      </c>
      <c r="B39" s="111"/>
      <c r="C39" s="111"/>
      <c r="D39" s="111"/>
      <c r="E39" s="111"/>
      <c r="F39" s="65">
        <f>F36-F37-F38</f>
        <v>-13226</v>
      </c>
    </row>
    <row r="42" spans="1:25" x14ac:dyDescent="0.3">
      <c r="A42" s="108" t="s">
        <v>465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</row>
    <row r="43" spans="1:25" x14ac:dyDescent="0.3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</row>
    <row r="44" spans="1:25" x14ac:dyDescent="0.3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</row>
  </sheetData>
  <mergeCells count="34">
    <mergeCell ref="O1:S1"/>
    <mergeCell ref="U1:Y1"/>
    <mergeCell ref="A12:C12"/>
    <mergeCell ref="H12:J12"/>
    <mergeCell ref="O12:Q12"/>
    <mergeCell ref="U12:W12"/>
    <mergeCell ref="I1:M1"/>
    <mergeCell ref="A14:F14"/>
    <mergeCell ref="A17:E17"/>
    <mergeCell ref="A18:E18"/>
    <mergeCell ref="A19:E19"/>
    <mergeCell ref="A1:F1"/>
    <mergeCell ref="O21:S21"/>
    <mergeCell ref="U21:Y21"/>
    <mergeCell ref="A32:C32"/>
    <mergeCell ref="O32:Q32"/>
    <mergeCell ref="U32:W32"/>
    <mergeCell ref="F32:M32"/>
    <mergeCell ref="F26:M26"/>
    <mergeCell ref="F27:M27"/>
    <mergeCell ref="F28:M28"/>
    <mergeCell ref="F29:M29"/>
    <mergeCell ref="F30:M30"/>
    <mergeCell ref="A21:M21"/>
    <mergeCell ref="F22:M22"/>
    <mergeCell ref="F23:M23"/>
    <mergeCell ref="F24:M24"/>
    <mergeCell ref="F25:M25"/>
    <mergeCell ref="A42:Y44"/>
    <mergeCell ref="A34:F34"/>
    <mergeCell ref="A37:E37"/>
    <mergeCell ref="A38:E38"/>
    <mergeCell ref="A39:E39"/>
    <mergeCell ref="F31:M31"/>
  </mergeCells>
  <phoneticPr fontId="8" type="noConversion"/>
  <pageMargins left="0.70866141732283472" right="0.70866141732283472" top="0.74803149606299213" bottom="0.74803149606299213" header="0.31496062992125984" footer="0.31496062992125984"/>
  <pageSetup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LABOUR</vt:lpstr>
      <vt:lpstr>CEMENT</vt:lpstr>
      <vt:lpstr>TMT</vt:lpstr>
      <vt:lpstr>SAND</vt:lpstr>
      <vt:lpstr>STONE</vt:lpstr>
      <vt:lpstr>BRICKS</vt:lpstr>
      <vt:lpstr>Sheet1</vt:lpstr>
      <vt:lpstr>NEW</vt:lpstr>
      <vt:lpstr>Sheet3</vt:lpstr>
      <vt:lpstr>Sheet2</vt:lpstr>
      <vt:lpstr>JCB WORK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Md Junaid Islam seikh</cp:lastModifiedBy>
  <cp:lastPrinted>2026-06-03T09:09:32Z</cp:lastPrinted>
  <dcterms:created xsi:type="dcterms:W3CDTF">2022-06-28T05:08:23Z</dcterms:created>
  <dcterms:modified xsi:type="dcterms:W3CDTF">2026-06-18T05:53:08Z</dcterms:modified>
</cp:coreProperties>
</file>