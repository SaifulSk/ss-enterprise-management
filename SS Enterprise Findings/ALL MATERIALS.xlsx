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a768f2b66d3ccfa/Desktop/SANJU WORK/Baba Tracon Pvt Ltd/"/>
    </mc:Choice>
  </mc:AlternateContent>
  <xr:revisionPtr revIDLastSave="1698" documentId="8_{1D4F0F94-D090-46A0-9A1D-3E44C075A2A0}" xr6:coauthVersionLast="47" xr6:coauthVersionMax="47" xr10:uidLastSave="{0CEF8D22-AF62-428D-8D8C-2A35E50084ED}"/>
  <bookViews>
    <workbookView xWindow="-108" yWindow="-108" windowWidth="23256" windowHeight="12456" activeTab="5" xr2:uid="{09A3D19E-D11C-4376-B263-16E9D0CFE19E}"/>
  </bookViews>
  <sheets>
    <sheet name="LAB" sheetId="2" r:id="rId1"/>
    <sheet name="ALL" sheetId="1" r:id="rId2"/>
    <sheet name="IRON" sheetId="3" r:id="rId3"/>
    <sheet name="COLOUR" sheetId="4" r:id="rId4"/>
    <sheet name="Sheet3" sheetId="5" r:id="rId5"/>
    <sheet name="Sheet1" sheetId="6" r:id="rId6"/>
    <sheet name="Sheet2" sheetId="7" r:id="rId7"/>
  </sheets>
  <definedNames>
    <definedName name="_xlnm._FilterDatabase" localSheetId="1" hidden="1">ALL!$A$3:$G$135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2" i="6" l="1"/>
  <c r="F12" i="6" s="1"/>
  <c r="F9" i="6"/>
  <c r="L25" i="4"/>
  <c r="L11" i="1"/>
  <c r="F23" i="6"/>
  <c r="K85" i="6"/>
  <c r="K86" i="6" s="1"/>
  <c r="L85" i="6"/>
  <c r="M85" i="6"/>
  <c r="N85" i="6"/>
  <c r="O85" i="6"/>
  <c r="E16" i="7"/>
  <c r="E10" i="7"/>
  <c r="E9" i="7"/>
  <c r="E7" i="7"/>
  <c r="E4" i="7"/>
  <c r="E8" i="7"/>
  <c r="E5" i="7"/>
  <c r="G26" i="3" l="1"/>
  <c r="K26" i="3"/>
  <c r="L26" i="3"/>
  <c r="L25" i="3"/>
  <c r="J25" i="3"/>
  <c r="K25" i="3" s="1"/>
  <c r="J24" i="3"/>
  <c r="S45" i="6" l="1"/>
  <c r="S44" i="6"/>
  <c r="S43" i="6"/>
  <c r="S42" i="6"/>
  <c r="W41" i="6"/>
  <c r="S47" i="6" s="1"/>
  <c r="K91" i="6"/>
  <c r="K89" i="6"/>
  <c r="K88" i="6"/>
  <c r="K87" i="6"/>
  <c r="K45" i="6"/>
  <c r="K44" i="6"/>
  <c r="O41" i="6"/>
  <c r="K47" i="6" s="1"/>
  <c r="K43" i="6"/>
  <c r="K42" i="6"/>
  <c r="S46" i="6" l="1"/>
  <c r="S48" i="6" s="1"/>
  <c r="K90" i="6"/>
  <c r="K92" i="6" s="1"/>
  <c r="K46" i="6"/>
  <c r="K48" i="6" s="1"/>
  <c r="F19" i="6" l="1"/>
  <c r="F15" i="6"/>
  <c r="D14" i="6"/>
  <c r="F14" i="6" s="1"/>
  <c r="D13" i="6"/>
  <c r="F13" i="6" s="1"/>
  <c r="F5" i="6"/>
  <c r="F4" i="6"/>
  <c r="F3" i="6"/>
  <c r="G37" i="4"/>
  <c r="G11" i="4"/>
  <c r="G38" i="4" s="1"/>
  <c r="L7" i="3"/>
  <c r="J23" i="3"/>
  <c r="J22" i="3"/>
  <c r="J21" i="3"/>
  <c r="J20" i="3"/>
  <c r="J19" i="3"/>
  <c r="J18" i="3"/>
  <c r="J17" i="3"/>
  <c r="J16" i="3"/>
  <c r="J15" i="3"/>
  <c r="J14" i="3"/>
  <c r="J13" i="3"/>
  <c r="J12" i="3"/>
  <c r="J11" i="3"/>
  <c r="K11" i="3" s="1"/>
  <c r="L11" i="3" s="1"/>
  <c r="J10" i="3"/>
  <c r="K10" i="3" s="1"/>
  <c r="L10" i="3" s="1"/>
  <c r="F24" i="6" l="1"/>
  <c r="G94" i="1"/>
  <c r="G88" i="1"/>
  <c r="G87" i="1"/>
  <c r="G86" i="1"/>
  <c r="O64" i="1"/>
  <c r="G70" i="1" l="1"/>
  <c r="G72" i="1"/>
  <c r="G71" i="1"/>
  <c r="G37" i="1"/>
  <c r="G22" i="1"/>
  <c r="G17" i="1"/>
  <c r="G16" i="1"/>
  <c r="G15" i="1"/>
  <c r="G11" i="1"/>
  <c r="G10" i="1"/>
  <c r="G9" i="1"/>
  <c r="G8" i="1"/>
  <c r="G7" i="1"/>
  <c r="G4" i="1"/>
  <c r="G1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tc={D156B378-D822-4CC5-A23F-F33B1AC2573B}</author>
  </authors>
  <commentList>
    <comment ref="D22" authorId="0" shapeId="0" xr:uid="{D156B378-D822-4CC5-A23F-F33B1AC2573B}">
      <text>
        <t>[Threaded comment]
Your version of Excel allows you to read this threaded comment; however, any edits to it will get removed if the file is opened in a newer version of Excel. Learn more: https://go.microsoft.com/fwlink/?linkid=870924
Comment:
    20/03/26-1NOS &amp; 6/4/26 - 2 NOS</t>
      </text>
    </comment>
  </commentList>
</comments>
</file>

<file path=xl/sharedStrings.xml><?xml version="1.0" encoding="utf-8"?>
<sst xmlns="http://schemas.openxmlformats.org/spreadsheetml/2006/main" count="867" uniqueCount="255">
  <si>
    <t>SL NO</t>
  </si>
  <si>
    <t xml:space="preserve">Description </t>
  </si>
  <si>
    <t xml:space="preserve">UNIT </t>
  </si>
  <si>
    <t>QTY</t>
  </si>
  <si>
    <t>REMARKS</t>
  </si>
  <si>
    <t xml:space="preserve">DESCRIPTION </t>
  </si>
  <si>
    <t>HEAD</t>
  </si>
  <si>
    <t>DATE</t>
  </si>
  <si>
    <t xml:space="preserve">SP TO PEN </t>
  </si>
  <si>
    <t>BAG</t>
  </si>
  <si>
    <t>MATERIALS</t>
  </si>
  <si>
    <t>SAND</t>
  </si>
  <si>
    <t>JAIL</t>
  </si>
  <si>
    <t>COLOUM</t>
  </si>
  <si>
    <t>NOS</t>
  </si>
  <si>
    <t>STONE</t>
  </si>
  <si>
    <t>SARFUDDIN,SUBID,PRADIP L -1, PRALLAD L-2</t>
  </si>
  <si>
    <t>SARFUDDIN,SUBID,PRADIP M-1 L -1, PRALLAD L-2</t>
  </si>
  <si>
    <t>SARFUDDIN,SABIR</t>
  </si>
  <si>
    <t>SABIR,PRALLAD L - 2</t>
  </si>
  <si>
    <t>PURCHASE</t>
  </si>
  <si>
    <t>CEMENT</t>
  </si>
  <si>
    <t>PRALLAD L - 2</t>
  </si>
  <si>
    <t>KUYA OPENING</t>
  </si>
  <si>
    <t>SARFUDDIN,SUBID</t>
  </si>
  <si>
    <t xml:space="preserve">SARFUDDIN,SUBID,MAFIJUL IRON </t>
  </si>
  <si>
    <t>MAFIJUL L-2</t>
  </si>
  <si>
    <t>WELDING ROD</t>
  </si>
  <si>
    <t>PCS</t>
  </si>
  <si>
    <t>MAFIJUL L-2,SARFUDDIN,SUBID,PRALLAD L-1</t>
  </si>
  <si>
    <t>SARFUDDIN,SUBID,MAFIJUL L-5</t>
  </si>
  <si>
    <t>CUTTING BLADE</t>
  </si>
  <si>
    <t>PRALLAD L - 4</t>
  </si>
  <si>
    <t>HAND GLOVES</t>
  </si>
  <si>
    <t>HOLDER</t>
  </si>
  <si>
    <t>MAFIJUL L-4</t>
  </si>
  <si>
    <t xml:space="preserve">TARPIN </t>
  </si>
  <si>
    <t>LTR</t>
  </si>
  <si>
    <t>PRIMER</t>
  </si>
  <si>
    <t xml:space="preserve">PLY </t>
  </si>
  <si>
    <t xml:space="preserve">SS OFFICE TO PEN </t>
  </si>
  <si>
    <t>PLATE 8X4</t>
  </si>
  <si>
    <t>OXYGEN</t>
  </si>
  <si>
    <t>MAFIJUL L-3</t>
  </si>
  <si>
    <t>BRUSH</t>
  </si>
  <si>
    <t xml:space="preserve">ROLLAR </t>
  </si>
  <si>
    <t xml:space="preserve">FAS NUT </t>
  </si>
  <si>
    <t xml:space="preserve">NUT BOLT </t>
  </si>
  <si>
    <t>NO</t>
  </si>
  <si>
    <t>LAB</t>
  </si>
  <si>
    <t>MATERIAL</t>
  </si>
  <si>
    <t>COLOUR</t>
  </si>
  <si>
    <t>SAIFUDDIN,AKRAM,MAFIJUL 2</t>
  </si>
  <si>
    <t>HILTY  GUM</t>
  </si>
  <si>
    <t xml:space="preserve">HILTY GUN </t>
  </si>
  <si>
    <t>SAIFUDDIN,MAFIJUL 2</t>
  </si>
  <si>
    <t>PRALLAD M-1,L-2</t>
  </si>
  <si>
    <t xml:space="preserve">HAMMER DRILL </t>
  </si>
  <si>
    <t xml:space="preserve">SAMPLE COLOUR </t>
  </si>
  <si>
    <t>HESCO BLADE</t>
  </si>
  <si>
    <t>PRALLAD M-1,L-3,SADDAM+1</t>
  </si>
  <si>
    <t>12MM WASHER</t>
  </si>
  <si>
    <t>KGS</t>
  </si>
  <si>
    <t xml:space="preserve">SELAI RANCH </t>
  </si>
  <si>
    <t xml:space="preserve">WATER LEVEL </t>
  </si>
  <si>
    <t>HYDRA</t>
  </si>
  <si>
    <t>PRALLAD M-1,L-6,BODRU</t>
  </si>
  <si>
    <t>TESTER</t>
  </si>
  <si>
    <t>AMARESH,AKRAM,BODRU</t>
  </si>
  <si>
    <t>AMARESH,AKRAM,PRALLAD M-1,L-5</t>
  </si>
  <si>
    <t>AMARESH,AKRAM,PRALLAD L-3</t>
  </si>
  <si>
    <t>AMARESH,PRALLAD L-3,MAFIJUL 1</t>
  </si>
  <si>
    <t xml:space="preserve">GLASS </t>
  </si>
  <si>
    <t>GLOVES</t>
  </si>
  <si>
    <t>HADGL</t>
  </si>
  <si>
    <t>AMARESH,PRALLAD L-3,AKRAM</t>
  </si>
  <si>
    <t xml:space="preserve">COLOUR MAL </t>
  </si>
  <si>
    <t>NOZEL</t>
  </si>
  <si>
    <t>JATA FIRE</t>
  </si>
  <si>
    <t>H/W MATERILAS</t>
  </si>
  <si>
    <t>KAMAL+1,AKRAM</t>
  </si>
  <si>
    <t>KAMAL+1,AKRAM,PRALLAD L-2</t>
  </si>
  <si>
    <t>PUTTY</t>
  </si>
  <si>
    <t>Akram</t>
  </si>
  <si>
    <t>off</t>
  </si>
  <si>
    <t>bodu</t>
  </si>
  <si>
    <t>Amaresh+2,kamal+2,bodu</t>
  </si>
  <si>
    <t>kamal+1,Akram</t>
  </si>
  <si>
    <t>Amaresh+1,Akram,kamal+1,greenply Mason -2</t>
  </si>
  <si>
    <t xml:space="preserve">Yellow Granding </t>
  </si>
  <si>
    <t>Head Skin</t>
  </si>
  <si>
    <t>3/64 Nozel</t>
  </si>
  <si>
    <t>Granding Wheel</t>
  </si>
  <si>
    <t>SKIN</t>
  </si>
  <si>
    <t xml:space="preserve">CABLE HOLDER </t>
  </si>
  <si>
    <t>HAMMER - 5KG</t>
  </si>
  <si>
    <t>Amaresh+2,kamal+1,prallad L-1</t>
  </si>
  <si>
    <t>24X26 RANGE</t>
  </si>
  <si>
    <t>16X17 RANGE</t>
  </si>
  <si>
    <t xml:space="preserve">7/8 1" WASHER </t>
  </si>
  <si>
    <t>Amit babu</t>
  </si>
  <si>
    <t xml:space="preserve">8"x8" - 6mm plate </t>
  </si>
  <si>
    <t>ACP SHEET 8X4</t>
  </si>
  <si>
    <t>ACP SHEET 12X4</t>
  </si>
  <si>
    <t>HINGE</t>
  </si>
  <si>
    <t xml:space="preserve">6MM PLATE </t>
  </si>
  <si>
    <t xml:space="preserve">SR. NO </t>
  </si>
  <si>
    <t>INVOICE NO</t>
  </si>
  <si>
    <t>HSN/SAC</t>
  </si>
  <si>
    <t xml:space="preserve">PRODUCT </t>
  </si>
  <si>
    <t>UNIT</t>
  </si>
  <si>
    <t>RATE</t>
  </si>
  <si>
    <t>AMOUNT</t>
  </si>
  <si>
    <t>TOTAL</t>
  </si>
  <si>
    <t xml:space="preserve">TOTAL WITH GST ( 9% + 9%) </t>
  </si>
  <si>
    <t>SITE</t>
  </si>
  <si>
    <t>Kgs</t>
  </si>
  <si>
    <t>JOIST/BEAM 200/100</t>
  </si>
  <si>
    <t>3532/25-26</t>
  </si>
  <si>
    <t>BABA  TRACON</t>
  </si>
  <si>
    <t>JOIST/BEAM/NPB (80MM ABOVE) 200/100</t>
  </si>
  <si>
    <t>ANGLE (50 X 50 X 6/5)</t>
  </si>
  <si>
    <t>CHANNEL (HEIGHT 80MM BELOW) 200 X 75</t>
  </si>
  <si>
    <t>3543/25-26</t>
  </si>
  <si>
    <t>PLATE 20MM (10.1MM ABOVE)</t>
  </si>
  <si>
    <t>PLATE 12MM (10.1MM ABOVE)</t>
  </si>
  <si>
    <t>PLATE,COIL (CTP) [ 4.75MM TO 10 MM)</t>
  </si>
  <si>
    <t>41/26-27</t>
  </si>
  <si>
    <t>PLATE 8MM (4.75 TO 10MM)</t>
  </si>
  <si>
    <t>194/26-27</t>
  </si>
  <si>
    <t>Pipe 90 OD</t>
  </si>
  <si>
    <t>208/26-27</t>
  </si>
  <si>
    <t>Plate 6mm (4.75 to 10 mm)</t>
  </si>
  <si>
    <t>Baba Tracon</t>
  </si>
  <si>
    <t>Plate 12mm (4.75 to 10 mm)</t>
  </si>
  <si>
    <t>263/26-27</t>
  </si>
  <si>
    <t>Joist Beam (125 x 65) (Below 80mm)</t>
  </si>
  <si>
    <t>Square Bar (40X40)</t>
  </si>
  <si>
    <t>305/26-27</t>
  </si>
  <si>
    <t xml:space="preserve">Baba Tracon </t>
  </si>
  <si>
    <t>Pipe 16MM (40X40)</t>
  </si>
  <si>
    <t>344/26-27</t>
  </si>
  <si>
    <t>Pip (60X60)</t>
  </si>
  <si>
    <t>Angle (75X75X6)</t>
  </si>
  <si>
    <t>356/26-27</t>
  </si>
  <si>
    <t>Plate 16mm (10.1 mm Above)</t>
  </si>
  <si>
    <t>Pipe (40X40X1.6)</t>
  </si>
  <si>
    <t xml:space="preserve">BABA  TRACON (MAFIJUL WORK SHOP) </t>
  </si>
  <si>
    <t>BABA TRACON</t>
  </si>
  <si>
    <t xml:space="preserve"> BABA TRACON</t>
  </si>
  <si>
    <t>Joist / Beam (200X100)</t>
  </si>
  <si>
    <t xml:space="preserve">TOTAL : </t>
  </si>
  <si>
    <t xml:space="preserve">DESCRIPTION OF WORK </t>
  </si>
  <si>
    <t xml:space="preserve">DISMANTLING FLOOR FOR PIPE LINE </t>
  </si>
  <si>
    <t xml:space="preserve">FLOOR PCC </t>
  </si>
  <si>
    <t>RFT</t>
  </si>
  <si>
    <t>SQFT</t>
  </si>
  <si>
    <t>COLOUR WORK (APPROX AREA -11000 SQFT)</t>
  </si>
  <si>
    <t>PARTITION WORK</t>
  </si>
  <si>
    <t>OVER HEAD CRAIN WORK</t>
  </si>
  <si>
    <t xml:space="preserve">RUBBISH SHIFTING WORK </t>
  </si>
  <si>
    <t>Amaresh+1,Akram,kamal+1,greenply Mason -2,MIZANUR L-1,SAMSUDDIN</t>
  </si>
  <si>
    <t>Amaresh,Akram,kamal+1,SAIFUDDIN,SUDHIR</t>
  </si>
  <si>
    <t>KAMAL+1,AKRAM,SAIFUDDIN,SUDHIR,PRALLAD L-2</t>
  </si>
  <si>
    <t>DESCRIPTION</t>
  </si>
  <si>
    <t xml:space="preserve">TOTAL CIVIL LAB </t>
  </si>
  <si>
    <t>TOTAL IRON LAB</t>
  </si>
  <si>
    <t xml:space="preserve">MAFIJUL WORK SHOP LAB </t>
  </si>
  <si>
    <t>CRANE</t>
  </si>
  <si>
    <t>SHREE LAXMI IRON</t>
  </si>
  <si>
    <t>L/S</t>
  </si>
  <si>
    <t>COLOUR PURCHASE</t>
  </si>
  <si>
    <t>KUYA</t>
  </si>
  <si>
    <t>COLOUR MASON</t>
  </si>
  <si>
    <t>OTHER'S H/W MATERIALS</t>
  </si>
  <si>
    <t xml:space="preserve">OTHER'S EXP </t>
  </si>
  <si>
    <t>SUPERVISOR - 2 Nos</t>
  </si>
  <si>
    <t>Month</t>
  </si>
  <si>
    <t>-</t>
  </si>
  <si>
    <t>ACP SHEET PURCHASE</t>
  </si>
  <si>
    <t>ACP SHEET MASON</t>
  </si>
  <si>
    <t>HYDRA OT</t>
  </si>
  <si>
    <t xml:space="preserve">SUPPLY HYDRA </t>
  </si>
  <si>
    <t xml:space="preserve">TOUCH UP PLASTER &amp; WALL AREA WORK </t>
  </si>
  <si>
    <t>Date</t>
  </si>
  <si>
    <t>M-OT</t>
  </si>
  <si>
    <t>L-OT</t>
  </si>
  <si>
    <t>ADVS</t>
  </si>
  <si>
    <t>Total</t>
  </si>
  <si>
    <t>Total Amount</t>
  </si>
  <si>
    <t>Total Site Advs</t>
  </si>
  <si>
    <t>Total Due Balance</t>
  </si>
  <si>
    <t>Kamal Iron</t>
  </si>
  <si>
    <t>L@600</t>
  </si>
  <si>
    <t>Total M @1000</t>
  </si>
  <si>
    <t>Total L @600</t>
  </si>
  <si>
    <t>Total L OT @ 75</t>
  </si>
  <si>
    <t>Total M OT @ 125</t>
  </si>
  <si>
    <t>M@1000</t>
  </si>
  <si>
    <t>**</t>
  </si>
  <si>
    <t>Upto 06-05-26</t>
  </si>
  <si>
    <t>Kamal Lab Upto 06.05.26 Full Paid Only OT Amount Due ….for that reason OT Amount added to this part</t>
  </si>
  <si>
    <t xml:space="preserve">Amaresh Iron </t>
  </si>
  <si>
    <t>M@600</t>
  </si>
  <si>
    <t>L@500</t>
  </si>
  <si>
    <t>Total M @600</t>
  </si>
  <si>
    <t>Total L @500</t>
  </si>
  <si>
    <t>Total M OT @ 75</t>
  </si>
  <si>
    <t>Total L OT @ 62.5</t>
  </si>
  <si>
    <t>x</t>
  </si>
  <si>
    <t>MOULD MAINTAINANCE TABLE</t>
  </si>
  <si>
    <t xml:space="preserve">COLUMN FOUNDATION </t>
  </si>
  <si>
    <t>STAIR FOR STORE DEPARTMENT</t>
  </si>
  <si>
    <t>MOULD RACK</t>
  </si>
  <si>
    <t xml:space="preserve">HOLLOW SECTION STRUCTURE FITTING </t>
  </si>
  <si>
    <t>This Part Paid - 12000 ( 12000-7900 = 4100 extra payment)</t>
  </si>
  <si>
    <t>Amaresh,Akram,kamal+1</t>
  </si>
  <si>
    <t>PIPE 1" - 2M</t>
  </si>
  <si>
    <t>Amaresh,kamal+1</t>
  </si>
  <si>
    <t>HANDLE</t>
  </si>
  <si>
    <t xml:space="preserve">TALA PATI </t>
  </si>
  <si>
    <t>ROD</t>
  </si>
  <si>
    <t>Amaresh,Akram</t>
  </si>
  <si>
    <t xml:space="preserve">VARIOUS SIZE CHANNEL </t>
  </si>
  <si>
    <t>AKRAM,SABIR</t>
  </si>
  <si>
    <t>AKRAM,SUDHIR,SUBID</t>
  </si>
  <si>
    <t>AKRAM,SUDHIR,SUBID,AMARESH</t>
  </si>
  <si>
    <t>ACP SHEET 10 X 4</t>
  </si>
  <si>
    <t>SUBID,Amaresh,Akram,kamal+1</t>
  </si>
  <si>
    <t>AKRAM,SUBID</t>
  </si>
  <si>
    <t>AKRAM</t>
  </si>
  <si>
    <t>399/26-27</t>
  </si>
  <si>
    <t>469/26-27</t>
  </si>
  <si>
    <t>Pipe 1.5MM (40X40)</t>
  </si>
  <si>
    <t xml:space="preserve">BABA Tracon Iron </t>
  </si>
  <si>
    <t xml:space="preserve">S S OFFICE TO BABA TRACON FOR RACK MAKING - CHANNEL BY HATI ( AS PER AMARESH - 170 RFT CHANNEL) </t>
  </si>
  <si>
    <t>Angle (50X50)</t>
  </si>
  <si>
    <t>FT</t>
  </si>
  <si>
    <t>HOLO (60X60)</t>
  </si>
  <si>
    <t>JOIST (200X100)</t>
  </si>
  <si>
    <t>PLATE 6 MM</t>
  </si>
  <si>
    <t>Angle (75X75)</t>
  </si>
  <si>
    <t>PLATE 12MM</t>
  </si>
  <si>
    <t>PLATE 16MM</t>
  </si>
  <si>
    <t>SCRAP</t>
  </si>
  <si>
    <t xml:space="preserve">TOTAL </t>
  </si>
  <si>
    <t>BABA TRACON- REST MATERIALS - 01.06.26</t>
  </si>
  <si>
    <t>BABA TRACON EXP DETAILS UPPTO - 05.06.26</t>
  </si>
  <si>
    <t>Iron From S S Office</t>
  </si>
  <si>
    <t>Baba Tracon Colour Purchase</t>
  </si>
  <si>
    <t>Sl No</t>
  </si>
  <si>
    <t>Amount</t>
  </si>
  <si>
    <t>Bill (Date)</t>
  </si>
  <si>
    <t>Tmt (Jail)</t>
  </si>
  <si>
    <t>Crane Install Lab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</si>
</sst>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14"/>
      <color theme="1"/>
      <name val="Arial Black"/>
      <family val="2"/>
    </font>
    <font>
      <b/>
      <sz val="1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4" fillId="0" borderId="0" applyFont="0" applyFill="0" applyBorder="0" applyAlignment="0" applyProtection="0"/>
    <xf numFmtId="0" fontId="8" fillId="0" borderId="0" applyNumberFormat="0" applyFill="0" applyBorder="0" applyAlignment="0" applyProtection="0"/>
  </cellStyleXfs>
  <cellXfs count="98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14" fontId="0" fillId="0" borderId="1" xfId="0" applyNumberFormat="1" applyBorder="1"/>
    <xf numFmtId="0" fontId="1" fillId="0" borderId="1" xfId="0" applyFont="1" applyBorder="1" applyAlignment="1">
      <alignment horizontal="center"/>
    </xf>
    <xf numFmtId="0" fontId="0" fillId="2" borderId="1" xfId="0" applyFill="1" applyBorder="1" applyAlignment="1">
      <alignment horizontal="center"/>
    </xf>
    <xf numFmtId="14" fontId="0" fillId="2" borderId="1" xfId="0" applyNumberFormat="1" applyFill="1" applyBorder="1"/>
    <xf numFmtId="0" fontId="0" fillId="2" borderId="1" xfId="0" applyFill="1" applyBorder="1"/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0" borderId="5" xfId="0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43" fontId="0" fillId="0" borderId="1" xfId="1" applyFont="1" applyBorder="1" applyAlignment="1">
      <alignment horizontal="center"/>
    </xf>
    <xf numFmtId="43" fontId="0" fillId="0" borderId="1" xfId="1" applyFont="1" applyBorder="1"/>
    <xf numFmtId="0" fontId="0" fillId="0" borderId="5" xfId="0" applyBorder="1" applyAlignment="1">
      <alignment horizontal="center" vertical="center" wrapText="1"/>
    </xf>
    <xf numFmtId="43" fontId="0" fillId="0" borderId="1" xfId="0" applyNumberFormat="1" applyBorder="1"/>
    <xf numFmtId="43" fontId="0" fillId="0" borderId="0" xfId="0" applyNumberFormat="1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43" fontId="0" fillId="0" borderId="0" xfId="1" applyFont="1" applyBorder="1"/>
    <xf numFmtId="43" fontId="0" fillId="0" borderId="0" xfId="1" applyFont="1" applyBorder="1" applyAlignment="1">
      <alignment horizontal="center" vertical="center"/>
    </xf>
    <xf numFmtId="43" fontId="0" fillId="0" borderId="5" xfId="1" applyFont="1" applyBorder="1" applyAlignment="1">
      <alignment vertical="center"/>
    </xf>
    <xf numFmtId="43" fontId="0" fillId="0" borderId="5" xfId="0" applyNumberFormat="1" applyBorder="1" applyAlignment="1">
      <alignment vertical="center"/>
    </xf>
    <xf numFmtId="14" fontId="0" fillId="0" borderId="5" xfId="0" applyNumberFormat="1" applyBorder="1" applyAlignment="1">
      <alignment vertical="center" wrapText="1"/>
    </xf>
    <xf numFmtId="43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43" fontId="1" fillId="2" borderId="1" xfId="1" applyFont="1" applyFill="1" applyBorder="1"/>
    <xf numFmtId="43" fontId="1" fillId="2" borderId="1" xfId="0" applyNumberFormat="1" applyFont="1" applyFill="1" applyBorder="1"/>
    <xf numFmtId="43" fontId="0" fillId="0" borderId="0" xfId="1" applyFont="1"/>
    <xf numFmtId="43" fontId="1" fillId="0" borderId="1" xfId="0" applyNumberFormat="1" applyFont="1" applyBorder="1"/>
    <xf numFmtId="0" fontId="8" fillId="3" borderId="1" xfId="2" applyFill="1" applyBorder="1" applyAlignment="1">
      <alignment horizontal="center"/>
    </xf>
    <xf numFmtId="0" fontId="8" fillId="0" borderId="1" xfId="2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14" fontId="0" fillId="0" borderId="1" xfId="0" applyNumberForma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14" fontId="0" fillId="0" borderId="1" xfId="0" applyNumberFormat="1" applyBorder="1" applyAlignment="1">
      <alignment horizontal="center" vertical="center"/>
    </xf>
    <xf numFmtId="43" fontId="0" fillId="0" borderId="1" xfId="0" applyNumberFormat="1" applyBorder="1" applyAlignment="1">
      <alignment horizontal="center" vertical="center"/>
    </xf>
    <xf numFmtId="43" fontId="0" fillId="0" borderId="1" xfId="1" applyFont="1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14" fontId="0" fillId="0" borderId="0" xfId="0" applyNumberFormat="1"/>
    <xf numFmtId="0" fontId="0" fillId="0" borderId="9" xfId="0" applyBorder="1" applyAlignment="1">
      <alignment horizontal="center"/>
    </xf>
    <xf numFmtId="0" fontId="0" fillId="0" borderId="11" xfId="0" applyBorder="1" applyAlignment="1">
      <alignment horizontal="center"/>
    </xf>
    <xf numFmtId="43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4" borderId="9" xfId="0" applyFont="1" applyFill="1" applyBorder="1" applyAlignment="1">
      <alignment horizontal="center"/>
    </xf>
    <xf numFmtId="0" fontId="1" fillId="4" borderId="11" xfId="0" applyFont="1" applyFill="1" applyBorder="1" applyAlignment="1">
      <alignment horizontal="center"/>
    </xf>
    <xf numFmtId="43" fontId="1" fillId="4" borderId="9" xfId="0" applyNumberFormat="1" applyFont="1" applyFill="1" applyBorder="1" applyAlignment="1">
      <alignment horizontal="center"/>
    </xf>
    <xf numFmtId="0" fontId="1" fillId="4" borderId="10" xfId="0" applyFont="1" applyFill="1" applyBorder="1" applyAlignment="1">
      <alignment horizontal="center"/>
    </xf>
    <xf numFmtId="43" fontId="0" fillId="0" borderId="9" xfId="1" applyFont="1" applyBorder="1" applyAlignment="1">
      <alignment horizontal="center"/>
    </xf>
    <xf numFmtId="43" fontId="0" fillId="0" borderId="10" xfId="1" applyFont="1" applyBorder="1" applyAlignment="1">
      <alignment horizontal="center"/>
    </xf>
    <xf numFmtId="43" fontId="0" fillId="0" borderId="11" xfId="1" applyFont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43" fontId="1" fillId="2" borderId="9" xfId="0" applyNumberFormat="1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9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0" borderId="6" xfId="0" applyFont="1" applyBorder="1" applyAlignment="1">
      <alignment horizontal="center" wrapText="1"/>
    </xf>
    <xf numFmtId="0" fontId="1" fillId="0" borderId="12" xfId="0" applyFont="1" applyBorder="1" applyAlignment="1">
      <alignment horizontal="center" wrapText="1"/>
    </xf>
    <xf numFmtId="0" fontId="1" fillId="0" borderId="13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1" fillId="0" borderId="14" xfId="0" applyFont="1" applyBorder="1" applyAlignment="1">
      <alignment horizontal="center" wrapText="1"/>
    </xf>
    <xf numFmtId="0" fontId="1" fillId="0" borderId="15" xfId="0" applyFont="1" applyBorder="1" applyAlignment="1">
      <alignment horizontal="center" wrapText="1"/>
    </xf>
    <xf numFmtId="0" fontId="0" fillId="5" borderId="1" xfId="0" applyFill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14" fontId="0" fillId="0" borderId="7" xfId="0" applyNumberFormat="1" applyBorder="1" applyAlignment="1">
      <alignment horizontal="center" vertical="center"/>
    </xf>
    <xf numFmtId="43" fontId="0" fillId="0" borderId="5" xfId="1" applyFont="1" applyBorder="1" applyAlignment="1">
      <alignment horizontal="center" vertical="center"/>
    </xf>
    <xf numFmtId="43" fontId="0" fillId="0" borderId="7" xfId="1" applyFont="1" applyBorder="1" applyAlignment="1">
      <alignment horizontal="center" vertical="center"/>
    </xf>
    <xf numFmtId="43" fontId="0" fillId="0" borderId="6" xfId="1" applyFont="1" applyBorder="1" applyAlignment="1">
      <alignment horizontal="center" vertical="center"/>
    </xf>
    <xf numFmtId="43" fontId="0" fillId="0" borderId="8" xfId="1" applyFont="1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14" fontId="0" fillId="0" borderId="3" xfId="0" applyNumberFormat="1" applyBorder="1" applyAlignment="1">
      <alignment horizontal="center" vertical="center"/>
    </xf>
    <xf numFmtId="43" fontId="0" fillId="0" borderId="3" xfId="1" applyFont="1" applyBorder="1" applyAlignment="1">
      <alignment horizontal="center" vertical="center"/>
    </xf>
    <xf numFmtId="43" fontId="0" fillId="0" borderId="4" xfId="1" applyFont="1" applyBorder="1" applyAlignment="1">
      <alignment horizontal="center" vertical="center"/>
    </xf>
    <xf numFmtId="43" fontId="0" fillId="0" borderId="5" xfId="0" applyNumberFormat="1" applyBorder="1" applyAlignment="1">
      <alignment horizontal="center" vertical="center"/>
    </xf>
    <xf numFmtId="43" fontId="0" fillId="0" borderId="7" xfId="0" applyNumberForma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right"/>
    </xf>
    <xf numFmtId="0" fontId="1" fillId="2" borderId="10" xfId="0" applyFont="1" applyFill="1" applyBorder="1" applyAlignment="1">
      <alignment horizontal="right"/>
    </xf>
    <xf numFmtId="0" fontId="1" fillId="2" borderId="11" xfId="0" applyFont="1" applyFill="1" applyBorder="1" applyAlignment="1">
      <alignment horizontal="right"/>
    </xf>
    <xf numFmtId="0" fontId="9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 vertical="center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Md Junaid Islam seikh" id="{9BE943C2-E463-42DD-9600-2C7F6ABBEBD2}" userId="aa768f2b66d3ccfa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22" dT="2026-04-10T11:16:30.87" personId="{9BE943C2-E463-42DD-9600-2C7F6ABBEBD2}" id="{D156B378-D822-4CC5-A23F-F33B1AC2573B}">
    <text>20/03/26-1NOS &amp; 6/4/26 - 2 NOS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M@600" TargetMode="External"/><Relationship Id="rId2" Type="http://schemas.openxmlformats.org/officeDocument/2006/relationships/hyperlink" Target="mailto:L@600" TargetMode="External"/><Relationship Id="rId1" Type="http://schemas.openxmlformats.org/officeDocument/2006/relationships/hyperlink" Target="mailto:M@1000" TargetMode="External"/><Relationship Id="rId6" Type="http://schemas.openxmlformats.org/officeDocument/2006/relationships/hyperlink" Target="mailto:L@600" TargetMode="External"/><Relationship Id="rId5" Type="http://schemas.openxmlformats.org/officeDocument/2006/relationships/hyperlink" Target="mailto:M@1000" TargetMode="External"/><Relationship Id="rId4" Type="http://schemas.openxmlformats.org/officeDocument/2006/relationships/hyperlink" Target="mailto:L@50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8F86C-4916-4CA2-8723-F4BF83E2F7EB}">
  <dimension ref="A1:D64"/>
  <sheetViews>
    <sheetView topLeftCell="A40" workbookViewId="0">
      <selection activeCell="K54" sqref="K54"/>
    </sheetView>
  </sheetViews>
  <sheetFormatPr defaultRowHeight="14.4" x14ac:dyDescent="0.3"/>
  <cols>
    <col min="2" max="2" width="10.33203125" bestFit="1" customWidth="1"/>
    <col min="3" max="3" width="62" bestFit="1" customWidth="1"/>
  </cols>
  <sheetData>
    <row r="1" spans="1:4" x14ac:dyDescent="0.3">
      <c r="A1" s="61" t="s">
        <v>49</v>
      </c>
      <c r="B1" s="61"/>
      <c r="C1" s="61"/>
      <c r="D1" s="61"/>
    </row>
    <row r="2" spans="1:4" x14ac:dyDescent="0.3">
      <c r="A2" s="61"/>
      <c r="B2" s="61"/>
      <c r="C2" s="61"/>
      <c r="D2" s="61"/>
    </row>
    <row r="3" spans="1:4" x14ac:dyDescent="0.3">
      <c r="A3" s="5" t="s">
        <v>0</v>
      </c>
      <c r="B3" s="5" t="s">
        <v>7</v>
      </c>
      <c r="C3" s="5" t="s">
        <v>5</v>
      </c>
      <c r="D3" s="5" t="s">
        <v>6</v>
      </c>
    </row>
    <row r="4" spans="1:4" x14ac:dyDescent="0.3">
      <c r="A4" s="3">
        <v>1</v>
      </c>
      <c r="B4" s="4">
        <v>46080</v>
      </c>
      <c r="C4" s="2" t="s">
        <v>16</v>
      </c>
      <c r="D4" s="3">
        <v>5</v>
      </c>
    </row>
    <row r="5" spans="1:4" x14ac:dyDescent="0.3">
      <c r="A5" s="3">
        <v>2</v>
      </c>
      <c r="B5" s="4">
        <v>46081</v>
      </c>
      <c r="C5" s="2" t="s">
        <v>17</v>
      </c>
      <c r="D5" s="3">
        <v>6</v>
      </c>
    </row>
    <row r="6" spans="1:4" x14ac:dyDescent="0.3">
      <c r="A6" s="3">
        <v>3</v>
      </c>
      <c r="B6" s="4">
        <v>46084</v>
      </c>
      <c r="C6" s="2" t="s">
        <v>18</v>
      </c>
      <c r="D6" s="3">
        <v>2</v>
      </c>
    </row>
    <row r="7" spans="1:4" x14ac:dyDescent="0.3">
      <c r="A7" s="3">
        <v>4</v>
      </c>
      <c r="B7" s="4">
        <v>46085</v>
      </c>
      <c r="C7" s="2" t="s">
        <v>18</v>
      </c>
      <c r="D7" s="3">
        <v>2</v>
      </c>
    </row>
    <row r="8" spans="1:4" x14ac:dyDescent="0.3">
      <c r="A8" s="3">
        <v>5</v>
      </c>
      <c r="B8" s="4">
        <v>46086</v>
      </c>
      <c r="C8" s="2" t="s">
        <v>19</v>
      </c>
      <c r="D8" s="3">
        <v>3</v>
      </c>
    </row>
    <row r="9" spans="1:4" x14ac:dyDescent="0.3">
      <c r="A9" s="3">
        <v>6</v>
      </c>
      <c r="B9" s="4">
        <v>46087</v>
      </c>
      <c r="C9" s="2" t="s">
        <v>19</v>
      </c>
      <c r="D9" s="3">
        <v>3</v>
      </c>
    </row>
    <row r="10" spans="1:4" x14ac:dyDescent="0.3">
      <c r="A10" s="3">
        <v>7</v>
      </c>
      <c r="B10" s="4">
        <v>46088</v>
      </c>
      <c r="C10" s="2" t="s">
        <v>22</v>
      </c>
      <c r="D10" s="3">
        <v>2</v>
      </c>
    </row>
    <row r="11" spans="1:4" x14ac:dyDescent="0.3">
      <c r="A11" s="3">
        <v>8</v>
      </c>
      <c r="B11" s="4">
        <v>46106</v>
      </c>
      <c r="C11" s="2" t="s">
        <v>24</v>
      </c>
      <c r="D11" s="3">
        <v>2</v>
      </c>
    </row>
    <row r="12" spans="1:4" x14ac:dyDescent="0.3">
      <c r="A12" s="3">
        <v>9</v>
      </c>
      <c r="B12" s="4">
        <v>46107</v>
      </c>
      <c r="C12" s="2" t="s">
        <v>25</v>
      </c>
      <c r="D12" s="3">
        <v>6</v>
      </c>
    </row>
    <row r="13" spans="1:4" x14ac:dyDescent="0.3">
      <c r="A13" s="3">
        <v>10</v>
      </c>
      <c r="B13" s="4">
        <v>46111</v>
      </c>
      <c r="C13" s="2" t="s">
        <v>24</v>
      </c>
      <c r="D13" s="3">
        <v>2</v>
      </c>
    </row>
    <row r="14" spans="1:4" x14ac:dyDescent="0.3">
      <c r="A14" s="3">
        <v>11</v>
      </c>
      <c r="B14" s="4">
        <v>46113</v>
      </c>
      <c r="C14" s="2" t="s">
        <v>29</v>
      </c>
      <c r="D14" s="3">
        <v>5</v>
      </c>
    </row>
    <row r="15" spans="1:4" x14ac:dyDescent="0.3">
      <c r="A15" s="3">
        <v>12</v>
      </c>
      <c r="B15" s="4">
        <v>46114</v>
      </c>
      <c r="C15" s="2" t="s">
        <v>24</v>
      </c>
      <c r="D15" s="3">
        <v>2</v>
      </c>
    </row>
    <row r="16" spans="1:4" x14ac:dyDescent="0.3">
      <c r="A16" s="3">
        <v>13</v>
      </c>
      <c r="B16" s="4">
        <v>46114</v>
      </c>
      <c r="C16" s="2" t="s">
        <v>30</v>
      </c>
      <c r="D16" s="3">
        <v>7</v>
      </c>
    </row>
    <row r="17" spans="1:4" x14ac:dyDescent="0.3">
      <c r="A17" s="3">
        <v>14</v>
      </c>
      <c r="B17" s="4">
        <v>46117</v>
      </c>
      <c r="C17" s="2" t="s">
        <v>32</v>
      </c>
      <c r="D17" s="3">
        <v>4</v>
      </c>
    </row>
    <row r="18" spans="1:4" x14ac:dyDescent="0.3">
      <c r="A18" s="3">
        <v>15</v>
      </c>
      <c r="B18" s="4">
        <v>46118</v>
      </c>
      <c r="C18" s="2" t="s">
        <v>35</v>
      </c>
      <c r="D18" s="3">
        <v>4</v>
      </c>
    </row>
    <row r="19" spans="1:4" x14ac:dyDescent="0.3">
      <c r="A19" s="3">
        <v>16</v>
      </c>
      <c r="B19" s="4">
        <v>46119</v>
      </c>
      <c r="C19" s="2" t="s">
        <v>35</v>
      </c>
      <c r="D19" s="3">
        <v>4</v>
      </c>
    </row>
    <row r="20" spans="1:4" x14ac:dyDescent="0.3">
      <c r="A20" s="3">
        <v>17</v>
      </c>
      <c r="B20" s="4">
        <v>46120</v>
      </c>
      <c r="C20" s="2" t="s">
        <v>43</v>
      </c>
      <c r="D20" s="3">
        <v>3</v>
      </c>
    </row>
    <row r="21" spans="1:4" x14ac:dyDescent="0.3">
      <c r="A21" s="3">
        <v>18</v>
      </c>
      <c r="B21" s="4">
        <v>46121</v>
      </c>
      <c r="C21" s="2" t="s">
        <v>48</v>
      </c>
      <c r="D21" s="3">
        <v>0</v>
      </c>
    </row>
    <row r="22" spans="1:4" x14ac:dyDescent="0.3">
      <c r="A22" s="3">
        <v>19</v>
      </c>
      <c r="B22" s="4">
        <v>46122</v>
      </c>
      <c r="C22" s="2" t="s">
        <v>26</v>
      </c>
      <c r="D22" s="3">
        <v>2</v>
      </c>
    </row>
    <row r="23" spans="1:4" x14ac:dyDescent="0.3">
      <c r="A23" s="3">
        <v>20</v>
      </c>
      <c r="B23" s="4">
        <v>46125</v>
      </c>
      <c r="C23" s="2" t="s">
        <v>52</v>
      </c>
      <c r="D23" s="3">
        <v>4</v>
      </c>
    </row>
    <row r="24" spans="1:4" x14ac:dyDescent="0.3">
      <c r="A24" s="3">
        <v>21</v>
      </c>
      <c r="B24" s="4">
        <v>46126</v>
      </c>
      <c r="C24" s="2" t="s">
        <v>55</v>
      </c>
      <c r="D24" s="3">
        <v>3</v>
      </c>
    </row>
    <row r="25" spans="1:4" x14ac:dyDescent="0.3">
      <c r="A25" s="3">
        <v>22</v>
      </c>
      <c r="B25" s="4">
        <v>46128</v>
      </c>
      <c r="C25" s="2" t="s">
        <v>56</v>
      </c>
      <c r="D25" s="3">
        <v>3</v>
      </c>
    </row>
    <row r="26" spans="1:4" x14ac:dyDescent="0.3">
      <c r="A26" s="3">
        <v>23</v>
      </c>
      <c r="B26" s="4">
        <v>46129</v>
      </c>
      <c r="C26" s="2" t="s">
        <v>60</v>
      </c>
      <c r="D26" s="3">
        <v>6</v>
      </c>
    </row>
    <row r="27" spans="1:4" x14ac:dyDescent="0.3">
      <c r="A27" s="3">
        <v>24</v>
      </c>
      <c r="B27" s="4">
        <v>46130</v>
      </c>
      <c r="C27" s="2" t="s">
        <v>66</v>
      </c>
      <c r="D27" s="3">
        <v>8</v>
      </c>
    </row>
    <row r="28" spans="1:4" x14ac:dyDescent="0.3">
      <c r="A28" s="3">
        <v>25</v>
      </c>
      <c r="B28" s="4">
        <v>46131</v>
      </c>
      <c r="C28" s="2" t="s">
        <v>68</v>
      </c>
      <c r="D28" s="3">
        <v>3</v>
      </c>
    </row>
    <row r="29" spans="1:4" x14ac:dyDescent="0.3">
      <c r="A29" s="3">
        <v>26</v>
      </c>
      <c r="B29" s="4">
        <v>46132</v>
      </c>
      <c r="C29" s="2" t="s">
        <v>69</v>
      </c>
      <c r="D29" s="3">
        <v>8</v>
      </c>
    </row>
    <row r="30" spans="1:4" x14ac:dyDescent="0.3">
      <c r="A30" s="3">
        <v>27</v>
      </c>
      <c r="B30" s="4">
        <v>46133</v>
      </c>
      <c r="C30" s="2" t="s">
        <v>70</v>
      </c>
      <c r="D30" s="3">
        <v>5</v>
      </c>
    </row>
    <row r="31" spans="1:4" x14ac:dyDescent="0.3">
      <c r="A31" s="3">
        <v>28</v>
      </c>
      <c r="B31" s="4">
        <v>46134</v>
      </c>
      <c r="C31" s="2" t="s">
        <v>71</v>
      </c>
      <c r="D31" s="3">
        <v>5</v>
      </c>
    </row>
    <row r="32" spans="1:4" x14ac:dyDescent="0.3">
      <c r="A32" s="3">
        <v>29</v>
      </c>
      <c r="B32" s="4">
        <v>46135</v>
      </c>
      <c r="C32" s="2" t="s">
        <v>75</v>
      </c>
      <c r="D32" s="3">
        <v>5</v>
      </c>
    </row>
    <row r="33" spans="1:4" x14ac:dyDescent="0.3">
      <c r="A33" s="3">
        <v>30</v>
      </c>
      <c r="B33" s="4">
        <v>46136</v>
      </c>
      <c r="C33" s="2" t="s">
        <v>75</v>
      </c>
      <c r="D33" s="3">
        <v>5</v>
      </c>
    </row>
    <row r="34" spans="1:4" x14ac:dyDescent="0.3">
      <c r="A34" s="3">
        <v>31</v>
      </c>
      <c r="B34" s="4">
        <v>46137</v>
      </c>
      <c r="C34" s="2" t="s">
        <v>75</v>
      </c>
      <c r="D34" s="3">
        <v>5</v>
      </c>
    </row>
    <row r="35" spans="1:4" x14ac:dyDescent="0.3">
      <c r="A35" s="3">
        <v>32</v>
      </c>
      <c r="B35" s="4">
        <v>46138</v>
      </c>
      <c r="C35" s="2" t="s">
        <v>80</v>
      </c>
      <c r="D35" s="3">
        <v>3</v>
      </c>
    </row>
    <row r="36" spans="1:4" x14ac:dyDescent="0.3">
      <c r="A36" s="3">
        <v>33</v>
      </c>
      <c r="B36" s="4">
        <v>46139</v>
      </c>
      <c r="C36" s="2" t="s">
        <v>81</v>
      </c>
      <c r="D36" s="3">
        <v>5</v>
      </c>
    </row>
    <row r="37" spans="1:4" x14ac:dyDescent="0.3">
      <c r="A37" s="3">
        <v>34</v>
      </c>
      <c r="B37" s="4">
        <v>46143</v>
      </c>
      <c r="C37" s="2" t="s">
        <v>80</v>
      </c>
      <c r="D37" s="3">
        <v>3</v>
      </c>
    </row>
    <row r="38" spans="1:4" x14ac:dyDescent="0.3">
      <c r="A38" s="3">
        <v>35</v>
      </c>
      <c r="B38" s="4">
        <v>46144</v>
      </c>
      <c r="C38" s="2" t="s">
        <v>80</v>
      </c>
      <c r="D38" s="3">
        <v>3</v>
      </c>
    </row>
    <row r="39" spans="1:4" x14ac:dyDescent="0.3">
      <c r="A39" s="3">
        <v>36</v>
      </c>
      <c r="B39" s="4">
        <v>46145</v>
      </c>
      <c r="C39" s="2" t="s">
        <v>163</v>
      </c>
      <c r="D39" s="3">
        <v>8</v>
      </c>
    </row>
    <row r="40" spans="1:4" x14ac:dyDescent="0.3">
      <c r="A40" s="3">
        <v>37</v>
      </c>
      <c r="B40" s="4">
        <v>46146</v>
      </c>
      <c r="C40" s="2" t="s">
        <v>83</v>
      </c>
      <c r="D40" s="3">
        <v>1</v>
      </c>
    </row>
    <row r="41" spans="1:4" x14ac:dyDescent="0.3">
      <c r="A41" s="3">
        <v>38</v>
      </c>
      <c r="B41" s="4">
        <v>46147</v>
      </c>
      <c r="C41" s="2" t="s">
        <v>84</v>
      </c>
      <c r="D41" s="3">
        <v>0</v>
      </c>
    </row>
    <row r="42" spans="1:4" x14ac:dyDescent="0.3">
      <c r="A42" s="3">
        <v>39</v>
      </c>
      <c r="B42" s="4">
        <v>46148</v>
      </c>
      <c r="C42" s="2" t="s">
        <v>85</v>
      </c>
      <c r="D42" s="3">
        <v>1</v>
      </c>
    </row>
    <row r="43" spans="1:4" x14ac:dyDescent="0.3">
      <c r="A43" s="3">
        <v>40</v>
      </c>
      <c r="B43" s="4">
        <v>46149</v>
      </c>
      <c r="C43" s="2" t="s">
        <v>86</v>
      </c>
      <c r="D43" s="3">
        <v>7</v>
      </c>
    </row>
    <row r="44" spans="1:4" x14ac:dyDescent="0.3">
      <c r="A44" s="3">
        <v>41</v>
      </c>
      <c r="B44" s="4">
        <v>46150</v>
      </c>
      <c r="C44" s="2" t="s">
        <v>86</v>
      </c>
      <c r="D44" s="3">
        <v>8</v>
      </c>
    </row>
    <row r="45" spans="1:4" x14ac:dyDescent="0.3">
      <c r="A45" s="3">
        <v>42</v>
      </c>
      <c r="B45" s="4">
        <v>46151</v>
      </c>
      <c r="C45" s="2" t="s">
        <v>96</v>
      </c>
      <c r="D45" s="3">
        <v>6</v>
      </c>
    </row>
    <row r="46" spans="1:4" x14ac:dyDescent="0.3">
      <c r="A46" s="3">
        <v>43</v>
      </c>
      <c r="B46" s="4">
        <v>46152</v>
      </c>
      <c r="C46" s="2" t="s">
        <v>87</v>
      </c>
      <c r="D46" s="3">
        <v>3</v>
      </c>
    </row>
    <row r="47" spans="1:4" x14ac:dyDescent="0.3">
      <c r="A47" s="3">
        <v>44</v>
      </c>
      <c r="B47" s="4">
        <v>46153</v>
      </c>
      <c r="C47" s="2" t="s">
        <v>88</v>
      </c>
      <c r="D47" s="3">
        <v>7</v>
      </c>
    </row>
    <row r="48" spans="1:4" x14ac:dyDescent="0.3">
      <c r="A48" s="3">
        <v>45</v>
      </c>
      <c r="B48" s="4">
        <v>46154</v>
      </c>
      <c r="C48" s="2" t="s">
        <v>161</v>
      </c>
      <c r="D48" s="3">
        <v>9</v>
      </c>
    </row>
    <row r="49" spans="1:4" x14ac:dyDescent="0.3">
      <c r="A49" s="3">
        <v>46</v>
      </c>
      <c r="B49" s="4">
        <v>46155</v>
      </c>
      <c r="C49" s="2" t="s">
        <v>162</v>
      </c>
      <c r="D49" s="3">
        <v>6</v>
      </c>
    </row>
    <row r="50" spans="1:4" x14ac:dyDescent="0.3">
      <c r="A50" s="3">
        <v>47</v>
      </c>
      <c r="B50" s="4">
        <v>46156</v>
      </c>
      <c r="C50" s="2" t="s">
        <v>216</v>
      </c>
      <c r="D50" s="3">
        <v>4</v>
      </c>
    </row>
    <row r="51" spans="1:4" x14ac:dyDescent="0.3">
      <c r="A51" s="3">
        <v>48</v>
      </c>
      <c r="B51" s="4">
        <v>46157</v>
      </c>
      <c r="C51" s="2" t="s">
        <v>218</v>
      </c>
      <c r="D51" s="3">
        <v>3</v>
      </c>
    </row>
    <row r="52" spans="1:4" x14ac:dyDescent="0.3">
      <c r="A52" s="3">
        <v>49</v>
      </c>
      <c r="B52" s="4">
        <v>46158</v>
      </c>
      <c r="C52" s="2" t="s">
        <v>218</v>
      </c>
      <c r="D52" s="3">
        <v>3</v>
      </c>
    </row>
    <row r="53" spans="1:4" x14ac:dyDescent="0.3">
      <c r="A53" s="3">
        <v>50</v>
      </c>
      <c r="B53" s="4">
        <v>46159</v>
      </c>
      <c r="C53" s="2" t="s">
        <v>48</v>
      </c>
      <c r="D53" s="3">
        <v>0</v>
      </c>
    </row>
    <row r="54" spans="1:4" x14ac:dyDescent="0.3">
      <c r="A54" s="3">
        <v>51</v>
      </c>
      <c r="B54" s="4">
        <v>46160</v>
      </c>
      <c r="C54" s="2" t="s">
        <v>222</v>
      </c>
      <c r="D54" s="3">
        <v>2</v>
      </c>
    </row>
    <row r="55" spans="1:4" x14ac:dyDescent="0.3">
      <c r="A55" s="3">
        <v>52</v>
      </c>
      <c r="B55" s="4">
        <v>46161</v>
      </c>
      <c r="C55" s="2" t="s">
        <v>222</v>
      </c>
      <c r="D55" s="3">
        <v>2</v>
      </c>
    </row>
    <row r="56" spans="1:4" x14ac:dyDescent="0.3">
      <c r="A56" s="3">
        <v>53</v>
      </c>
      <c r="B56" s="4">
        <v>46162</v>
      </c>
      <c r="C56" s="2" t="s">
        <v>224</v>
      </c>
      <c r="D56" s="3">
        <v>2</v>
      </c>
    </row>
    <row r="57" spans="1:4" x14ac:dyDescent="0.3">
      <c r="A57" s="3">
        <v>54</v>
      </c>
      <c r="B57" s="4">
        <v>46163</v>
      </c>
      <c r="C57" s="2" t="s">
        <v>225</v>
      </c>
      <c r="D57" s="3">
        <v>3</v>
      </c>
    </row>
    <row r="58" spans="1:4" x14ac:dyDescent="0.3">
      <c r="A58" s="3">
        <v>55</v>
      </c>
      <c r="B58" s="4">
        <v>46164</v>
      </c>
      <c r="C58" s="2" t="s">
        <v>226</v>
      </c>
      <c r="D58" s="3">
        <v>4</v>
      </c>
    </row>
    <row r="59" spans="1:4" x14ac:dyDescent="0.3">
      <c r="A59" s="3">
        <v>56</v>
      </c>
      <c r="B59" s="4">
        <v>46165</v>
      </c>
      <c r="C59" s="2" t="s">
        <v>228</v>
      </c>
      <c r="D59" s="3">
        <v>5</v>
      </c>
    </row>
    <row r="60" spans="1:4" x14ac:dyDescent="0.3">
      <c r="A60" s="3">
        <v>57</v>
      </c>
      <c r="B60" s="4">
        <v>46166</v>
      </c>
      <c r="C60" s="2" t="s">
        <v>229</v>
      </c>
      <c r="D60" s="3">
        <v>2</v>
      </c>
    </row>
    <row r="61" spans="1:4" x14ac:dyDescent="0.3">
      <c r="A61" s="3">
        <v>58</v>
      </c>
      <c r="B61" s="4">
        <v>46167</v>
      </c>
      <c r="C61" s="2" t="s">
        <v>229</v>
      </c>
      <c r="D61" s="3">
        <v>2</v>
      </c>
    </row>
    <row r="62" spans="1:4" x14ac:dyDescent="0.3">
      <c r="A62" s="3">
        <v>59</v>
      </c>
      <c r="B62" s="4">
        <v>46168</v>
      </c>
      <c r="C62" s="2" t="s">
        <v>230</v>
      </c>
      <c r="D62" s="3">
        <v>1</v>
      </c>
    </row>
    <row r="63" spans="1:4" x14ac:dyDescent="0.3">
      <c r="A63" s="3">
        <v>60</v>
      </c>
      <c r="B63" s="4">
        <v>46169</v>
      </c>
      <c r="C63" s="2" t="s">
        <v>230</v>
      </c>
      <c r="D63" s="3">
        <v>1</v>
      </c>
    </row>
    <row r="64" spans="1:4" x14ac:dyDescent="0.3">
      <c r="A64" s="3">
        <v>61</v>
      </c>
      <c r="B64" s="4">
        <v>46170</v>
      </c>
      <c r="C64" s="2"/>
      <c r="D64" s="3">
        <v>0</v>
      </c>
    </row>
  </sheetData>
  <mergeCells count="1">
    <mergeCell ref="A1:D2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6EFDBC-780D-4F66-9D1F-928B97B7A7C4}">
  <dimension ref="A1:O137"/>
  <sheetViews>
    <sheetView workbookViewId="0">
      <selection activeCell="N10" sqref="N10:P11"/>
    </sheetView>
  </sheetViews>
  <sheetFormatPr defaultRowHeight="14.4" x14ac:dyDescent="0.3"/>
  <cols>
    <col min="2" max="2" width="10.33203125" bestFit="1" customWidth="1"/>
    <col min="3" max="3" width="16.109375" bestFit="1" customWidth="1"/>
    <col min="4" max="4" width="21.44140625" bestFit="1" customWidth="1"/>
    <col min="5" max="6" width="8.88671875" style="1"/>
    <col min="14" max="14" width="10.33203125" bestFit="1" customWidth="1"/>
  </cols>
  <sheetData>
    <row r="1" spans="1:12" x14ac:dyDescent="0.3">
      <c r="A1" s="73" t="s">
        <v>50</v>
      </c>
      <c r="B1" s="73"/>
      <c r="C1" s="73"/>
      <c r="D1" s="73"/>
      <c r="E1" s="73"/>
      <c r="F1" s="73"/>
      <c r="G1" s="73"/>
    </row>
    <row r="2" spans="1:12" x14ac:dyDescent="0.3">
      <c r="A2" s="73"/>
      <c r="B2" s="73"/>
      <c r="C2" s="73"/>
      <c r="D2" s="73"/>
      <c r="E2" s="73"/>
      <c r="F2" s="73"/>
      <c r="G2" s="73"/>
    </row>
    <row r="3" spans="1:12" x14ac:dyDescent="0.3">
      <c r="A3" s="2" t="s">
        <v>0</v>
      </c>
      <c r="B3" s="2" t="s">
        <v>7</v>
      </c>
      <c r="C3" s="2" t="s">
        <v>1</v>
      </c>
      <c r="D3" s="2" t="s">
        <v>10</v>
      </c>
      <c r="E3" s="3" t="s">
        <v>2</v>
      </c>
      <c r="F3" s="3" t="s">
        <v>3</v>
      </c>
      <c r="G3" s="2" t="s">
        <v>4</v>
      </c>
    </row>
    <row r="4" spans="1:12" x14ac:dyDescent="0.3">
      <c r="A4" s="3">
        <v>1</v>
      </c>
      <c r="B4" s="4">
        <v>46080</v>
      </c>
      <c r="C4" s="2" t="s">
        <v>8</v>
      </c>
      <c r="D4" s="2" t="s">
        <v>11</v>
      </c>
      <c r="E4" s="3" t="s">
        <v>9</v>
      </c>
      <c r="F4" s="3">
        <v>40</v>
      </c>
      <c r="G4" s="2">
        <f>125*15</f>
        <v>1875</v>
      </c>
    </row>
    <row r="5" spans="1:12" x14ac:dyDescent="0.3">
      <c r="A5" s="3">
        <v>2</v>
      </c>
      <c r="B5" s="4">
        <v>46080</v>
      </c>
      <c r="C5" s="2" t="s">
        <v>8</v>
      </c>
      <c r="D5" s="2" t="s">
        <v>12</v>
      </c>
      <c r="E5" s="3" t="s">
        <v>14</v>
      </c>
      <c r="F5" s="3">
        <v>5</v>
      </c>
      <c r="G5" s="2"/>
    </row>
    <row r="6" spans="1:12" x14ac:dyDescent="0.3">
      <c r="A6" s="3">
        <v>3</v>
      </c>
      <c r="B6" s="4">
        <v>46080</v>
      </c>
      <c r="C6" s="2" t="s">
        <v>8</v>
      </c>
      <c r="D6" s="2" t="s">
        <v>13</v>
      </c>
      <c r="E6" s="3" t="s">
        <v>14</v>
      </c>
      <c r="F6" s="3">
        <v>5</v>
      </c>
      <c r="G6" s="2"/>
    </row>
    <row r="7" spans="1:12" x14ac:dyDescent="0.3">
      <c r="A7" s="3">
        <v>4</v>
      </c>
      <c r="B7" s="4">
        <v>46080</v>
      </c>
      <c r="C7" s="2" t="s">
        <v>8</v>
      </c>
      <c r="D7" s="2" t="s">
        <v>21</v>
      </c>
      <c r="E7" s="3" t="s">
        <v>9</v>
      </c>
      <c r="F7" s="3">
        <v>20</v>
      </c>
      <c r="G7" s="2">
        <f>370*20</f>
        <v>7400</v>
      </c>
    </row>
    <row r="8" spans="1:12" x14ac:dyDescent="0.3">
      <c r="A8" s="3">
        <v>5</v>
      </c>
      <c r="B8" s="4">
        <v>46080</v>
      </c>
      <c r="C8" s="2" t="s">
        <v>8</v>
      </c>
      <c r="D8" s="2" t="s">
        <v>15</v>
      </c>
      <c r="E8" s="3" t="s">
        <v>9</v>
      </c>
      <c r="F8" s="3">
        <v>60</v>
      </c>
      <c r="G8" s="2">
        <f>140*60</f>
        <v>8400</v>
      </c>
    </row>
    <row r="9" spans="1:12" x14ac:dyDescent="0.3">
      <c r="A9" s="3">
        <v>6</v>
      </c>
      <c r="B9" s="4">
        <v>46087</v>
      </c>
      <c r="C9" s="2" t="s">
        <v>20</v>
      </c>
      <c r="D9" s="2" t="s">
        <v>11</v>
      </c>
      <c r="E9" s="3" t="s">
        <v>9</v>
      </c>
      <c r="F9" s="3">
        <v>12</v>
      </c>
      <c r="G9" s="2">
        <f>125*12</f>
        <v>1500</v>
      </c>
    </row>
    <row r="10" spans="1:12" x14ac:dyDescent="0.3">
      <c r="A10" s="3">
        <v>7</v>
      </c>
      <c r="B10" s="4">
        <v>46087</v>
      </c>
      <c r="C10" s="2" t="s">
        <v>20</v>
      </c>
      <c r="D10" s="2" t="s">
        <v>15</v>
      </c>
      <c r="E10" s="3" t="s">
        <v>9</v>
      </c>
      <c r="F10" s="3">
        <v>10</v>
      </c>
      <c r="G10" s="2">
        <f>140*10</f>
        <v>1400</v>
      </c>
    </row>
    <row r="11" spans="1:12" x14ac:dyDescent="0.3">
      <c r="A11" s="3">
        <v>8</v>
      </c>
      <c r="B11" s="4">
        <v>46087</v>
      </c>
      <c r="C11" s="2" t="s">
        <v>20</v>
      </c>
      <c r="D11" s="2" t="s">
        <v>21</v>
      </c>
      <c r="E11" s="3" t="s">
        <v>9</v>
      </c>
      <c r="F11" s="3">
        <v>4</v>
      </c>
      <c r="G11" s="2">
        <f>370*10</f>
        <v>3700</v>
      </c>
      <c r="L11">
        <f>66882+10000+25700+4500+50000+22090+38358</f>
        <v>217530</v>
      </c>
    </row>
    <row r="12" spans="1:12" x14ac:dyDescent="0.3">
      <c r="A12" s="3">
        <v>9</v>
      </c>
      <c r="B12" s="4">
        <v>46107</v>
      </c>
      <c r="C12" s="2" t="s">
        <v>20</v>
      </c>
      <c r="D12" s="2" t="s">
        <v>23</v>
      </c>
      <c r="E12" s="3"/>
      <c r="F12" s="3"/>
      <c r="G12" s="2"/>
    </row>
    <row r="13" spans="1:12" x14ac:dyDescent="0.3">
      <c r="A13" s="3">
        <v>10</v>
      </c>
      <c r="B13" s="4">
        <v>46113</v>
      </c>
      <c r="C13" s="2" t="s">
        <v>20</v>
      </c>
      <c r="D13" s="2" t="s">
        <v>27</v>
      </c>
      <c r="E13" s="3" t="s">
        <v>28</v>
      </c>
      <c r="F13" s="3">
        <v>4</v>
      </c>
      <c r="G13" s="2">
        <f>320*4</f>
        <v>1280</v>
      </c>
    </row>
    <row r="14" spans="1:12" x14ac:dyDescent="0.3">
      <c r="A14" s="3">
        <v>11</v>
      </c>
      <c r="B14" s="4">
        <v>46116</v>
      </c>
      <c r="C14" s="2" t="s">
        <v>20</v>
      </c>
      <c r="D14" s="2" t="s">
        <v>31</v>
      </c>
      <c r="E14" s="3" t="s">
        <v>28</v>
      </c>
      <c r="F14" s="3">
        <v>10</v>
      </c>
      <c r="G14" s="2">
        <v>120</v>
      </c>
    </row>
    <row r="15" spans="1:12" x14ac:dyDescent="0.3">
      <c r="A15" s="3">
        <v>12</v>
      </c>
      <c r="B15" s="4">
        <v>46117</v>
      </c>
      <c r="C15" s="2" t="s">
        <v>20</v>
      </c>
      <c r="D15" s="2" t="s">
        <v>11</v>
      </c>
      <c r="E15" s="3" t="s">
        <v>9</v>
      </c>
      <c r="F15" s="3">
        <v>15</v>
      </c>
      <c r="G15" s="2">
        <f>120*15</f>
        <v>1800</v>
      </c>
    </row>
    <row r="16" spans="1:12" x14ac:dyDescent="0.3">
      <c r="A16" s="3">
        <v>13</v>
      </c>
      <c r="B16" s="4">
        <v>46117</v>
      </c>
      <c r="C16" s="2" t="s">
        <v>20</v>
      </c>
      <c r="D16" s="2" t="s">
        <v>15</v>
      </c>
      <c r="E16" s="3" t="s">
        <v>9</v>
      </c>
      <c r="F16" s="3">
        <v>15</v>
      </c>
      <c r="G16" s="2">
        <f>140*15</f>
        <v>2100</v>
      </c>
    </row>
    <row r="17" spans="1:7" x14ac:dyDescent="0.3">
      <c r="A17" s="3">
        <v>14</v>
      </c>
      <c r="B17" s="4">
        <v>46117</v>
      </c>
      <c r="C17" s="2" t="s">
        <v>20</v>
      </c>
      <c r="D17" s="2" t="s">
        <v>21</v>
      </c>
      <c r="E17" s="3" t="s">
        <v>9</v>
      </c>
      <c r="F17" s="3">
        <v>5</v>
      </c>
      <c r="G17" s="2">
        <f>370*5</f>
        <v>1850</v>
      </c>
    </row>
    <row r="18" spans="1:7" x14ac:dyDescent="0.3">
      <c r="A18" s="3">
        <v>15</v>
      </c>
      <c r="B18" s="4">
        <v>46118</v>
      </c>
      <c r="C18" s="2" t="s">
        <v>20</v>
      </c>
      <c r="D18" s="2" t="s">
        <v>33</v>
      </c>
      <c r="E18" s="3" t="s">
        <v>14</v>
      </c>
      <c r="F18" s="3">
        <v>4</v>
      </c>
      <c r="G18" s="2">
        <v>120</v>
      </c>
    </row>
    <row r="19" spans="1:7" x14ac:dyDescent="0.3">
      <c r="A19" s="3">
        <v>16</v>
      </c>
      <c r="B19" s="4">
        <v>46118</v>
      </c>
      <c r="C19" s="2" t="s">
        <v>20</v>
      </c>
      <c r="D19" s="2" t="s">
        <v>34</v>
      </c>
      <c r="E19" s="3" t="s">
        <v>14</v>
      </c>
      <c r="F19" s="3">
        <v>1</v>
      </c>
      <c r="G19" s="2">
        <v>320</v>
      </c>
    </row>
    <row r="20" spans="1:7" x14ac:dyDescent="0.3">
      <c r="A20" s="3">
        <v>17</v>
      </c>
      <c r="B20" s="4">
        <v>46118</v>
      </c>
      <c r="C20" s="2" t="s">
        <v>20</v>
      </c>
      <c r="D20" s="2" t="s">
        <v>36</v>
      </c>
      <c r="E20" s="3" t="s">
        <v>37</v>
      </c>
      <c r="F20" s="3">
        <v>2</v>
      </c>
      <c r="G20" s="2">
        <v>200</v>
      </c>
    </row>
    <row r="21" spans="1:7" x14ac:dyDescent="0.3">
      <c r="A21" s="3">
        <v>18</v>
      </c>
      <c r="B21" s="4">
        <v>46118</v>
      </c>
      <c r="C21" s="2" t="s">
        <v>20</v>
      </c>
      <c r="D21" s="2" t="s">
        <v>38</v>
      </c>
      <c r="E21" s="3" t="s">
        <v>37</v>
      </c>
      <c r="F21" s="3">
        <v>6</v>
      </c>
      <c r="G21" s="2">
        <v>960</v>
      </c>
    </row>
    <row r="22" spans="1:7" x14ac:dyDescent="0.3">
      <c r="A22" s="3">
        <v>19</v>
      </c>
      <c r="B22" s="4">
        <v>46118</v>
      </c>
      <c r="C22" s="2" t="s">
        <v>20</v>
      </c>
      <c r="D22" s="2" t="s">
        <v>39</v>
      </c>
      <c r="E22" s="3" t="s">
        <v>14</v>
      </c>
      <c r="F22" s="3">
        <v>3</v>
      </c>
      <c r="G22" s="2">
        <f>1920*3</f>
        <v>5760</v>
      </c>
    </row>
    <row r="23" spans="1:7" x14ac:dyDescent="0.3">
      <c r="A23" s="3">
        <v>20</v>
      </c>
      <c r="B23" s="4">
        <v>46119</v>
      </c>
      <c r="C23" s="2" t="s">
        <v>40</v>
      </c>
      <c r="D23" s="2" t="s">
        <v>41</v>
      </c>
      <c r="E23" s="3" t="s">
        <v>14</v>
      </c>
      <c r="F23" s="3">
        <v>1</v>
      </c>
      <c r="G23" s="2"/>
    </row>
    <row r="24" spans="1:7" x14ac:dyDescent="0.3">
      <c r="A24" s="3">
        <v>21</v>
      </c>
      <c r="B24" s="4">
        <v>46119</v>
      </c>
      <c r="C24" s="2" t="s">
        <v>20</v>
      </c>
      <c r="D24" s="2" t="s">
        <v>42</v>
      </c>
      <c r="E24" s="3" t="s">
        <v>14</v>
      </c>
      <c r="F24" s="3">
        <v>1</v>
      </c>
      <c r="G24" s="2">
        <v>180</v>
      </c>
    </row>
    <row r="25" spans="1:7" x14ac:dyDescent="0.3">
      <c r="A25" s="3">
        <v>22</v>
      </c>
      <c r="B25" s="4">
        <v>46120</v>
      </c>
      <c r="C25" s="2" t="s">
        <v>20</v>
      </c>
      <c r="D25" s="2" t="s">
        <v>38</v>
      </c>
      <c r="E25" s="3" t="s">
        <v>37</v>
      </c>
      <c r="F25" s="3">
        <v>12</v>
      </c>
      <c r="G25" s="2">
        <v>1920</v>
      </c>
    </row>
    <row r="26" spans="1:7" x14ac:dyDescent="0.3">
      <c r="A26" s="3">
        <v>23</v>
      </c>
      <c r="B26" s="4">
        <v>46120</v>
      </c>
      <c r="C26" s="2" t="s">
        <v>20</v>
      </c>
      <c r="D26" s="2" t="s">
        <v>36</v>
      </c>
      <c r="E26" s="3" t="s">
        <v>37</v>
      </c>
      <c r="F26" s="3">
        <v>2</v>
      </c>
      <c r="G26" s="2">
        <v>200</v>
      </c>
    </row>
    <row r="27" spans="1:7" x14ac:dyDescent="0.3">
      <c r="A27" s="3">
        <v>24</v>
      </c>
      <c r="B27" s="4">
        <v>46120</v>
      </c>
      <c r="C27" s="2" t="s">
        <v>20</v>
      </c>
      <c r="D27" s="2" t="s">
        <v>44</v>
      </c>
      <c r="E27" s="3" t="s">
        <v>28</v>
      </c>
      <c r="F27" s="3">
        <v>2</v>
      </c>
      <c r="G27" s="2">
        <v>40</v>
      </c>
    </row>
    <row r="28" spans="1:7" x14ac:dyDescent="0.3">
      <c r="A28" s="3">
        <v>25</v>
      </c>
      <c r="B28" s="4">
        <v>46120</v>
      </c>
      <c r="C28" s="2" t="s">
        <v>20</v>
      </c>
      <c r="D28" s="2" t="s">
        <v>45</v>
      </c>
      <c r="E28" s="3" t="s">
        <v>28</v>
      </c>
      <c r="F28" s="3">
        <v>2</v>
      </c>
      <c r="G28" s="2">
        <v>60</v>
      </c>
    </row>
    <row r="29" spans="1:7" x14ac:dyDescent="0.3">
      <c r="A29" s="3">
        <v>26</v>
      </c>
      <c r="B29" s="4">
        <v>46120</v>
      </c>
      <c r="C29" s="2" t="s">
        <v>20</v>
      </c>
      <c r="D29" s="2" t="s">
        <v>46</v>
      </c>
      <c r="E29" s="3" t="s">
        <v>28</v>
      </c>
      <c r="F29" s="3">
        <v>30</v>
      </c>
      <c r="G29" s="2">
        <v>690</v>
      </c>
    </row>
    <row r="30" spans="1:7" x14ac:dyDescent="0.3">
      <c r="A30" s="3">
        <v>27</v>
      </c>
      <c r="B30" s="4">
        <v>46120</v>
      </c>
      <c r="C30" s="2" t="s">
        <v>20</v>
      </c>
      <c r="D30" s="2" t="s">
        <v>47</v>
      </c>
      <c r="E30" s="3" t="s">
        <v>28</v>
      </c>
      <c r="F30" s="3">
        <v>65</v>
      </c>
      <c r="G30" s="2">
        <v>1152</v>
      </c>
    </row>
    <row r="31" spans="1:7" x14ac:dyDescent="0.3">
      <c r="A31" s="3">
        <v>28</v>
      </c>
      <c r="B31" s="4">
        <v>46125</v>
      </c>
      <c r="C31" s="2" t="s">
        <v>20</v>
      </c>
      <c r="D31" s="2" t="s">
        <v>27</v>
      </c>
      <c r="E31" s="3" t="s">
        <v>28</v>
      </c>
      <c r="F31" s="3">
        <v>2</v>
      </c>
      <c r="G31" s="2">
        <v>740</v>
      </c>
    </row>
    <row r="32" spans="1:7" x14ac:dyDescent="0.3">
      <c r="A32" s="3">
        <v>29</v>
      </c>
      <c r="B32" s="4">
        <v>46125</v>
      </c>
      <c r="C32" s="2" t="s">
        <v>20</v>
      </c>
      <c r="D32" s="2" t="s">
        <v>42</v>
      </c>
      <c r="E32" s="3" t="s">
        <v>28</v>
      </c>
      <c r="F32" s="3">
        <v>1</v>
      </c>
      <c r="G32" s="2">
        <v>280</v>
      </c>
    </row>
    <row r="33" spans="1:7" x14ac:dyDescent="0.3">
      <c r="A33" s="3">
        <v>30</v>
      </c>
      <c r="B33" s="4">
        <v>46125</v>
      </c>
      <c r="C33" s="2" t="s">
        <v>20</v>
      </c>
      <c r="D33" s="2" t="s">
        <v>51</v>
      </c>
      <c r="E33" s="3" t="s">
        <v>37</v>
      </c>
      <c r="F33" s="3">
        <v>100</v>
      </c>
      <c r="G33" s="2">
        <v>6434</v>
      </c>
    </row>
    <row r="34" spans="1:7" x14ac:dyDescent="0.3">
      <c r="A34" s="3">
        <v>31</v>
      </c>
      <c r="B34" s="4">
        <v>46126</v>
      </c>
      <c r="C34" s="2" t="s">
        <v>20</v>
      </c>
      <c r="D34" s="2" t="s">
        <v>54</v>
      </c>
      <c r="E34" s="3" t="s">
        <v>28</v>
      </c>
      <c r="F34" s="3">
        <v>1</v>
      </c>
      <c r="G34" s="2">
        <v>600</v>
      </c>
    </row>
    <row r="35" spans="1:7" x14ac:dyDescent="0.3">
      <c r="A35" s="3">
        <v>32</v>
      </c>
      <c r="B35" s="4">
        <v>46126</v>
      </c>
      <c r="C35" s="2" t="s">
        <v>20</v>
      </c>
      <c r="D35" s="2" t="s">
        <v>53</v>
      </c>
      <c r="E35" s="3" t="s">
        <v>28</v>
      </c>
      <c r="F35" s="3">
        <v>4</v>
      </c>
      <c r="G35" s="2">
        <v>3800</v>
      </c>
    </row>
    <row r="36" spans="1:7" x14ac:dyDescent="0.3">
      <c r="A36" s="3">
        <v>33</v>
      </c>
      <c r="B36" s="4">
        <v>46129</v>
      </c>
      <c r="C36" s="2" t="s">
        <v>20</v>
      </c>
      <c r="D36" s="2" t="s">
        <v>57</v>
      </c>
      <c r="E36" s="3" t="s">
        <v>28</v>
      </c>
      <c r="F36" s="3">
        <v>1</v>
      </c>
      <c r="G36" s="2">
        <v>2400</v>
      </c>
    </row>
    <row r="37" spans="1:7" x14ac:dyDescent="0.3">
      <c r="A37" s="3">
        <v>34</v>
      </c>
      <c r="B37" s="4">
        <v>46129</v>
      </c>
      <c r="C37" s="2" t="s">
        <v>20</v>
      </c>
      <c r="D37" s="2" t="s">
        <v>58</v>
      </c>
      <c r="E37" s="3" t="s">
        <v>37</v>
      </c>
      <c r="F37" s="3">
        <v>4</v>
      </c>
      <c r="G37" s="2">
        <f>160*4</f>
        <v>640</v>
      </c>
    </row>
    <row r="38" spans="1:7" x14ac:dyDescent="0.3">
      <c r="A38" s="3">
        <v>35</v>
      </c>
      <c r="B38" s="4">
        <v>46129</v>
      </c>
      <c r="C38" s="2" t="s">
        <v>20</v>
      </c>
      <c r="D38" s="2" t="s">
        <v>36</v>
      </c>
      <c r="E38" s="3" t="s">
        <v>37</v>
      </c>
      <c r="F38" s="3">
        <v>2</v>
      </c>
      <c r="G38" s="2">
        <v>180</v>
      </c>
    </row>
    <row r="39" spans="1:7" x14ac:dyDescent="0.3">
      <c r="A39" s="3">
        <v>36</v>
      </c>
      <c r="B39" s="4">
        <v>46129</v>
      </c>
      <c r="C39" s="2" t="s">
        <v>20</v>
      </c>
      <c r="D39" s="2" t="s">
        <v>59</v>
      </c>
      <c r="E39" s="3" t="s">
        <v>28</v>
      </c>
      <c r="F39" s="3">
        <v>1</v>
      </c>
      <c r="G39" s="2">
        <v>150</v>
      </c>
    </row>
    <row r="40" spans="1:7" x14ac:dyDescent="0.3">
      <c r="A40" s="3">
        <v>37</v>
      </c>
      <c r="B40" s="4">
        <v>46130</v>
      </c>
      <c r="C40" s="2" t="s">
        <v>20</v>
      </c>
      <c r="D40" s="2" t="s">
        <v>61</v>
      </c>
      <c r="E40" s="3" t="s">
        <v>62</v>
      </c>
      <c r="F40" s="3">
        <v>1.93</v>
      </c>
      <c r="G40" s="2">
        <v>673</v>
      </c>
    </row>
    <row r="41" spans="1:7" x14ac:dyDescent="0.3">
      <c r="A41" s="3">
        <v>38</v>
      </c>
      <c r="B41" s="4">
        <v>46130</v>
      </c>
      <c r="C41" s="2" t="s">
        <v>20</v>
      </c>
      <c r="D41" s="2" t="s">
        <v>63</v>
      </c>
      <c r="E41" s="3" t="s">
        <v>28</v>
      </c>
      <c r="F41" s="3">
        <v>1</v>
      </c>
      <c r="G41" s="2">
        <v>350</v>
      </c>
    </row>
    <row r="42" spans="1:7" x14ac:dyDescent="0.3">
      <c r="A42" s="3">
        <v>39</v>
      </c>
      <c r="B42" s="4">
        <v>46130</v>
      </c>
      <c r="C42" s="2" t="s">
        <v>20</v>
      </c>
      <c r="D42" s="2" t="s">
        <v>64</v>
      </c>
      <c r="E42" s="3" t="s">
        <v>28</v>
      </c>
      <c r="F42" s="3">
        <v>1</v>
      </c>
      <c r="G42" s="2">
        <v>120</v>
      </c>
    </row>
    <row r="43" spans="1:7" x14ac:dyDescent="0.3">
      <c r="A43" s="3">
        <v>40</v>
      </c>
      <c r="B43" s="4">
        <v>46130</v>
      </c>
      <c r="C43" s="2" t="s">
        <v>20</v>
      </c>
      <c r="D43" s="2" t="s">
        <v>65</v>
      </c>
      <c r="E43" s="3"/>
      <c r="F43" s="3"/>
      <c r="G43" s="2"/>
    </row>
    <row r="44" spans="1:7" x14ac:dyDescent="0.3">
      <c r="A44" s="3">
        <v>41</v>
      </c>
      <c r="B44" s="4">
        <v>46131</v>
      </c>
      <c r="C44" s="2" t="s">
        <v>20</v>
      </c>
      <c r="D44" s="2" t="s">
        <v>67</v>
      </c>
      <c r="E44" s="3" t="s">
        <v>28</v>
      </c>
      <c r="F44" s="3">
        <v>1</v>
      </c>
      <c r="G44" s="2">
        <v>30</v>
      </c>
    </row>
    <row r="45" spans="1:7" x14ac:dyDescent="0.3">
      <c r="A45" s="3">
        <v>42</v>
      </c>
      <c r="B45" s="4">
        <v>46134</v>
      </c>
      <c r="C45" s="2" t="s">
        <v>20</v>
      </c>
      <c r="D45" s="2" t="s">
        <v>72</v>
      </c>
      <c r="E45" s="3" t="s">
        <v>28</v>
      </c>
      <c r="F45" s="3">
        <v>2</v>
      </c>
      <c r="G45" s="2">
        <v>60</v>
      </c>
    </row>
    <row r="46" spans="1:7" x14ac:dyDescent="0.3">
      <c r="A46" s="3">
        <v>43</v>
      </c>
      <c r="B46" s="4">
        <v>46134</v>
      </c>
      <c r="C46" s="2" t="s">
        <v>20</v>
      </c>
      <c r="D46" s="2" t="s">
        <v>73</v>
      </c>
      <c r="E46" s="3" t="s">
        <v>28</v>
      </c>
      <c r="F46" s="3">
        <v>2</v>
      </c>
      <c r="G46" s="2">
        <v>40</v>
      </c>
    </row>
    <row r="47" spans="1:7" x14ac:dyDescent="0.3">
      <c r="A47" s="3">
        <v>44</v>
      </c>
      <c r="B47" s="4">
        <v>46134</v>
      </c>
      <c r="C47" s="2" t="s">
        <v>20</v>
      </c>
      <c r="D47" s="2" t="s">
        <v>31</v>
      </c>
      <c r="E47" s="3" t="s">
        <v>28</v>
      </c>
      <c r="F47" s="3">
        <v>20</v>
      </c>
      <c r="G47" s="2">
        <v>240</v>
      </c>
    </row>
    <row r="48" spans="1:7" x14ac:dyDescent="0.3">
      <c r="A48" s="3">
        <v>45</v>
      </c>
      <c r="B48" s="4">
        <v>46134</v>
      </c>
      <c r="C48" s="2" t="s">
        <v>20</v>
      </c>
      <c r="D48" s="2" t="s">
        <v>74</v>
      </c>
      <c r="E48" s="3" t="s">
        <v>28</v>
      </c>
      <c r="F48" s="3">
        <v>2</v>
      </c>
      <c r="G48" s="2">
        <v>140</v>
      </c>
    </row>
    <row r="49" spans="1:15" x14ac:dyDescent="0.3">
      <c r="A49" s="3">
        <v>46</v>
      </c>
      <c r="B49" s="4">
        <v>46134</v>
      </c>
      <c r="C49" s="2" t="s">
        <v>20</v>
      </c>
      <c r="D49" s="2" t="s">
        <v>36</v>
      </c>
      <c r="E49" s="3" t="s">
        <v>37</v>
      </c>
      <c r="F49" s="3">
        <v>2</v>
      </c>
      <c r="G49" s="2">
        <v>260</v>
      </c>
    </row>
    <row r="50" spans="1:15" x14ac:dyDescent="0.3">
      <c r="A50" s="3">
        <v>47</v>
      </c>
      <c r="B50" s="4">
        <v>46135</v>
      </c>
      <c r="C50" s="2" t="s">
        <v>20</v>
      </c>
      <c r="D50" s="2" t="s">
        <v>27</v>
      </c>
      <c r="E50" s="3" t="s">
        <v>28</v>
      </c>
      <c r="F50" s="3">
        <v>4</v>
      </c>
      <c r="G50" s="2">
        <v>1440</v>
      </c>
    </row>
    <row r="51" spans="1:15" x14ac:dyDescent="0.3">
      <c r="A51" s="3">
        <v>48</v>
      </c>
      <c r="B51" s="4">
        <v>46136</v>
      </c>
      <c r="C51" s="2" t="s">
        <v>20</v>
      </c>
      <c r="D51" s="2" t="s">
        <v>76</v>
      </c>
      <c r="E51" s="3"/>
      <c r="F51" s="3"/>
      <c r="G51" s="2">
        <v>1389</v>
      </c>
    </row>
    <row r="52" spans="1:15" x14ac:dyDescent="0.3">
      <c r="A52" s="3">
        <v>49</v>
      </c>
      <c r="B52" s="4">
        <v>46137</v>
      </c>
      <c r="C52" s="2" t="s">
        <v>20</v>
      </c>
      <c r="D52" s="2" t="s">
        <v>77</v>
      </c>
      <c r="E52" s="3" t="s">
        <v>28</v>
      </c>
      <c r="F52" s="3">
        <v>1</v>
      </c>
      <c r="G52" s="2">
        <v>300</v>
      </c>
    </row>
    <row r="53" spans="1:15" x14ac:dyDescent="0.3">
      <c r="A53" s="3">
        <v>50</v>
      </c>
      <c r="B53" s="4">
        <v>46137</v>
      </c>
      <c r="C53" s="2" t="s">
        <v>20</v>
      </c>
      <c r="D53" s="2" t="s">
        <v>78</v>
      </c>
      <c r="E53" s="3" t="s">
        <v>28</v>
      </c>
      <c r="F53" s="3">
        <v>1</v>
      </c>
      <c r="G53" s="2">
        <v>150</v>
      </c>
    </row>
    <row r="54" spans="1:15" x14ac:dyDescent="0.3">
      <c r="A54" s="3">
        <v>51</v>
      </c>
      <c r="B54" s="4">
        <v>46137</v>
      </c>
      <c r="C54" s="2" t="s">
        <v>20</v>
      </c>
      <c r="D54" s="2" t="s">
        <v>42</v>
      </c>
      <c r="E54" s="3" t="s">
        <v>28</v>
      </c>
      <c r="F54" s="3">
        <v>1</v>
      </c>
      <c r="G54" s="2">
        <v>280</v>
      </c>
    </row>
    <row r="55" spans="1:15" x14ac:dyDescent="0.3">
      <c r="A55" s="3">
        <v>52</v>
      </c>
      <c r="B55" s="4">
        <v>46138</v>
      </c>
      <c r="C55" s="2" t="s">
        <v>20</v>
      </c>
      <c r="D55" s="2" t="s">
        <v>79</v>
      </c>
      <c r="E55" s="3"/>
      <c r="F55" s="3"/>
      <c r="G55" s="2">
        <v>618</v>
      </c>
    </row>
    <row r="56" spans="1:15" x14ac:dyDescent="0.3">
      <c r="A56" s="3">
        <v>53</v>
      </c>
      <c r="B56" s="4">
        <v>46139</v>
      </c>
      <c r="C56" s="2" t="s">
        <v>20</v>
      </c>
      <c r="D56" s="2" t="s">
        <v>65</v>
      </c>
      <c r="E56" s="3" t="s">
        <v>14</v>
      </c>
      <c r="F56" s="3">
        <v>1</v>
      </c>
      <c r="G56" s="2"/>
    </row>
    <row r="57" spans="1:15" x14ac:dyDescent="0.3">
      <c r="A57" s="3">
        <v>54</v>
      </c>
      <c r="B57" s="4">
        <v>46140</v>
      </c>
      <c r="C57" s="2" t="s">
        <v>20</v>
      </c>
      <c r="D57" s="2" t="s">
        <v>51</v>
      </c>
      <c r="E57" s="3" t="s">
        <v>37</v>
      </c>
      <c r="F57" s="3">
        <v>100</v>
      </c>
      <c r="G57" s="2">
        <v>6000</v>
      </c>
    </row>
    <row r="58" spans="1:15" x14ac:dyDescent="0.3">
      <c r="A58" s="3">
        <v>55</v>
      </c>
      <c r="B58" s="4">
        <v>46140</v>
      </c>
      <c r="C58" s="2" t="s">
        <v>20</v>
      </c>
      <c r="D58" s="2" t="s">
        <v>82</v>
      </c>
      <c r="E58" s="3" t="s">
        <v>62</v>
      </c>
      <c r="F58" s="3">
        <v>10</v>
      </c>
      <c r="G58" s="2">
        <v>680</v>
      </c>
    </row>
    <row r="59" spans="1:15" x14ac:dyDescent="0.3">
      <c r="A59" s="3">
        <v>56</v>
      </c>
      <c r="B59" s="4">
        <v>46140</v>
      </c>
      <c r="C59" s="2" t="s">
        <v>20</v>
      </c>
      <c r="D59" s="2" t="s">
        <v>38</v>
      </c>
      <c r="E59" s="3" t="s">
        <v>37</v>
      </c>
      <c r="F59" s="3">
        <v>20</v>
      </c>
      <c r="G59" s="2">
        <v>1700</v>
      </c>
    </row>
    <row r="60" spans="1:15" x14ac:dyDescent="0.3">
      <c r="A60" s="3">
        <v>57</v>
      </c>
      <c r="B60" s="4">
        <v>46140</v>
      </c>
      <c r="C60" s="2" t="s">
        <v>20</v>
      </c>
      <c r="D60" s="2" t="s">
        <v>45</v>
      </c>
      <c r="E60" s="3" t="s">
        <v>28</v>
      </c>
      <c r="F60" s="3">
        <v>1</v>
      </c>
      <c r="G60" s="2">
        <v>100</v>
      </c>
    </row>
    <row r="61" spans="1:15" x14ac:dyDescent="0.3">
      <c r="A61" s="3">
        <v>58</v>
      </c>
      <c r="B61" s="4">
        <v>46140</v>
      </c>
      <c r="C61" s="2" t="s">
        <v>20</v>
      </c>
      <c r="D61" s="2" t="s">
        <v>38</v>
      </c>
      <c r="E61" s="3" t="s">
        <v>37</v>
      </c>
      <c r="F61" s="3">
        <v>20</v>
      </c>
      <c r="G61" s="2">
        <v>1850</v>
      </c>
    </row>
    <row r="62" spans="1:15" x14ac:dyDescent="0.3">
      <c r="A62" s="3">
        <v>59</v>
      </c>
      <c r="B62" s="4">
        <v>46143</v>
      </c>
      <c r="C62" s="2" t="s">
        <v>20</v>
      </c>
      <c r="D62" s="2" t="s">
        <v>42</v>
      </c>
      <c r="E62" s="3" t="s">
        <v>28</v>
      </c>
      <c r="F62" s="3">
        <v>1</v>
      </c>
      <c r="G62" s="2">
        <v>280</v>
      </c>
    </row>
    <row r="63" spans="1:15" x14ac:dyDescent="0.3">
      <c r="A63" s="3">
        <v>60</v>
      </c>
      <c r="B63" s="4">
        <v>46143</v>
      </c>
      <c r="C63" s="2" t="s">
        <v>20</v>
      </c>
      <c r="D63" s="2" t="s">
        <v>51</v>
      </c>
      <c r="E63" s="3" t="s">
        <v>37</v>
      </c>
      <c r="F63" s="3">
        <v>20</v>
      </c>
      <c r="G63" s="2">
        <v>1200</v>
      </c>
    </row>
    <row r="64" spans="1:15" x14ac:dyDescent="0.3">
      <c r="A64" s="3">
        <v>61</v>
      </c>
      <c r="B64" s="4">
        <v>46143</v>
      </c>
      <c r="C64" s="2" t="s">
        <v>20</v>
      </c>
      <c r="D64" s="2" t="s">
        <v>38</v>
      </c>
      <c r="E64" s="3" t="s">
        <v>37</v>
      </c>
      <c r="F64" s="3">
        <v>20</v>
      </c>
      <c r="G64" s="2">
        <v>1850</v>
      </c>
      <c r="O64">
        <f>86541-13300-10850-9840-4250-27773</f>
        <v>20528</v>
      </c>
    </row>
    <row r="65" spans="1:7" x14ac:dyDescent="0.3">
      <c r="A65" s="3">
        <v>62</v>
      </c>
      <c r="B65" s="4">
        <v>46143</v>
      </c>
      <c r="C65" s="2" t="s">
        <v>20</v>
      </c>
      <c r="D65" s="2" t="s">
        <v>44</v>
      </c>
      <c r="E65" s="3" t="s">
        <v>28</v>
      </c>
      <c r="F65" s="3">
        <v>3</v>
      </c>
      <c r="G65" s="2">
        <v>360</v>
      </c>
    </row>
    <row r="66" spans="1:7" x14ac:dyDescent="0.3">
      <c r="A66" s="3">
        <v>63</v>
      </c>
      <c r="B66" s="4">
        <v>46144</v>
      </c>
      <c r="C66" s="2" t="s">
        <v>20</v>
      </c>
      <c r="D66" s="2" t="s">
        <v>38</v>
      </c>
      <c r="E66" s="3" t="s">
        <v>37</v>
      </c>
      <c r="F66" s="3">
        <v>20</v>
      </c>
      <c r="G66" s="2">
        <v>1250</v>
      </c>
    </row>
    <row r="67" spans="1:7" x14ac:dyDescent="0.3">
      <c r="A67" s="3">
        <v>64</v>
      </c>
      <c r="B67" s="4">
        <v>46145</v>
      </c>
      <c r="C67" s="2" t="s">
        <v>20</v>
      </c>
      <c r="D67" s="2" t="s">
        <v>51</v>
      </c>
      <c r="E67" s="3" t="s">
        <v>37</v>
      </c>
      <c r="F67" s="3">
        <v>40</v>
      </c>
      <c r="G67" s="2">
        <v>2400</v>
      </c>
    </row>
    <row r="68" spans="1:7" x14ac:dyDescent="0.3">
      <c r="A68" s="3">
        <v>65</v>
      </c>
      <c r="B68" s="4">
        <v>46145</v>
      </c>
      <c r="C68" s="2" t="s">
        <v>20</v>
      </c>
      <c r="D68" s="2" t="s">
        <v>79</v>
      </c>
      <c r="E68" s="3"/>
      <c r="F68" s="3"/>
      <c r="G68" s="2">
        <v>330</v>
      </c>
    </row>
    <row r="69" spans="1:7" x14ac:dyDescent="0.3">
      <c r="A69" s="3">
        <v>66</v>
      </c>
      <c r="B69" s="4">
        <v>46145</v>
      </c>
      <c r="C69" s="2" t="s">
        <v>20</v>
      </c>
      <c r="D69" s="2" t="s">
        <v>38</v>
      </c>
      <c r="E69" s="3" t="s">
        <v>37</v>
      </c>
      <c r="F69" s="3">
        <v>2</v>
      </c>
      <c r="G69" s="2">
        <v>300</v>
      </c>
    </row>
    <row r="70" spans="1:7" x14ac:dyDescent="0.3">
      <c r="A70" s="3">
        <v>67</v>
      </c>
      <c r="B70" s="4">
        <v>46145</v>
      </c>
      <c r="C70" s="2" t="s">
        <v>20</v>
      </c>
      <c r="D70" s="2" t="s">
        <v>11</v>
      </c>
      <c r="E70" s="3" t="s">
        <v>9</v>
      </c>
      <c r="F70" s="3">
        <v>15</v>
      </c>
      <c r="G70" s="2">
        <f>120*15</f>
        <v>1800</v>
      </c>
    </row>
    <row r="71" spans="1:7" x14ac:dyDescent="0.3">
      <c r="A71" s="3">
        <v>68</v>
      </c>
      <c r="B71" s="4">
        <v>46145</v>
      </c>
      <c r="C71" s="2" t="s">
        <v>20</v>
      </c>
      <c r="D71" s="2" t="s">
        <v>21</v>
      </c>
      <c r="E71" s="3" t="s">
        <v>9</v>
      </c>
      <c r="F71" s="3">
        <v>2</v>
      </c>
      <c r="G71" s="2">
        <f>350*2</f>
        <v>700</v>
      </c>
    </row>
    <row r="72" spans="1:7" x14ac:dyDescent="0.3">
      <c r="A72" s="3">
        <v>69</v>
      </c>
      <c r="B72" s="4">
        <v>46145</v>
      </c>
      <c r="C72" s="2" t="s">
        <v>20</v>
      </c>
      <c r="D72" s="2" t="s">
        <v>15</v>
      </c>
      <c r="E72" s="3" t="s">
        <v>9</v>
      </c>
      <c r="F72" s="3">
        <v>10</v>
      </c>
      <c r="G72" s="2">
        <f>140*10</f>
        <v>1400</v>
      </c>
    </row>
    <row r="73" spans="1:7" x14ac:dyDescent="0.3">
      <c r="A73" s="3">
        <v>70</v>
      </c>
      <c r="B73" s="4">
        <v>46148</v>
      </c>
      <c r="C73" s="2" t="s">
        <v>40</v>
      </c>
      <c r="D73" s="2" t="s">
        <v>89</v>
      </c>
      <c r="E73" s="3" t="s">
        <v>28</v>
      </c>
      <c r="F73" s="3">
        <v>1</v>
      </c>
      <c r="G73" s="2"/>
    </row>
    <row r="74" spans="1:7" x14ac:dyDescent="0.3">
      <c r="A74" s="3">
        <v>71</v>
      </c>
      <c r="B74" s="4">
        <v>46148</v>
      </c>
      <c r="C74" s="2" t="s">
        <v>20</v>
      </c>
      <c r="D74" s="2" t="s">
        <v>90</v>
      </c>
      <c r="E74" s="3" t="s">
        <v>28</v>
      </c>
      <c r="F74" s="3">
        <v>1</v>
      </c>
      <c r="G74" s="2"/>
    </row>
    <row r="75" spans="1:7" x14ac:dyDescent="0.3">
      <c r="A75" s="3">
        <v>72</v>
      </c>
      <c r="B75" s="4">
        <v>46148</v>
      </c>
      <c r="C75" s="2" t="s">
        <v>20</v>
      </c>
      <c r="D75" s="2" t="s">
        <v>72</v>
      </c>
      <c r="E75" s="3" t="s">
        <v>28</v>
      </c>
      <c r="F75" s="3">
        <v>2</v>
      </c>
      <c r="G75" s="2"/>
    </row>
    <row r="76" spans="1:7" x14ac:dyDescent="0.3">
      <c r="A76" s="3">
        <v>73</v>
      </c>
      <c r="B76" s="4">
        <v>46148</v>
      </c>
      <c r="C76" s="2" t="s">
        <v>20</v>
      </c>
      <c r="D76" s="2" t="s">
        <v>91</v>
      </c>
      <c r="E76" s="3" t="s">
        <v>28</v>
      </c>
      <c r="F76" s="3">
        <v>1</v>
      </c>
      <c r="G76" s="2"/>
    </row>
    <row r="77" spans="1:7" x14ac:dyDescent="0.3">
      <c r="A77" s="3">
        <v>74</v>
      </c>
      <c r="B77" s="4">
        <v>46148</v>
      </c>
      <c r="C77" s="2" t="s">
        <v>20</v>
      </c>
      <c r="D77" s="2" t="s">
        <v>92</v>
      </c>
      <c r="E77" s="3" t="s">
        <v>28</v>
      </c>
      <c r="F77" s="3">
        <v>4</v>
      </c>
      <c r="G77" s="2"/>
    </row>
    <row r="78" spans="1:7" x14ac:dyDescent="0.3">
      <c r="A78" s="3">
        <v>75</v>
      </c>
      <c r="B78" s="4">
        <v>46148</v>
      </c>
      <c r="C78" s="2" t="s">
        <v>40</v>
      </c>
      <c r="D78" s="2" t="s">
        <v>93</v>
      </c>
      <c r="E78" s="3" t="s">
        <v>28</v>
      </c>
      <c r="F78" s="3">
        <v>1</v>
      </c>
      <c r="G78" s="2"/>
    </row>
    <row r="79" spans="1:7" x14ac:dyDescent="0.3">
      <c r="A79" s="3">
        <v>76</v>
      </c>
      <c r="B79" s="4">
        <v>46149</v>
      </c>
      <c r="C79" s="2" t="s">
        <v>40</v>
      </c>
      <c r="D79" s="2" t="s">
        <v>94</v>
      </c>
      <c r="E79" s="3" t="s">
        <v>28</v>
      </c>
      <c r="F79" s="3">
        <v>1</v>
      </c>
      <c r="G79" s="2"/>
    </row>
    <row r="80" spans="1:7" x14ac:dyDescent="0.3">
      <c r="A80" s="3">
        <v>77</v>
      </c>
      <c r="B80" s="4">
        <v>46149</v>
      </c>
      <c r="C80" s="2" t="s">
        <v>40</v>
      </c>
      <c r="D80" s="2" t="s">
        <v>95</v>
      </c>
      <c r="E80" s="3" t="s">
        <v>28</v>
      </c>
      <c r="F80" s="3">
        <v>1</v>
      </c>
      <c r="G80" s="2"/>
    </row>
    <row r="81" spans="1:7" x14ac:dyDescent="0.3">
      <c r="A81" s="3">
        <v>78</v>
      </c>
      <c r="B81" s="4">
        <v>46151</v>
      </c>
      <c r="C81" s="2" t="s">
        <v>20</v>
      </c>
      <c r="D81" s="2" t="s">
        <v>27</v>
      </c>
      <c r="E81" s="3" t="s">
        <v>28</v>
      </c>
      <c r="F81" s="3">
        <v>2</v>
      </c>
      <c r="G81" s="2"/>
    </row>
    <row r="82" spans="1:7" x14ac:dyDescent="0.3">
      <c r="A82" s="3">
        <v>79</v>
      </c>
      <c r="B82" s="4">
        <v>46151</v>
      </c>
      <c r="C82" s="2" t="s">
        <v>20</v>
      </c>
      <c r="D82" s="2" t="s">
        <v>51</v>
      </c>
      <c r="E82" s="3" t="s">
        <v>28</v>
      </c>
      <c r="F82" s="3">
        <v>4</v>
      </c>
      <c r="G82" s="2">
        <v>1160</v>
      </c>
    </row>
    <row r="83" spans="1:7" x14ac:dyDescent="0.3">
      <c r="A83" s="3">
        <v>80</v>
      </c>
      <c r="B83" s="4">
        <v>46151</v>
      </c>
      <c r="C83" s="2" t="s">
        <v>20</v>
      </c>
      <c r="D83" s="2" t="s">
        <v>82</v>
      </c>
      <c r="E83" s="3" t="s">
        <v>62</v>
      </c>
      <c r="F83" s="3">
        <v>10</v>
      </c>
      <c r="G83" s="2">
        <v>700</v>
      </c>
    </row>
    <row r="84" spans="1:7" x14ac:dyDescent="0.3">
      <c r="A84" s="3">
        <v>81</v>
      </c>
      <c r="B84" s="4">
        <v>46151</v>
      </c>
      <c r="C84" s="2" t="s">
        <v>20</v>
      </c>
      <c r="D84" s="2" t="s">
        <v>36</v>
      </c>
      <c r="E84" s="3" t="s">
        <v>37</v>
      </c>
      <c r="F84" s="3">
        <v>1</v>
      </c>
      <c r="G84" s="2">
        <v>130</v>
      </c>
    </row>
    <row r="85" spans="1:7" x14ac:dyDescent="0.3">
      <c r="A85" s="3">
        <v>82</v>
      </c>
      <c r="B85" s="4">
        <v>46151</v>
      </c>
      <c r="C85" s="2" t="s">
        <v>20</v>
      </c>
      <c r="D85" s="2" t="s">
        <v>45</v>
      </c>
      <c r="E85" s="3" t="s">
        <v>28</v>
      </c>
      <c r="F85" s="3">
        <v>1</v>
      </c>
      <c r="G85" s="2">
        <v>50</v>
      </c>
    </row>
    <row r="86" spans="1:7" x14ac:dyDescent="0.3">
      <c r="A86" s="3">
        <v>83</v>
      </c>
      <c r="B86" s="4">
        <v>46152</v>
      </c>
      <c r="C86" s="2" t="s">
        <v>20</v>
      </c>
      <c r="D86" s="2" t="s">
        <v>21</v>
      </c>
      <c r="E86" s="3" t="s">
        <v>9</v>
      </c>
      <c r="F86" s="3">
        <v>4</v>
      </c>
      <c r="G86" s="2">
        <f>345*4</f>
        <v>1380</v>
      </c>
    </row>
    <row r="87" spans="1:7" x14ac:dyDescent="0.3">
      <c r="A87" s="3">
        <v>84</v>
      </c>
      <c r="B87" s="4">
        <v>46152</v>
      </c>
      <c r="C87" s="2" t="s">
        <v>20</v>
      </c>
      <c r="D87" s="2" t="s">
        <v>15</v>
      </c>
      <c r="E87" s="3" t="s">
        <v>9</v>
      </c>
      <c r="F87" s="3">
        <v>5</v>
      </c>
      <c r="G87" s="2">
        <f>130*5</f>
        <v>650</v>
      </c>
    </row>
    <row r="88" spans="1:7" x14ac:dyDescent="0.3">
      <c r="A88" s="3">
        <v>85</v>
      </c>
      <c r="B88" s="4">
        <v>46152</v>
      </c>
      <c r="C88" s="2" t="s">
        <v>20</v>
      </c>
      <c r="D88" s="2" t="s">
        <v>11</v>
      </c>
      <c r="E88" s="3" t="s">
        <v>9</v>
      </c>
      <c r="F88" s="3">
        <v>12</v>
      </c>
      <c r="G88" s="2">
        <f>12*120</f>
        <v>1440</v>
      </c>
    </row>
    <row r="89" spans="1:7" x14ac:dyDescent="0.3">
      <c r="A89" s="3">
        <v>86</v>
      </c>
      <c r="B89" s="4">
        <v>46152</v>
      </c>
      <c r="C89" s="2" t="s">
        <v>20</v>
      </c>
      <c r="D89" s="2" t="s">
        <v>51</v>
      </c>
      <c r="E89" s="3" t="s">
        <v>37</v>
      </c>
      <c r="F89" s="3">
        <v>20</v>
      </c>
      <c r="G89" s="2">
        <v>1200</v>
      </c>
    </row>
    <row r="90" spans="1:7" x14ac:dyDescent="0.3">
      <c r="A90" s="3">
        <v>87</v>
      </c>
      <c r="B90" s="4">
        <v>46152</v>
      </c>
      <c r="C90" s="2" t="s">
        <v>20</v>
      </c>
      <c r="D90" s="2" t="s">
        <v>51</v>
      </c>
      <c r="E90" s="3" t="s">
        <v>37</v>
      </c>
      <c r="F90" s="3">
        <v>2</v>
      </c>
      <c r="G90" s="2">
        <v>600</v>
      </c>
    </row>
    <row r="91" spans="1:7" x14ac:dyDescent="0.3">
      <c r="A91" s="3">
        <v>88</v>
      </c>
      <c r="B91" s="4">
        <v>46152</v>
      </c>
      <c r="C91" s="2" t="s">
        <v>20</v>
      </c>
      <c r="D91" s="2" t="s">
        <v>51</v>
      </c>
      <c r="E91" s="3" t="s">
        <v>37</v>
      </c>
      <c r="F91" s="3">
        <v>20</v>
      </c>
      <c r="G91" s="2">
        <v>1200</v>
      </c>
    </row>
    <row r="92" spans="1:7" x14ac:dyDescent="0.3">
      <c r="A92" s="3">
        <v>89</v>
      </c>
      <c r="B92" s="4">
        <v>46153</v>
      </c>
      <c r="C92" s="2" t="s">
        <v>20</v>
      </c>
      <c r="D92" s="2" t="s">
        <v>65</v>
      </c>
      <c r="E92" s="3" t="s">
        <v>14</v>
      </c>
      <c r="F92" s="3">
        <v>2</v>
      </c>
      <c r="G92" s="2"/>
    </row>
    <row r="93" spans="1:7" x14ac:dyDescent="0.3">
      <c r="A93" s="3">
        <v>90</v>
      </c>
      <c r="B93" s="4">
        <v>46153</v>
      </c>
      <c r="C93" s="2" t="s">
        <v>20</v>
      </c>
      <c r="D93" s="2" t="s">
        <v>97</v>
      </c>
      <c r="E93" s="3" t="s">
        <v>14</v>
      </c>
      <c r="F93" s="3">
        <v>1</v>
      </c>
      <c r="G93" s="2">
        <v>145</v>
      </c>
    </row>
    <row r="94" spans="1:7" x14ac:dyDescent="0.3">
      <c r="A94" s="3">
        <v>91</v>
      </c>
      <c r="B94" s="4">
        <v>46153</v>
      </c>
      <c r="C94" s="2" t="s">
        <v>20</v>
      </c>
      <c r="D94" s="2" t="s">
        <v>98</v>
      </c>
      <c r="E94" s="3" t="s">
        <v>14</v>
      </c>
      <c r="F94" s="3">
        <v>2</v>
      </c>
      <c r="G94" s="2">
        <f>40+85</f>
        <v>125</v>
      </c>
    </row>
    <row r="95" spans="1:7" x14ac:dyDescent="0.3">
      <c r="A95" s="3">
        <v>92</v>
      </c>
      <c r="B95" s="4">
        <v>46153</v>
      </c>
      <c r="C95" s="2" t="s">
        <v>20</v>
      </c>
      <c r="D95" s="2" t="s">
        <v>99</v>
      </c>
      <c r="E95" s="3" t="s">
        <v>62</v>
      </c>
      <c r="F95" s="3">
        <v>0.68700000000000006</v>
      </c>
      <c r="G95" s="2">
        <v>82</v>
      </c>
    </row>
    <row r="96" spans="1:7" x14ac:dyDescent="0.3">
      <c r="A96" s="3">
        <v>93</v>
      </c>
      <c r="B96" s="4">
        <v>46153</v>
      </c>
      <c r="C96" s="8" t="s">
        <v>100</v>
      </c>
      <c r="D96" s="2" t="s">
        <v>101</v>
      </c>
      <c r="E96" s="3" t="s">
        <v>28</v>
      </c>
      <c r="F96" s="3">
        <v>24</v>
      </c>
      <c r="G96" s="2"/>
    </row>
    <row r="97" spans="1:7" x14ac:dyDescent="0.3">
      <c r="A97" s="3">
        <v>94</v>
      </c>
      <c r="B97" s="4">
        <v>46154</v>
      </c>
      <c r="C97" s="2" t="s">
        <v>20</v>
      </c>
      <c r="D97" s="2" t="s">
        <v>51</v>
      </c>
      <c r="E97" s="3" t="s">
        <v>37</v>
      </c>
      <c r="F97" s="3">
        <v>60</v>
      </c>
      <c r="G97" s="2">
        <v>3600</v>
      </c>
    </row>
    <row r="98" spans="1:7" x14ac:dyDescent="0.3">
      <c r="A98" s="3">
        <v>95</v>
      </c>
      <c r="B98" s="4">
        <v>46154</v>
      </c>
      <c r="C98" s="2" t="s">
        <v>20</v>
      </c>
      <c r="D98" s="2" t="s">
        <v>51</v>
      </c>
      <c r="E98" s="3" t="s">
        <v>37</v>
      </c>
      <c r="F98" s="3">
        <v>20</v>
      </c>
      <c r="G98" s="2">
        <v>1750</v>
      </c>
    </row>
    <row r="99" spans="1:7" x14ac:dyDescent="0.3">
      <c r="A99" s="3">
        <v>96</v>
      </c>
      <c r="B99" s="4">
        <v>46154</v>
      </c>
      <c r="C99" s="2" t="s">
        <v>20</v>
      </c>
      <c r="D99" s="2" t="s">
        <v>51</v>
      </c>
      <c r="E99" s="3" t="s">
        <v>37</v>
      </c>
      <c r="F99" s="3">
        <v>20</v>
      </c>
      <c r="G99" s="2">
        <v>2500</v>
      </c>
    </row>
    <row r="100" spans="1:7" x14ac:dyDescent="0.3">
      <c r="A100" s="3">
        <v>97</v>
      </c>
      <c r="B100" s="4">
        <v>46154</v>
      </c>
      <c r="C100" s="2" t="s">
        <v>20</v>
      </c>
      <c r="D100" s="2" t="s">
        <v>51</v>
      </c>
      <c r="E100" s="3" t="s">
        <v>37</v>
      </c>
      <c r="F100" s="3">
        <v>4</v>
      </c>
      <c r="G100" s="2">
        <v>1100</v>
      </c>
    </row>
    <row r="101" spans="1:7" x14ac:dyDescent="0.3">
      <c r="A101" s="3">
        <v>98</v>
      </c>
      <c r="B101" s="4">
        <v>46154</v>
      </c>
      <c r="C101" s="2" t="s">
        <v>20</v>
      </c>
      <c r="D101" s="2" t="s">
        <v>46</v>
      </c>
      <c r="E101" s="3" t="s">
        <v>28</v>
      </c>
      <c r="F101" s="3">
        <v>30</v>
      </c>
      <c r="G101" s="2">
        <v>450</v>
      </c>
    </row>
    <row r="102" spans="1:7" x14ac:dyDescent="0.3">
      <c r="A102" s="6">
        <v>99</v>
      </c>
      <c r="B102" s="7">
        <v>46154</v>
      </c>
      <c r="C102" s="8" t="s">
        <v>20</v>
      </c>
      <c r="D102" s="8" t="s">
        <v>102</v>
      </c>
      <c r="E102" s="6" t="s">
        <v>28</v>
      </c>
      <c r="F102" s="6">
        <v>18</v>
      </c>
      <c r="G102" s="8"/>
    </row>
    <row r="103" spans="1:7" x14ac:dyDescent="0.3">
      <c r="A103" s="6">
        <v>100</v>
      </c>
      <c r="B103" s="7">
        <v>46154</v>
      </c>
      <c r="C103" s="8" t="s">
        <v>20</v>
      </c>
      <c r="D103" s="8" t="s">
        <v>103</v>
      </c>
      <c r="E103" s="6" t="s">
        <v>28</v>
      </c>
      <c r="F103" s="6">
        <v>18</v>
      </c>
      <c r="G103" s="8"/>
    </row>
    <row r="104" spans="1:7" x14ac:dyDescent="0.3">
      <c r="A104" s="3">
        <v>101</v>
      </c>
      <c r="B104" s="4">
        <v>46155</v>
      </c>
      <c r="C104" s="2" t="s">
        <v>40</v>
      </c>
      <c r="D104" s="2" t="s">
        <v>46</v>
      </c>
      <c r="E104" s="3" t="s">
        <v>28</v>
      </c>
      <c r="F104" s="3">
        <v>50</v>
      </c>
      <c r="G104" s="2"/>
    </row>
    <row r="105" spans="1:7" x14ac:dyDescent="0.3">
      <c r="A105" s="3">
        <v>102</v>
      </c>
      <c r="B105" s="4">
        <v>46155</v>
      </c>
      <c r="C105" s="8" t="s">
        <v>100</v>
      </c>
      <c r="D105" s="2" t="s">
        <v>65</v>
      </c>
      <c r="E105" s="3" t="s">
        <v>14</v>
      </c>
      <c r="F105" s="3">
        <v>2</v>
      </c>
      <c r="G105" s="2"/>
    </row>
    <row r="106" spans="1:7" x14ac:dyDescent="0.3">
      <c r="A106" s="3">
        <v>103</v>
      </c>
      <c r="B106" s="4">
        <v>46155</v>
      </c>
      <c r="C106" s="2" t="s">
        <v>20</v>
      </c>
      <c r="D106" s="2" t="s">
        <v>42</v>
      </c>
      <c r="E106" s="3" t="s">
        <v>28</v>
      </c>
      <c r="F106" s="3">
        <v>1</v>
      </c>
      <c r="G106" s="2">
        <v>280</v>
      </c>
    </row>
    <row r="107" spans="1:7" x14ac:dyDescent="0.3">
      <c r="A107" s="3">
        <v>104</v>
      </c>
      <c r="B107" s="4">
        <v>46155</v>
      </c>
      <c r="C107" s="2" t="s">
        <v>20</v>
      </c>
      <c r="D107" s="2" t="s">
        <v>46</v>
      </c>
      <c r="E107" s="3" t="s">
        <v>28</v>
      </c>
      <c r="F107" s="3">
        <v>25</v>
      </c>
      <c r="G107" s="2">
        <v>500</v>
      </c>
    </row>
    <row r="108" spans="1:7" x14ac:dyDescent="0.3">
      <c r="A108" s="3">
        <v>105</v>
      </c>
      <c r="B108" s="4">
        <v>46155</v>
      </c>
      <c r="C108" s="2" t="s">
        <v>20</v>
      </c>
      <c r="D108" s="2" t="s">
        <v>104</v>
      </c>
      <c r="E108" s="3" t="s">
        <v>28</v>
      </c>
      <c r="F108" s="3">
        <v>4</v>
      </c>
      <c r="G108" s="2">
        <v>140</v>
      </c>
    </row>
    <row r="109" spans="1:7" x14ac:dyDescent="0.3">
      <c r="A109" s="3">
        <v>106</v>
      </c>
      <c r="B109" s="4">
        <v>46155</v>
      </c>
      <c r="C109" s="2" t="s">
        <v>20</v>
      </c>
      <c r="D109" s="2" t="s">
        <v>57</v>
      </c>
      <c r="E109" s="3" t="s">
        <v>28</v>
      </c>
      <c r="F109" s="3">
        <v>1</v>
      </c>
      <c r="G109" s="2">
        <v>110</v>
      </c>
    </row>
    <row r="110" spans="1:7" x14ac:dyDescent="0.3">
      <c r="A110" s="3">
        <v>107</v>
      </c>
      <c r="B110" s="4">
        <v>46155</v>
      </c>
      <c r="C110" s="2" t="s">
        <v>20</v>
      </c>
      <c r="D110" s="2" t="s">
        <v>76</v>
      </c>
      <c r="E110" s="3"/>
      <c r="F110" s="3"/>
      <c r="G110" s="2">
        <v>960</v>
      </c>
    </row>
    <row r="111" spans="1:7" x14ac:dyDescent="0.3">
      <c r="A111" s="3">
        <v>108</v>
      </c>
      <c r="B111" s="4">
        <v>46155</v>
      </c>
      <c r="C111" s="2" t="s">
        <v>100</v>
      </c>
      <c r="D111" s="2" t="s">
        <v>105</v>
      </c>
      <c r="E111" s="3" t="s">
        <v>28</v>
      </c>
      <c r="F111" s="3">
        <v>2</v>
      </c>
      <c r="G111" s="2"/>
    </row>
    <row r="112" spans="1:7" x14ac:dyDescent="0.3">
      <c r="A112" s="3">
        <v>109</v>
      </c>
      <c r="B112" s="4">
        <v>46155</v>
      </c>
      <c r="C112" s="2" t="s">
        <v>20</v>
      </c>
      <c r="D112" s="2" t="s">
        <v>76</v>
      </c>
      <c r="E112" s="3"/>
      <c r="F112" s="3"/>
      <c r="G112" s="2">
        <v>2510</v>
      </c>
    </row>
    <row r="113" spans="1:7" x14ac:dyDescent="0.3">
      <c r="A113" s="3">
        <v>110</v>
      </c>
      <c r="B113" s="4">
        <v>46156</v>
      </c>
      <c r="C113" s="2" t="s">
        <v>40</v>
      </c>
      <c r="D113" s="2" t="s">
        <v>217</v>
      </c>
      <c r="E113" s="3" t="s">
        <v>28</v>
      </c>
      <c r="F113" s="3">
        <v>4</v>
      </c>
      <c r="G113" s="2"/>
    </row>
    <row r="114" spans="1:7" x14ac:dyDescent="0.3">
      <c r="A114" s="3">
        <v>111</v>
      </c>
      <c r="B114" s="4">
        <v>46156</v>
      </c>
      <c r="C114" s="2" t="s">
        <v>20</v>
      </c>
      <c r="D114" s="2" t="s">
        <v>104</v>
      </c>
      <c r="E114" s="3" t="s">
        <v>28</v>
      </c>
      <c r="F114" s="3">
        <v>28</v>
      </c>
      <c r="G114" s="2">
        <v>1120</v>
      </c>
    </row>
    <row r="115" spans="1:7" x14ac:dyDescent="0.3">
      <c r="A115" s="3">
        <v>112</v>
      </c>
      <c r="B115" s="4">
        <v>46157</v>
      </c>
      <c r="C115" s="2" t="s">
        <v>20</v>
      </c>
      <c r="D115" s="2" t="s">
        <v>27</v>
      </c>
      <c r="E115" s="3" t="s">
        <v>28</v>
      </c>
      <c r="F115" s="3">
        <v>4</v>
      </c>
      <c r="G115" s="2"/>
    </row>
    <row r="116" spans="1:7" x14ac:dyDescent="0.3">
      <c r="A116" s="3">
        <v>113</v>
      </c>
      <c r="B116" s="4">
        <v>46157</v>
      </c>
      <c r="C116" s="2" t="s">
        <v>20</v>
      </c>
      <c r="D116" s="2" t="s">
        <v>31</v>
      </c>
      <c r="E116" s="3" t="s">
        <v>28</v>
      </c>
      <c r="F116" s="3">
        <v>25</v>
      </c>
      <c r="G116" s="2"/>
    </row>
    <row r="117" spans="1:7" x14ac:dyDescent="0.3">
      <c r="A117" s="3">
        <v>114</v>
      </c>
      <c r="B117" s="4">
        <v>46158</v>
      </c>
      <c r="C117" s="2" t="s">
        <v>20</v>
      </c>
      <c r="D117" s="2" t="s">
        <v>219</v>
      </c>
      <c r="E117" s="3" t="s">
        <v>28</v>
      </c>
      <c r="F117" s="3">
        <v>4</v>
      </c>
      <c r="G117" s="2"/>
    </row>
    <row r="118" spans="1:7" x14ac:dyDescent="0.3">
      <c r="A118" s="3">
        <v>115</v>
      </c>
      <c r="B118" s="4">
        <v>46158</v>
      </c>
      <c r="C118" s="2" t="s">
        <v>20</v>
      </c>
      <c r="D118" s="2" t="s">
        <v>220</v>
      </c>
      <c r="E118" s="3" t="s">
        <v>28</v>
      </c>
      <c r="F118" s="3">
        <v>16</v>
      </c>
      <c r="G118" s="2"/>
    </row>
    <row r="119" spans="1:7" x14ac:dyDescent="0.3">
      <c r="A119" s="3">
        <v>116</v>
      </c>
      <c r="B119" s="4">
        <v>46158</v>
      </c>
      <c r="C119" s="2" t="s">
        <v>20</v>
      </c>
      <c r="D119" s="2" t="s">
        <v>221</v>
      </c>
      <c r="E119" s="3" t="s">
        <v>28</v>
      </c>
      <c r="F119" s="3">
        <v>6</v>
      </c>
      <c r="G119" s="2"/>
    </row>
    <row r="120" spans="1:7" x14ac:dyDescent="0.3">
      <c r="A120" s="3">
        <v>117</v>
      </c>
      <c r="B120" s="4">
        <v>46160</v>
      </c>
      <c r="C120" s="2" t="s">
        <v>40</v>
      </c>
      <c r="D120" s="2" t="s">
        <v>223</v>
      </c>
      <c r="E120" s="3"/>
      <c r="F120" s="3"/>
      <c r="G120" s="2"/>
    </row>
    <row r="121" spans="1:7" x14ac:dyDescent="0.3">
      <c r="A121" s="3">
        <v>118</v>
      </c>
      <c r="B121" s="4">
        <v>46160</v>
      </c>
      <c r="C121" s="2" t="s">
        <v>20</v>
      </c>
      <c r="D121" s="2" t="s">
        <v>76</v>
      </c>
      <c r="E121" s="3"/>
      <c r="F121" s="3"/>
      <c r="G121" s="2">
        <v>2680</v>
      </c>
    </row>
    <row r="122" spans="1:7" x14ac:dyDescent="0.3">
      <c r="A122" s="3">
        <v>119</v>
      </c>
      <c r="B122" s="4">
        <v>46162</v>
      </c>
      <c r="C122" s="2" t="s">
        <v>20</v>
      </c>
      <c r="D122" s="2" t="s">
        <v>76</v>
      </c>
      <c r="E122" s="3"/>
      <c r="F122" s="3"/>
      <c r="G122" s="2">
        <v>3440</v>
      </c>
    </row>
    <row r="123" spans="1:7" x14ac:dyDescent="0.3">
      <c r="A123" s="3">
        <v>120</v>
      </c>
      <c r="B123" s="4">
        <v>46163</v>
      </c>
      <c r="C123" s="2" t="s">
        <v>20</v>
      </c>
      <c r="D123" s="2" t="s">
        <v>27</v>
      </c>
      <c r="E123" s="3" t="s">
        <v>28</v>
      </c>
      <c r="F123" s="3">
        <v>2</v>
      </c>
      <c r="G123" s="2"/>
    </row>
    <row r="124" spans="1:7" x14ac:dyDescent="0.3">
      <c r="A124" s="3">
        <v>121</v>
      </c>
      <c r="B124" s="4">
        <v>46163</v>
      </c>
      <c r="C124" s="2" t="s">
        <v>20</v>
      </c>
      <c r="D124" s="2" t="s">
        <v>31</v>
      </c>
      <c r="E124" s="3" t="s">
        <v>28</v>
      </c>
      <c r="F124" s="3">
        <v>25</v>
      </c>
      <c r="G124" s="2"/>
    </row>
    <row r="125" spans="1:7" x14ac:dyDescent="0.3">
      <c r="A125" s="3">
        <v>122</v>
      </c>
      <c r="B125" s="4">
        <v>46164</v>
      </c>
      <c r="C125" s="2" t="s">
        <v>20</v>
      </c>
      <c r="D125" s="2" t="s">
        <v>92</v>
      </c>
      <c r="E125" s="3" t="s">
        <v>28</v>
      </c>
      <c r="F125" s="3">
        <v>4</v>
      </c>
      <c r="G125" s="2">
        <v>180</v>
      </c>
    </row>
    <row r="126" spans="1:7" x14ac:dyDescent="0.3">
      <c r="A126" s="3">
        <v>123</v>
      </c>
      <c r="B126" s="4">
        <v>46164</v>
      </c>
      <c r="C126" s="2" t="s">
        <v>20</v>
      </c>
      <c r="D126" s="2" t="s">
        <v>104</v>
      </c>
      <c r="E126" s="3" t="s">
        <v>28</v>
      </c>
      <c r="F126" s="3">
        <v>1</v>
      </c>
      <c r="G126" s="2">
        <v>40</v>
      </c>
    </row>
    <row r="127" spans="1:7" x14ac:dyDescent="0.3">
      <c r="A127" s="3">
        <v>124</v>
      </c>
      <c r="B127" s="4">
        <v>46164</v>
      </c>
      <c r="C127" s="2" t="s">
        <v>20</v>
      </c>
      <c r="D127" s="2" t="s">
        <v>220</v>
      </c>
      <c r="E127" s="3" t="s">
        <v>28</v>
      </c>
      <c r="F127" s="3">
        <v>6</v>
      </c>
      <c r="G127" s="2">
        <v>30</v>
      </c>
    </row>
    <row r="128" spans="1:7" x14ac:dyDescent="0.3">
      <c r="A128" s="3">
        <v>125</v>
      </c>
      <c r="B128" s="4">
        <v>46164</v>
      </c>
      <c r="C128" s="2" t="s">
        <v>20</v>
      </c>
      <c r="D128" s="2" t="s">
        <v>219</v>
      </c>
      <c r="E128" s="3" t="s">
        <v>28</v>
      </c>
      <c r="F128" s="3">
        <v>4</v>
      </c>
      <c r="G128" s="2">
        <v>160</v>
      </c>
    </row>
    <row r="129" spans="1:7" x14ac:dyDescent="0.3">
      <c r="A129" s="3">
        <v>126</v>
      </c>
      <c r="B129" s="4">
        <v>46164</v>
      </c>
      <c r="C129" s="2" t="s">
        <v>20</v>
      </c>
      <c r="D129" s="2" t="s">
        <v>103</v>
      </c>
      <c r="E129" s="3" t="s">
        <v>28</v>
      </c>
      <c r="F129" s="3">
        <v>2</v>
      </c>
      <c r="G129" s="2"/>
    </row>
    <row r="130" spans="1:7" x14ac:dyDescent="0.3">
      <c r="A130" s="3">
        <v>127</v>
      </c>
      <c r="B130" s="4">
        <v>46164</v>
      </c>
      <c r="C130" s="2" t="s">
        <v>20</v>
      </c>
      <c r="D130" s="2" t="s">
        <v>227</v>
      </c>
      <c r="E130" s="3" t="s">
        <v>28</v>
      </c>
      <c r="F130" s="3">
        <v>13</v>
      </c>
      <c r="G130" s="2"/>
    </row>
    <row r="131" spans="1:7" x14ac:dyDescent="0.3">
      <c r="A131" s="3">
        <v>128</v>
      </c>
      <c r="B131" s="4">
        <v>46164</v>
      </c>
      <c r="C131" s="2" t="s">
        <v>20</v>
      </c>
      <c r="D131" s="2" t="s">
        <v>102</v>
      </c>
      <c r="E131" s="3" t="s">
        <v>28</v>
      </c>
      <c r="F131" s="3">
        <v>5</v>
      </c>
      <c r="G131" s="2"/>
    </row>
    <row r="132" spans="1:7" x14ac:dyDescent="0.3">
      <c r="A132" s="3">
        <v>129</v>
      </c>
      <c r="B132" s="4">
        <v>46165</v>
      </c>
      <c r="C132" s="2" t="s">
        <v>20</v>
      </c>
      <c r="D132" s="2" t="s">
        <v>219</v>
      </c>
      <c r="E132" s="3" t="s">
        <v>28</v>
      </c>
      <c r="F132" s="3">
        <v>2</v>
      </c>
      <c r="G132" s="2">
        <v>80</v>
      </c>
    </row>
    <row r="133" spans="1:7" x14ac:dyDescent="0.3">
      <c r="A133" s="3">
        <v>130</v>
      </c>
      <c r="B133" s="4">
        <v>46165</v>
      </c>
      <c r="C133" s="2" t="s">
        <v>20</v>
      </c>
      <c r="D133" s="2" t="s">
        <v>220</v>
      </c>
      <c r="E133" s="3" t="s">
        <v>28</v>
      </c>
      <c r="F133" s="3">
        <v>4</v>
      </c>
      <c r="G133" s="2">
        <v>20</v>
      </c>
    </row>
    <row r="134" spans="1:7" x14ac:dyDescent="0.3">
      <c r="A134" s="3">
        <v>131</v>
      </c>
      <c r="B134" s="4">
        <v>46165</v>
      </c>
      <c r="C134" s="2" t="s">
        <v>20</v>
      </c>
      <c r="D134" s="2" t="s">
        <v>42</v>
      </c>
      <c r="E134" s="3" t="s">
        <v>28</v>
      </c>
      <c r="F134" s="3">
        <v>1</v>
      </c>
      <c r="G134" s="2">
        <v>280</v>
      </c>
    </row>
    <row r="135" spans="1:7" x14ac:dyDescent="0.3">
      <c r="A135" s="3">
        <v>132</v>
      </c>
      <c r="B135" s="4">
        <v>46165</v>
      </c>
      <c r="C135" s="2" t="s">
        <v>20</v>
      </c>
      <c r="D135" s="2" t="s">
        <v>103</v>
      </c>
      <c r="E135" s="3" t="s">
        <v>28</v>
      </c>
      <c r="F135" s="3">
        <v>2</v>
      </c>
      <c r="G135" s="2"/>
    </row>
    <row r="136" spans="1:7" x14ac:dyDescent="0.3">
      <c r="A136" s="2"/>
      <c r="B136" s="2"/>
      <c r="C136" s="2"/>
      <c r="D136" s="2"/>
      <c r="E136" s="3"/>
      <c r="F136" s="3"/>
      <c r="G136" s="2"/>
    </row>
    <row r="137" spans="1:7" x14ac:dyDescent="0.3">
      <c r="A137" s="2"/>
      <c r="B137" s="2"/>
      <c r="C137" s="2"/>
      <c r="D137" s="2"/>
      <c r="E137" s="3"/>
      <c r="F137" s="3"/>
      <c r="G137" s="2"/>
    </row>
  </sheetData>
  <autoFilter ref="A3:G135" xr:uid="{266EFDBC-780D-4F66-9D1F-928B97B7A7C4}"/>
  <mergeCells count="1">
    <mergeCell ref="A1:G2"/>
  </mergeCell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D413F-5257-4DFD-9FDA-7B7ED38A52C0}">
  <sheetPr>
    <pageSetUpPr fitToPage="1"/>
  </sheetPr>
  <dimension ref="A1:M32"/>
  <sheetViews>
    <sheetView workbookViewId="0">
      <selection activeCell="G3" sqref="G3:G4"/>
    </sheetView>
  </sheetViews>
  <sheetFormatPr defaultRowHeight="14.4" x14ac:dyDescent="0.3"/>
  <cols>
    <col min="2" max="2" width="12.44140625" bestFit="1" customWidth="1"/>
    <col min="3" max="3" width="10.33203125" bestFit="1" customWidth="1"/>
    <col min="5" max="5" width="45.21875" bestFit="1" customWidth="1"/>
    <col min="6" max="6" width="9.88671875" customWidth="1"/>
    <col min="10" max="10" width="11.33203125" bestFit="1" customWidth="1"/>
    <col min="11" max="11" width="11.5546875" bestFit="1" customWidth="1"/>
    <col min="12" max="12" width="25.109375" bestFit="1" customWidth="1"/>
    <col min="13" max="13" width="33.109375" bestFit="1" customWidth="1"/>
    <col min="14" max="14" width="2.109375" customWidth="1"/>
  </cols>
  <sheetData>
    <row r="1" spans="1:13" ht="21" x14ac:dyDescent="0.3">
      <c r="A1" s="74" t="s">
        <v>234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</row>
    <row r="2" spans="1:13" x14ac:dyDescent="0.3">
      <c r="A2" s="9" t="s">
        <v>106</v>
      </c>
      <c r="B2" s="10" t="s">
        <v>107</v>
      </c>
      <c r="C2" s="10" t="s">
        <v>7</v>
      </c>
      <c r="D2" s="10" t="s">
        <v>108</v>
      </c>
      <c r="E2" s="10" t="s">
        <v>109</v>
      </c>
      <c r="F2" s="10" t="s">
        <v>28</v>
      </c>
      <c r="G2" s="10" t="s">
        <v>3</v>
      </c>
      <c r="H2" s="10" t="s">
        <v>110</v>
      </c>
      <c r="I2" s="10" t="s">
        <v>111</v>
      </c>
      <c r="J2" s="10" t="s">
        <v>112</v>
      </c>
      <c r="K2" s="10" t="s">
        <v>113</v>
      </c>
      <c r="L2" s="11" t="s">
        <v>114</v>
      </c>
      <c r="M2" s="12" t="s">
        <v>115</v>
      </c>
    </row>
    <row r="3" spans="1:13" x14ac:dyDescent="0.3">
      <c r="A3" s="75">
        <v>1</v>
      </c>
      <c r="B3" s="75" t="s">
        <v>118</v>
      </c>
      <c r="C3" s="78">
        <v>46094</v>
      </c>
      <c r="D3" s="3">
        <v>72163300</v>
      </c>
      <c r="E3" s="3" t="s">
        <v>117</v>
      </c>
      <c r="F3" s="75">
        <v>5</v>
      </c>
      <c r="G3" s="3">
        <v>406.3</v>
      </c>
      <c r="H3" s="3" t="s">
        <v>116</v>
      </c>
      <c r="I3" s="15">
        <v>56</v>
      </c>
      <c r="J3" s="15">
        <v>22752.799999999999</v>
      </c>
      <c r="K3" s="80">
        <v>122276</v>
      </c>
      <c r="L3" s="82">
        <v>148180</v>
      </c>
      <c r="M3" s="75" t="s">
        <v>119</v>
      </c>
    </row>
    <row r="4" spans="1:13" x14ac:dyDescent="0.3">
      <c r="A4" s="77"/>
      <c r="B4" s="77"/>
      <c r="C4" s="79"/>
      <c r="D4" s="3">
        <v>72163200</v>
      </c>
      <c r="E4" s="3" t="s">
        <v>120</v>
      </c>
      <c r="F4" s="76"/>
      <c r="G4" s="3">
        <v>340.7</v>
      </c>
      <c r="H4" s="3" t="s">
        <v>116</v>
      </c>
      <c r="I4" s="15">
        <v>56</v>
      </c>
      <c r="J4" s="15">
        <v>19079.2</v>
      </c>
      <c r="K4" s="81"/>
      <c r="L4" s="83"/>
      <c r="M4" s="77"/>
    </row>
    <row r="5" spans="1:13" x14ac:dyDescent="0.3">
      <c r="A5" s="77"/>
      <c r="B5" s="77"/>
      <c r="C5" s="79"/>
      <c r="D5" s="3">
        <v>72165000</v>
      </c>
      <c r="E5" s="3" t="s">
        <v>121</v>
      </c>
      <c r="F5" s="3">
        <v>3</v>
      </c>
      <c r="G5" s="3">
        <v>84</v>
      </c>
      <c r="H5" s="3" t="s">
        <v>116</v>
      </c>
      <c r="I5" s="15">
        <v>55</v>
      </c>
      <c r="J5" s="15">
        <v>4620</v>
      </c>
      <c r="K5" s="81"/>
      <c r="L5" s="83"/>
      <c r="M5" s="77"/>
    </row>
    <row r="6" spans="1:13" x14ac:dyDescent="0.3">
      <c r="A6" s="76"/>
      <c r="B6" s="76"/>
      <c r="C6" s="86"/>
      <c r="D6" s="3">
        <v>72161000</v>
      </c>
      <c r="E6" s="3" t="s">
        <v>122</v>
      </c>
      <c r="F6" s="3">
        <v>10</v>
      </c>
      <c r="G6" s="3">
        <v>1354</v>
      </c>
      <c r="H6" s="3" t="s">
        <v>116</v>
      </c>
      <c r="I6" s="15">
        <v>56</v>
      </c>
      <c r="J6" s="15">
        <v>75824</v>
      </c>
      <c r="K6" s="87"/>
      <c r="L6" s="88"/>
      <c r="M6" s="76"/>
    </row>
    <row r="7" spans="1:13" x14ac:dyDescent="0.3">
      <c r="A7" s="75">
        <v>2</v>
      </c>
      <c r="B7" s="75" t="s">
        <v>123</v>
      </c>
      <c r="C7" s="78">
        <v>46095</v>
      </c>
      <c r="D7" s="3">
        <v>720851</v>
      </c>
      <c r="E7" s="3" t="s">
        <v>124</v>
      </c>
      <c r="F7" s="3">
        <v>2</v>
      </c>
      <c r="G7" s="3">
        <v>449</v>
      </c>
      <c r="H7" s="3" t="s">
        <v>116</v>
      </c>
      <c r="I7" s="15">
        <v>62</v>
      </c>
      <c r="J7" s="15">
        <v>27838</v>
      </c>
      <c r="K7" s="80">
        <v>82828</v>
      </c>
      <c r="L7" s="82">
        <f>82828+14909</f>
        <v>97737</v>
      </c>
      <c r="M7" s="84" t="s">
        <v>147</v>
      </c>
    </row>
    <row r="8" spans="1:13" x14ac:dyDescent="0.3">
      <c r="A8" s="77"/>
      <c r="B8" s="77"/>
      <c r="C8" s="79"/>
      <c r="D8" s="3">
        <v>720851</v>
      </c>
      <c r="E8" s="3" t="s">
        <v>125</v>
      </c>
      <c r="F8" s="3">
        <v>2</v>
      </c>
      <c r="G8" s="3">
        <v>272</v>
      </c>
      <c r="H8" s="3" t="s">
        <v>116</v>
      </c>
      <c r="I8" s="15">
        <v>58.5</v>
      </c>
      <c r="J8" s="15">
        <v>15912</v>
      </c>
      <c r="K8" s="81"/>
      <c r="L8" s="83"/>
      <c r="M8" s="85"/>
    </row>
    <row r="9" spans="1:13" x14ac:dyDescent="0.3">
      <c r="A9" s="77"/>
      <c r="B9" s="77"/>
      <c r="C9" s="79"/>
      <c r="D9" s="3">
        <v>720837</v>
      </c>
      <c r="E9" s="3" t="s">
        <v>126</v>
      </c>
      <c r="F9" s="3">
        <v>2</v>
      </c>
      <c r="G9" s="3">
        <v>668</v>
      </c>
      <c r="H9" s="3" t="s">
        <v>116</v>
      </c>
      <c r="I9" s="15">
        <v>58.5</v>
      </c>
      <c r="J9" s="15">
        <v>39078</v>
      </c>
      <c r="K9" s="81"/>
      <c r="L9" s="83"/>
      <c r="M9" s="85"/>
    </row>
    <row r="10" spans="1:13" x14ac:dyDescent="0.3">
      <c r="A10" s="13">
        <v>3</v>
      </c>
      <c r="B10" s="13" t="s">
        <v>127</v>
      </c>
      <c r="C10" s="14">
        <v>46116</v>
      </c>
      <c r="D10" s="3">
        <v>720852</v>
      </c>
      <c r="E10" s="3" t="s">
        <v>128</v>
      </c>
      <c r="F10" s="3">
        <v>3</v>
      </c>
      <c r="G10" s="3">
        <v>500</v>
      </c>
      <c r="H10" s="3" t="s">
        <v>116</v>
      </c>
      <c r="I10" s="16">
        <v>61</v>
      </c>
      <c r="J10" s="18">
        <f>G10*I10</f>
        <v>30500</v>
      </c>
      <c r="K10" s="25">
        <f>J10</f>
        <v>30500</v>
      </c>
      <c r="L10" s="24">
        <f>K10+5490</f>
        <v>35990</v>
      </c>
      <c r="M10" s="17" t="s">
        <v>149</v>
      </c>
    </row>
    <row r="11" spans="1:13" x14ac:dyDescent="0.3">
      <c r="A11" s="13">
        <v>4</v>
      </c>
      <c r="B11" s="13" t="s">
        <v>129</v>
      </c>
      <c r="C11" s="26">
        <v>46130</v>
      </c>
      <c r="D11" s="2">
        <v>72163300</v>
      </c>
      <c r="E11" s="3" t="s">
        <v>150</v>
      </c>
      <c r="F11" s="3">
        <v>5</v>
      </c>
      <c r="G11" s="3">
        <v>724</v>
      </c>
      <c r="H11" s="3" t="s">
        <v>116</v>
      </c>
      <c r="I11" s="16">
        <v>56</v>
      </c>
      <c r="J11" s="16">
        <f t="shared" ref="J11:J25" si="0">G11*I11</f>
        <v>40544</v>
      </c>
      <c r="K11" s="25">
        <f>J11</f>
        <v>40544</v>
      </c>
      <c r="L11" s="24">
        <f>K11+7297</f>
        <v>47841</v>
      </c>
      <c r="M11" s="13" t="s">
        <v>139</v>
      </c>
    </row>
    <row r="12" spans="1:13" x14ac:dyDescent="0.3">
      <c r="A12" s="75">
        <v>5</v>
      </c>
      <c r="B12" s="75" t="s">
        <v>131</v>
      </c>
      <c r="C12" s="78">
        <v>46133</v>
      </c>
      <c r="D12" s="2">
        <v>720852</v>
      </c>
      <c r="E12" s="3" t="s">
        <v>132</v>
      </c>
      <c r="F12" s="3">
        <v>7</v>
      </c>
      <c r="G12" s="3">
        <v>1335</v>
      </c>
      <c r="H12" s="3" t="s">
        <v>116</v>
      </c>
      <c r="I12" s="16">
        <v>62.5</v>
      </c>
      <c r="J12" s="16">
        <f t="shared" si="0"/>
        <v>83437.5</v>
      </c>
      <c r="K12" s="89">
        <v>138682.5</v>
      </c>
      <c r="L12" s="80">
        <v>166300</v>
      </c>
      <c r="M12" s="75" t="s">
        <v>133</v>
      </c>
    </row>
    <row r="13" spans="1:13" x14ac:dyDescent="0.3">
      <c r="A13" s="76"/>
      <c r="B13" s="76"/>
      <c r="C13" s="86"/>
      <c r="D13" s="2">
        <v>720851</v>
      </c>
      <c r="E13" s="3" t="s">
        <v>134</v>
      </c>
      <c r="F13" s="3">
        <v>2</v>
      </c>
      <c r="G13" s="3">
        <v>870</v>
      </c>
      <c r="H13" s="3" t="s">
        <v>116</v>
      </c>
      <c r="I13" s="16">
        <v>63.5</v>
      </c>
      <c r="J13" s="16">
        <f t="shared" si="0"/>
        <v>55245</v>
      </c>
      <c r="K13" s="76"/>
      <c r="L13" s="87"/>
      <c r="M13" s="76"/>
    </row>
    <row r="14" spans="1:13" x14ac:dyDescent="0.3">
      <c r="A14" s="75">
        <v>6</v>
      </c>
      <c r="B14" s="75" t="s">
        <v>135</v>
      </c>
      <c r="C14" s="78">
        <v>46137</v>
      </c>
      <c r="D14" s="2">
        <v>72161000</v>
      </c>
      <c r="E14" s="3" t="s">
        <v>136</v>
      </c>
      <c r="F14" s="3">
        <v>5</v>
      </c>
      <c r="G14" s="3">
        <v>395.5</v>
      </c>
      <c r="H14" s="3" t="s">
        <v>116</v>
      </c>
      <c r="I14" s="16">
        <v>56</v>
      </c>
      <c r="J14" s="16">
        <f t="shared" si="0"/>
        <v>22148</v>
      </c>
      <c r="K14" s="89">
        <v>32265.5</v>
      </c>
      <c r="L14" s="80">
        <v>39419</v>
      </c>
      <c r="M14" s="75" t="s">
        <v>133</v>
      </c>
    </row>
    <row r="15" spans="1:13" x14ac:dyDescent="0.3">
      <c r="A15" s="76"/>
      <c r="B15" s="76"/>
      <c r="C15" s="86"/>
      <c r="D15" s="2">
        <v>721499</v>
      </c>
      <c r="E15" s="3" t="s">
        <v>137</v>
      </c>
      <c r="F15" s="3">
        <v>2</v>
      </c>
      <c r="G15" s="3">
        <v>177.5</v>
      </c>
      <c r="H15" s="3" t="s">
        <v>116</v>
      </c>
      <c r="I15" s="16">
        <v>57</v>
      </c>
      <c r="J15" s="16">
        <f t="shared" si="0"/>
        <v>10117.5</v>
      </c>
      <c r="K15" s="76"/>
      <c r="L15" s="87"/>
      <c r="M15" s="76"/>
    </row>
    <row r="16" spans="1:13" x14ac:dyDescent="0.3">
      <c r="A16" s="75">
        <v>7</v>
      </c>
      <c r="B16" s="75" t="s">
        <v>138</v>
      </c>
      <c r="C16" s="78">
        <v>46144</v>
      </c>
      <c r="D16" s="2">
        <v>730630</v>
      </c>
      <c r="E16" s="3" t="s">
        <v>130</v>
      </c>
      <c r="F16" s="3">
        <v>3</v>
      </c>
      <c r="G16" s="3">
        <v>151</v>
      </c>
      <c r="H16" s="3" t="s">
        <v>116</v>
      </c>
      <c r="I16" s="16">
        <v>67.5</v>
      </c>
      <c r="J16" s="16">
        <f t="shared" si="0"/>
        <v>10192.5</v>
      </c>
      <c r="K16" s="89">
        <v>38911.699999999997</v>
      </c>
      <c r="L16" s="80">
        <v>47273</v>
      </c>
      <c r="M16" s="75" t="s">
        <v>139</v>
      </c>
    </row>
    <row r="17" spans="1:13" x14ac:dyDescent="0.3">
      <c r="A17" s="77"/>
      <c r="B17" s="77"/>
      <c r="C17" s="79"/>
      <c r="D17" s="2">
        <v>721499</v>
      </c>
      <c r="E17" s="3" t="s">
        <v>137</v>
      </c>
      <c r="F17" s="3">
        <v>3</v>
      </c>
      <c r="G17" s="3">
        <v>271.39999999999998</v>
      </c>
      <c r="H17" s="3" t="s">
        <v>116</v>
      </c>
      <c r="I17" s="16">
        <v>57</v>
      </c>
      <c r="J17" s="16">
        <f t="shared" si="0"/>
        <v>15469.8</v>
      </c>
      <c r="K17" s="90"/>
      <c r="L17" s="81"/>
      <c r="M17" s="77"/>
    </row>
    <row r="18" spans="1:13" x14ac:dyDescent="0.3">
      <c r="A18" s="76"/>
      <c r="B18" s="76"/>
      <c r="C18" s="86"/>
      <c r="D18" s="2">
        <v>73066100</v>
      </c>
      <c r="E18" s="3" t="s">
        <v>140</v>
      </c>
      <c r="F18" s="3">
        <v>20</v>
      </c>
      <c r="G18" s="3">
        <v>213.7</v>
      </c>
      <c r="H18" s="3" t="s">
        <v>116</v>
      </c>
      <c r="I18" s="16">
        <v>62</v>
      </c>
      <c r="J18" s="16">
        <f t="shared" si="0"/>
        <v>13249.4</v>
      </c>
      <c r="K18" s="76"/>
      <c r="L18" s="87"/>
      <c r="M18" s="76"/>
    </row>
    <row r="19" spans="1:13" x14ac:dyDescent="0.3">
      <c r="A19" s="75">
        <v>8</v>
      </c>
      <c r="B19" s="75" t="s">
        <v>141</v>
      </c>
      <c r="C19" s="78">
        <v>46149</v>
      </c>
      <c r="D19" s="2">
        <v>73066100</v>
      </c>
      <c r="E19" s="3" t="s">
        <v>142</v>
      </c>
      <c r="F19" s="3">
        <v>13</v>
      </c>
      <c r="G19" s="3">
        <v>408</v>
      </c>
      <c r="H19" s="3" t="s">
        <v>116</v>
      </c>
      <c r="I19" s="16">
        <v>61</v>
      </c>
      <c r="J19" s="16">
        <f t="shared" si="0"/>
        <v>24888</v>
      </c>
      <c r="K19" s="89">
        <v>34075.800000000003</v>
      </c>
      <c r="L19" s="80">
        <v>41566</v>
      </c>
      <c r="M19" s="75" t="s">
        <v>139</v>
      </c>
    </row>
    <row r="20" spans="1:13" x14ac:dyDescent="0.3">
      <c r="A20" s="77"/>
      <c r="B20" s="77"/>
      <c r="C20" s="79"/>
      <c r="D20" s="2">
        <v>721499</v>
      </c>
      <c r="E20" s="3" t="s">
        <v>137</v>
      </c>
      <c r="F20" s="3">
        <v>1</v>
      </c>
      <c r="G20" s="3">
        <v>27.6</v>
      </c>
      <c r="H20" s="3" t="s">
        <v>116</v>
      </c>
      <c r="I20" s="16">
        <v>57</v>
      </c>
      <c r="J20" s="16">
        <f t="shared" si="0"/>
        <v>1573.2</v>
      </c>
      <c r="K20" s="90"/>
      <c r="L20" s="81"/>
      <c r="M20" s="77"/>
    </row>
    <row r="21" spans="1:13" x14ac:dyDescent="0.3">
      <c r="A21" s="76"/>
      <c r="B21" s="76"/>
      <c r="C21" s="86"/>
      <c r="D21" s="2">
        <v>72165000</v>
      </c>
      <c r="E21" s="3" t="s">
        <v>143</v>
      </c>
      <c r="F21" s="3">
        <v>4</v>
      </c>
      <c r="G21" s="3">
        <v>137.19999999999999</v>
      </c>
      <c r="H21" s="3" t="s">
        <v>116</v>
      </c>
      <c r="I21" s="16">
        <v>55.5</v>
      </c>
      <c r="J21" s="16">
        <f t="shared" si="0"/>
        <v>7614.5999999999995</v>
      </c>
      <c r="K21" s="76"/>
      <c r="L21" s="87"/>
      <c r="M21" s="76"/>
    </row>
    <row r="22" spans="1:13" x14ac:dyDescent="0.3">
      <c r="A22" s="75">
        <v>9</v>
      </c>
      <c r="B22" s="75" t="s">
        <v>144</v>
      </c>
      <c r="C22" s="78">
        <v>46150</v>
      </c>
      <c r="D22" s="2">
        <v>720851</v>
      </c>
      <c r="E22" s="3" t="s">
        <v>145</v>
      </c>
      <c r="F22" s="3">
        <v>1</v>
      </c>
      <c r="G22" s="3">
        <v>227</v>
      </c>
      <c r="H22" s="3" t="s">
        <v>116</v>
      </c>
      <c r="I22" s="16">
        <v>68</v>
      </c>
      <c r="J22" s="16">
        <f t="shared" si="0"/>
        <v>15436</v>
      </c>
      <c r="K22" s="89">
        <v>36542</v>
      </c>
      <c r="L22" s="80">
        <v>44465</v>
      </c>
      <c r="M22" s="75" t="s">
        <v>133</v>
      </c>
    </row>
    <row r="23" spans="1:13" x14ac:dyDescent="0.3">
      <c r="A23" s="76"/>
      <c r="B23" s="76"/>
      <c r="C23" s="86"/>
      <c r="D23" s="2">
        <v>73066100</v>
      </c>
      <c r="E23" s="3" t="s">
        <v>146</v>
      </c>
      <c r="F23" s="3">
        <v>32</v>
      </c>
      <c r="G23" s="3">
        <v>346</v>
      </c>
      <c r="H23" s="3" t="s">
        <v>116</v>
      </c>
      <c r="I23" s="16">
        <v>61</v>
      </c>
      <c r="J23" s="16">
        <f t="shared" si="0"/>
        <v>21106</v>
      </c>
      <c r="K23" s="76"/>
      <c r="L23" s="87"/>
      <c r="M23" s="76"/>
    </row>
    <row r="24" spans="1:13" x14ac:dyDescent="0.3">
      <c r="A24" s="35">
        <v>13</v>
      </c>
      <c r="B24" s="35" t="s">
        <v>231</v>
      </c>
      <c r="C24" s="41">
        <v>46155</v>
      </c>
      <c r="D24" s="2">
        <v>720852</v>
      </c>
      <c r="E24" s="3" t="s">
        <v>132</v>
      </c>
      <c r="F24" s="3">
        <v>2</v>
      </c>
      <c r="G24" s="3">
        <v>69</v>
      </c>
      <c r="H24" s="3" t="s">
        <v>116</v>
      </c>
      <c r="I24" s="16">
        <v>62</v>
      </c>
      <c r="J24" s="16">
        <f t="shared" si="0"/>
        <v>4278</v>
      </c>
      <c r="K24" s="42">
        <v>4278</v>
      </c>
      <c r="L24" s="43">
        <v>6110</v>
      </c>
      <c r="M24" s="35" t="s">
        <v>133</v>
      </c>
    </row>
    <row r="25" spans="1:13" x14ac:dyDescent="0.3">
      <c r="A25" s="35">
        <v>14</v>
      </c>
      <c r="B25" s="35" t="s">
        <v>232</v>
      </c>
      <c r="C25" s="41">
        <v>46160</v>
      </c>
      <c r="D25" s="2">
        <v>73066100</v>
      </c>
      <c r="E25" s="3" t="s">
        <v>233</v>
      </c>
      <c r="F25" s="3">
        <v>30</v>
      </c>
      <c r="G25" s="3">
        <v>323</v>
      </c>
      <c r="H25" s="3" t="s">
        <v>116</v>
      </c>
      <c r="I25" s="16">
        <v>60</v>
      </c>
      <c r="J25" s="16">
        <f t="shared" si="0"/>
        <v>19380</v>
      </c>
      <c r="K25" s="42">
        <f>J25</f>
        <v>19380</v>
      </c>
      <c r="L25" s="43">
        <f>24143</f>
        <v>24143</v>
      </c>
      <c r="M25" s="35" t="s">
        <v>133</v>
      </c>
    </row>
    <row r="26" spans="1:13" x14ac:dyDescent="0.3">
      <c r="A26" s="92" t="s">
        <v>151</v>
      </c>
      <c r="B26" s="92"/>
      <c r="C26" s="92"/>
      <c r="D26" s="92"/>
      <c r="E26" s="92"/>
      <c r="F26" s="92"/>
      <c r="G26" s="44">
        <f>SUM(G3:G25)</f>
        <v>9749.9000000000015</v>
      </c>
      <c r="H26" s="28" t="s">
        <v>116</v>
      </c>
      <c r="I26" s="44"/>
      <c r="J26" s="44"/>
      <c r="K26" s="27">
        <f>SUM(K3:K25)</f>
        <v>580283.5</v>
      </c>
      <c r="L26" s="27">
        <f>SUM(L3:L25)</f>
        <v>699024</v>
      </c>
      <c r="M26" s="28"/>
    </row>
    <row r="27" spans="1:13" x14ac:dyDescent="0.3">
      <c r="A27" s="20"/>
      <c r="B27" s="20"/>
      <c r="C27" s="21"/>
      <c r="E27" s="1"/>
      <c r="F27" s="1"/>
      <c r="G27" s="1"/>
      <c r="H27" s="1"/>
      <c r="I27" s="22"/>
      <c r="J27" s="22"/>
      <c r="K27" s="20"/>
      <c r="L27" s="23"/>
      <c r="M27" s="20"/>
    </row>
    <row r="28" spans="1:13" x14ac:dyDescent="0.3">
      <c r="A28" s="91" t="s">
        <v>235</v>
      </c>
      <c r="B28" s="91"/>
      <c r="C28" s="91"/>
      <c r="D28" s="91"/>
      <c r="E28" s="91"/>
      <c r="F28" s="91"/>
      <c r="G28" s="91"/>
      <c r="H28" s="91"/>
      <c r="I28" s="91"/>
      <c r="J28" s="91"/>
      <c r="K28" s="91"/>
      <c r="L28" s="91"/>
      <c r="M28" s="91"/>
    </row>
    <row r="29" spans="1:13" x14ac:dyDescent="0.3">
      <c r="L29" s="19"/>
    </row>
    <row r="30" spans="1:13" x14ac:dyDescent="0.3">
      <c r="L30" s="19"/>
    </row>
    <row r="31" spans="1:13" x14ac:dyDescent="0.3">
      <c r="L31" s="19"/>
    </row>
    <row r="32" spans="1:13" x14ac:dyDescent="0.3">
      <c r="L32" s="19"/>
    </row>
  </sheetData>
  <mergeCells count="46">
    <mergeCell ref="A28:M28"/>
    <mergeCell ref="A22:A23"/>
    <mergeCell ref="B22:B23"/>
    <mergeCell ref="C22:C23"/>
    <mergeCell ref="K22:K23"/>
    <mergeCell ref="A26:F26"/>
    <mergeCell ref="L22:L23"/>
    <mergeCell ref="M22:M23"/>
    <mergeCell ref="M19:M21"/>
    <mergeCell ref="A16:A18"/>
    <mergeCell ref="B16:B18"/>
    <mergeCell ref="C16:C18"/>
    <mergeCell ref="K16:K18"/>
    <mergeCell ref="L16:L18"/>
    <mergeCell ref="A19:A21"/>
    <mergeCell ref="B19:B21"/>
    <mergeCell ref="C19:C21"/>
    <mergeCell ref="K19:K21"/>
    <mergeCell ref="L19:L21"/>
    <mergeCell ref="A14:A15"/>
    <mergeCell ref="B14:B15"/>
    <mergeCell ref="C14:C15"/>
    <mergeCell ref="K14:K15"/>
    <mergeCell ref="L14:L15"/>
    <mergeCell ref="B12:B13"/>
    <mergeCell ref="C12:C13"/>
    <mergeCell ref="K12:K13"/>
    <mergeCell ref="L12:L13"/>
    <mergeCell ref="M16:M18"/>
    <mergeCell ref="M14:M15"/>
    <mergeCell ref="A1:M1"/>
    <mergeCell ref="M12:M13"/>
    <mergeCell ref="M3:M6"/>
    <mergeCell ref="A7:A9"/>
    <mergeCell ref="B7:B9"/>
    <mergeCell ref="C7:C9"/>
    <mergeCell ref="K7:K9"/>
    <mergeCell ref="L7:L9"/>
    <mergeCell ref="M7:M9"/>
    <mergeCell ref="A3:A6"/>
    <mergeCell ref="B3:B6"/>
    <mergeCell ref="C3:C6"/>
    <mergeCell ref="F3:F4"/>
    <mergeCell ref="K3:K6"/>
    <mergeCell ref="L3:L6"/>
    <mergeCell ref="A12:A13"/>
  </mergeCells>
  <pageMargins left="0.70866141732283472" right="0.70866141732283472" top="0.74803149606299213" bottom="0.74803149606299213" header="0.31496062992125984" footer="0.31496062992125984"/>
  <pageSetup scale="6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D3639A-7BA9-41F1-A0E0-7E36E99D6114}">
  <dimension ref="A1:O38"/>
  <sheetViews>
    <sheetView workbookViewId="0">
      <selection activeCell="M13" sqref="M13"/>
    </sheetView>
  </sheetViews>
  <sheetFormatPr defaultRowHeight="14.4" x14ac:dyDescent="0.3"/>
  <cols>
    <col min="2" max="2" width="10.33203125" bestFit="1" customWidth="1"/>
    <col min="3" max="3" width="16.109375" bestFit="1" customWidth="1"/>
    <col min="4" max="4" width="16.5546875" bestFit="1" customWidth="1"/>
    <col min="5" max="6" width="8.88671875" style="1"/>
    <col min="7" max="7" width="9.88671875" bestFit="1" customWidth="1"/>
    <col min="11" max="11" width="13.44140625" customWidth="1"/>
    <col min="12" max="12" width="11.44140625" customWidth="1"/>
    <col min="13" max="13" width="10.33203125" bestFit="1" customWidth="1"/>
    <col min="14" max="14" width="11.88671875" bestFit="1" customWidth="1"/>
    <col min="15" max="15" width="9.5546875" bestFit="1" customWidth="1"/>
  </cols>
  <sheetData>
    <row r="1" spans="1:13" x14ac:dyDescent="0.3">
      <c r="A1" s="73" t="s">
        <v>50</v>
      </c>
      <c r="B1" s="73"/>
      <c r="C1" s="73"/>
      <c r="D1" s="73"/>
      <c r="E1" s="73"/>
      <c r="F1" s="73"/>
      <c r="G1" s="73"/>
    </row>
    <row r="2" spans="1:13" x14ac:dyDescent="0.3">
      <c r="A2" s="73"/>
      <c r="B2" s="73"/>
      <c r="C2" s="73"/>
      <c r="D2" s="73"/>
      <c r="E2" s="73"/>
      <c r="F2" s="73"/>
      <c r="G2" s="73"/>
    </row>
    <row r="3" spans="1:13" x14ac:dyDescent="0.3">
      <c r="A3" s="2" t="s">
        <v>0</v>
      </c>
      <c r="B3" s="2" t="s">
        <v>7</v>
      </c>
      <c r="C3" s="2" t="s">
        <v>1</v>
      </c>
      <c r="D3" s="2" t="s">
        <v>10</v>
      </c>
      <c r="E3" s="3" t="s">
        <v>2</v>
      </c>
      <c r="F3" s="3" t="s">
        <v>3</v>
      </c>
      <c r="G3" s="2" t="s">
        <v>4</v>
      </c>
    </row>
    <row r="4" spans="1:13" ht="18" x14ac:dyDescent="0.35">
      <c r="A4" s="3">
        <v>17</v>
      </c>
      <c r="B4" s="4">
        <v>46118</v>
      </c>
      <c r="C4" s="2" t="s">
        <v>20</v>
      </c>
      <c r="D4" s="2" t="s">
        <v>36</v>
      </c>
      <c r="E4" s="3" t="s">
        <v>37</v>
      </c>
      <c r="F4" s="3">
        <v>2</v>
      </c>
      <c r="G4" s="2">
        <v>200</v>
      </c>
      <c r="J4" s="96" t="s">
        <v>249</v>
      </c>
      <c r="K4" s="96"/>
      <c r="L4" s="96"/>
      <c r="M4" s="45"/>
    </row>
    <row r="5" spans="1:13" x14ac:dyDescent="0.3">
      <c r="A5" s="3">
        <v>18</v>
      </c>
      <c r="B5" s="4">
        <v>46118</v>
      </c>
      <c r="C5" s="2" t="s">
        <v>20</v>
      </c>
      <c r="D5" s="2" t="s">
        <v>38</v>
      </c>
      <c r="E5" s="3" t="s">
        <v>37</v>
      </c>
      <c r="F5" s="3">
        <v>6</v>
      </c>
      <c r="G5" s="2">
        <v>960</v>
      </c>
      <c r="J5" s="12" t="s">
        <v>250</v>
      </c>
      <c r="K5" s="12" t="s">
        <v>252</v>
      </c>
      <c r="L5" s="12" t="s">
        <v>251</v>
      </c>
      <c r="M5" s="45"/>
    </row>
    <row r="6" spans="1:13" x14ac:dyDescent="0.3">
      <c r="A6" s="3">
        <v>22</v>
      </c>
      <c r="B6" s="4">
        <v>46120</v>
      </c>
      <c r="C6" s="2" t="s">
        <v>20</v>
      </c>
      <c r="D6" s="2" t="s">
        <v>38</v>
      </c>
      <c r="E6" s="3" t="s">
        <v>37</v>
      </c>
      <c r="F6" s="3">
        <v>12</v>
      </c>
      <c r="G6" s="2">
        <v>1920</v>
      </c>
      <c r="J6" s="3">
        <v>1</v>
      </c>
      <c r="K6" s="4">
        <v>46118</v>
      </c>
      <c r="L6" s="16">
        <v>1120</v>
      </c>
    </row>
    <row r="7" spans="1:13" x14ac:dyDescent="0.3">
      <c r="A7" s="3">
        <v>23</v>
      </c>
      <c r="B7" s="4">
        <v>46120</v>
      </c>
      <c r="C7" s="2" t="s">
        <v>20</v>
      </c>
      <c r="D7" s="2" t="s">
        <v>36</v>
      </c>
      <c r="E7" s="3" t="s">
        <v>37</v>
      </c>
      <c r="F7" s="3">
        <v>2</v>
      </c>
      <c r="G7" s="2">
        <v>200</v>
      </c>
      <c r="J7" s="3">
        <v>2</v>
      </c>
      <c r="K7" s="4">
        <v>46120</v>
      </c>
      <c r="L7" s="16">
        <v>2220</v>
      </c>
    </row>
    <row r="8" spans="1:13" x14ac:dyDescent="0.3">
      <c r="A8" s="3">
        <v>24</v>
      </c>
      <c r="B8" s="4">
        <v>46120</v>
      </c>
      <c r="C8" s="2" t="s">
        <v>20</v>
      </c>
      <c r="D8" s="2" t="s">
        <v>44</v>
      </c>
      <c r="E8" s="3" t="s">
        <v>28</v>
      </c>
      <c r="F8" s="3">
        <v>2</v>
      </c>
      <c r="G8" s="2">
        <v>40</v>
      </c>
      <c r="J8" s="3">
        <v>3</v>
      </c>
      <c r="K8" s="4">
        <v>46125</v>
      </c>
      <c r="L8" s="16">
        <v>6434</v>
      </c>
    </row>
    <row r="9" spans="1:13" x14ac:dyDescent="0.3">
      <c r="A9" s="3">
        <v>25</v>
      </c>
      <c r="B9" s="4">
        <v>46120</v>
      </c>
      <c r="C9" s="2" t="s">
        <v>20</v>
      </c>
      <c r="D9" s="2" t="s">
        <v>45</v>
      </c>
      <c r="E9" s="3" t="s">
        <v>28</v>
      </c>
      <c r="F9" s="3">
        <v>2</v>
      </c>
      <c r="G9" s="2">
        <v>60</v>
      </c>
      <c r="J9" s="3">
        <v>4</v>
      </c>
      <c r="K9" s="4">
        <v>46129</v>
      </c>
      <c r="L9" s="16">
        <v>540</v>
      </c>
    </row>
    <row r="10" spans="1:13" x14ac:dyDescent="0.3">
      <c r="A10" s="3">
        <v>30</v>
      </c>
      <c r="B10" s="4">
        <v>46125</v>
      </c>
      <c r="C10" s="2" t="s">
        <v>20</v>
      </c>
      <c r="D10" s="2" t="s">
        <v>51</v>
      </c>
      <c r="E10" s="3" t="s">
        <v>37</v>
      </c>
      <c r="F10" s="3">
        <v>100</v>
      </c>
      <c r="G10" s="2">
        <v>6434</v>
      </c>
      <c r="J10" s="3">
        <v>5</v>
      </c>
      <c r="K10" s="4">
        <v>46134</v>
      </c>
      <c r="L10" s="16">
        <v>260</v>
      </c>
    </row>
    <row r="11" spans="1:13" x14ac:dyDescent="0.3">
      <c r="A11" s="3">
        <v>34</v>
      </c>
      <c r="B11" s="4">
        <v>46129</v>
      </c>
      <c r="C11" s="2" t="s">
        <v>20</v>
      </c>
      <c r="D11" s="2" t="s">
        <v>58</v>
      </c>
      <c r="E11" s="3" t="s">
        <v>37</v>
      </c>
      <c r="F11" s="3">
        <v>4</v>
      </c>
      <c r="G11" s="2">
        <f>160*4</f>
        <v>640</v>
      </c>
      <c r="J11" s="3">
        <v>6</v>
      </c>
      <c r="K11" s="4">
        <v>46137</v>
      </c>
      <c r="L11" s="16">
        <v>1389</v>
      </c>
    </row>
    <row r="12" spans="1:13" x14ac:dyDescent="0.3">
      <c r="A12" s="3">
        <v>35</v>
      </c>
      <c r="B12" s="4">
        <v>46129</v>
      </c>
      <c r="C12" s="2" t="s">
        <v>20</v>
      </c>
      <c r="D12" s="2" t="s">
        <v>36</v>
      </c>
      <c r="E12" s="3" t="s">
        <v>37</v>
      </c>
      <c r="F12" s="3">
        <v>2</v>
      </c>
      <c r="G12" s="2">
        <v>180</v>
      </c>
      <c r="J12" s="3">
        <v>7</v>
      </c>
      <c r="K12" s="4">
        <v>46140</v>
      </c>
      <c r="L12" s="16">
        <v>10330</v>
      </c>
    </row>
    <row r="13" spans="1:13" x14ac:dyDescent="0.3">
      <c r="A13" s="3">
        <v>46</v>
      </c>
      <c r="B13" s="4">
        <v>46134</v>
      </c>
      <c r="C13" s="2" t="s">
        <v>20</v>
      </c>
      <c r="D13" s="2" t="s">
        <v>36</v>
      </c>
      <c r="E13" s="3" t="s">
        <v>37</v>
      </c>
      <c r="F13" s="3">
        <v>2</v>
      </c>
      <c r="G13" s="2">
        <v>260</v>
      </c>
      <c r="J13" s="3">
        <v>8</v>
      </c>
      <c r="K13" s="4">
        <v>46143</v>
      </c>
      <c r="L13" s="16">
        <v>3410</v>
      </c>
    </row>
    <row r="14" spans="1:13" x14ac:dyDescent="0.3">
      <c r="A14" s="3">
        <v>48</v>
      </c>
      <c r="B14" s="4">
        <v>46136</v>
      </c>
      <c r="C14" s="2" t="s">
        <v>20</v>
      </c>
      <c r="D14" s="2" t="s">
        <v>76</v>
      </c>
      <c r="E14" s="3"/>
      <c r="F14" s="3"/>
      <c r="G14" s="2">
        <v>1389</v>
      </c>
      <c r="J14" s="3">
        <v>9</v>
      </c>
      <c r="K14" s="4">
        <v>46145</v>
      </c>
      <c r="L14" s="16">
        <v>2400</v>
      </c>
    </row>
    <row r="15" spans="1:13" x14ac:dyDescent="0.3">
      <c r="A15" s="3">
        <v>54</v>
      </c>
      <c r="B15" s="4">
        <v>46140</v>
      </c>
      <c r="C15" s="2" t="s">
        <v>20</v>
      </c>
      <c r="D15" s="2" t="s">
        <v>51</v>
      </c>
      <c r="E15" s="3" t="s">
        <v>37</v>
      </c>
      <c r="F15" s="3">
        <v>100</v>
      </c>
      <c r="G15" s="2">
        <v>6000</v>
      </c>
      <c r="J15" s="3">
        <v>10</v>
      </c>
      <c r="K15" s="4">
        <v>46151</v>
      </c>
      <c r="L15" s="16">
        <v>2040</v>
      </c>
    </row>
    <row r="16" spans="1:13" x14ac:dyDescent="0.3">
      <c r="A16" s="3">
        <v>55</v>
      </c>
      <c r="B16" s="4">
        <v>46140</v>
      </c>
      <c r="C16" s="2" t="s">
        <v>20</v>
      </c>
      <c r="D16" s="2" t="s">
        <v>82</v>
      </c>
      <c r="E16" s="3" t="s">
        <v>62</v>
      </c>
      <c r="F16" s="3">
        <v>10</v>
      </c>
      <c r="G16" s="2">
        <v>680</v>
      </c>
      <c r="J16" s="3">
        <v>11</v>
      </c>
      <c r="K16" s="4">
        <v>46152</v>
      </c>
      <c r="L16" s="16">
        <v>1800</v>
      </c>
    </row>
    <row r="17" spans="1:15" x14ac:dyDescent="0.3">
      <c r="A17" s="3">
        <v>56</v>
      </c>
      <c r="B17" s="4">
        <v>46140</v>
      </c>
      <c r="C17" s="2" t="s">
        <v>20</v>
      </c>
      <c r="D17" s="2" t="s">
        <v>38</v>
      </c>
      <c r="E17" s="3" t="s">
        <v>37</v>
      </c>
      <c r="F17" s="3">
        <v>20</v>
      </c>
      <c r="G17" s="2">
        <v>1700</v>
      </c>
      <c r="J17" s="3">
        <v>12</v>
      </c>
      <c r="K17" s="4">
        <v>46152</v>
      </c>
      <c r="L17" s="16">
        <v>2400</v>
      </c>
    </row>
    <row r="18" spans="1:15" x14ac:dyDescent="0.3">
      <c r="A18" s="3">
        <v>57</v>
      </c>
      <c r="B18" s="4">
        <v>46140</v>
      </c>
      <c r="C18" s="2" t="s">
        <v>20</v>
      </c>
      <c r="D18" s="2" t="s">
        <v>45</v>
      </c>
      <c r="E18" s="3" t="s">
        <v>28</v>
      </c>
      <c r="F18" s="3">
        <v>1</v>
      </c>
      <c r="G18" s="2">
        <v>100</v>
      </c>
      <c r="J18" s="3">
        <v>13</v>
      </c>
      <c r="K18" s="4">
        <v>46154</v>
      </c>
      <c r="L18" s="16">
        <v>8950</v>
      </c>
    </row>
    <row r="19" spans="1:15" x14ac:dyDescent="0.3">
      <c r="A19" s="3">
        <v>58</v>
      </c>
      <c r="B19" s="4">
        <v>46140</v>
      </c>
      <c r="C19" s="2" t="s">
        <v>20</v>
      </c>
      <c r="D19" s="2" t="s">
        <v>38</v>
      </c>
      <c r="E19" s="3" t="s">
        <v>37</v>
      </c>
      <c r="F19" s="3">
        <v>20</v>
      </c>
      <c r="G19" s="2">
        <v>1850</v>
      </c>
      <c r="J19" s="3">
        <v>14</v>
      </c>
      <c r="K19" s="4">
        <v>46154</v>
      </c>
      <c r="L19" s="16">
        <v>3390</v>
      </c>
    </row>
    <row r="20" spans="1:15" x14ac:dyDescent="0.3">
      <c r="A20" s="3">
        <v>60</v>
      </c>
      <c r="B20" s="4">
        <v>46143</v>
      </c>
      <c r="C20" s="2" t="s">
        <v>20</v>
      </c>
      <c r="D20" s="2" t="s">
        <v>51</v>
      </c>
      <c r="E20" s="3" t="s">
        <v>37</v>
      </c>
      <c r="F20" s="3">
        <v>20</v>
      </c>
      <c r="G20" s="2">
        <v>1200</v>
      </c>
      <c r="J20" s="3">
        <v>15</v>
      </c>
      <c r="K20" s="4">
        <v>46155</v>
      </c>
      <c r="L20" s="16">
        <v>2510</v>
      </c>
    </row>
    <row r="21" spans="1:15" x14ac:dyDescent="0.3">
      <c r="A21" s="3">
        <v>61</v>
      </c>
      <c r="B21" s="4">
        <v>46143</v>
      </c>
      <c r="C21" s="2" t="s">
        <v>20</v>
      </c>
      <c r="D21" s="2" t="s">
        <v>38</v>
      </c>
      <c r="E21" s="3" t="s">
        <v>37</v>
      </c>
      <c r="F21" s="3">
        <v>20</v>
      </c>
      <c r="G21" s="2">
        <v>1850</v>
      </c>
      <c r="J21" s="3">
        <v>16</v>
      </c>
      <c r="K21" s="4">
        <v>46155</v>
      </c>
      <c r="L21" s="16">
        <v>960</v>
      </c>
    </row>
    <row r="22" spans="1:15" x14ac:dyDescent="0.3">
      <c r="A22" s="3">
        <v>62</v>
      </c>
      <c r="B22" s="4">
        <v>46143</v>
      </c>
      <c r="C22" s="2" t="s">
        <v>20</v>
      </c>
      <c r="D22" s="2" t="s">
        <v>44</v>
      </c>
      <c r="E22" s="3" t="s">
        <v>28</v>
      </c>
      <c r="F22" s="3">
        <v>3</v>
      </c>
      <c r="G22" s="2">
        <v>360</v>
      </c>
      <c r="J22" s="3">
        <v>17</v>
      </c>
      <c r="K22" s="4">
        <v>46160</v>
      </c>
      <c r="L22" s="16">
        <v>2680</v>
      </c>
      <c r="O22" s="19"/>
    </row>
    <row r="23" spans="1:15" x14ac:dyDescent="0.3">
      <c r="A23" s="3">
        <v>63</v>
      </c>
      <c r="B23" s="4">
        <v>46144</v>
      </c>
      <c r="C23" s="2" t="s">
        <v>20</v>
      </c>
      <c r="D23" s="2" t="s">
        <v>38</v>
      </c>
      <c r="E23" s="3" t="s">
        <v>37</v>
      </c>
      <c r="F23" s="3">
        <v>20</v>
      </c>
      <c r="G23" s="2">
        <v>1250</v>
      </c>
      <c r="J23" s="3">
        <v>18</v>
      </c>
      <c r="K23" s="4">
        <v>46162</v>
      </c>
      <c r="L23" s="16">
        <v>3440</v>
      </c>
    </row>
    <row r="24" spans="1:15" x14ac:dyDescent="0.3">
      <c r="A24" s="3">
        <v>64</v>
      </c>
      <c r="B24" s="4">
        <v>46145</v>
      </c>
      <c r="C24" s="2" t="s">
        <v>20</v>
      </c>
      <c r="D24" s="2" t="s">
        <v>51</v>
      </c>
      <c r="E24" s="3" t="s">
        <v>37</v>
      </c>
      <c r="F24" s="3">
        <v>40</v>
      </c>
      <c r="G24" s="2">
        <v>2400</v>
      </c>
      <c r="J24" s="3">
        <v>19</v>
      </c>
      <c r="K24" s="4">
        <v>46164</v>
      </c>
      <c r="L24" s="16">
        <v>2040</v>
      </c>
    </row>
    <row r="25" spans="1:15" x14ac:dyDescent="0.3">
      <c r="A25" s="3">
        <v>66</v>
      </c>
      <c r="B25" s="4">
        <v>46145</v>
      </c>
      <c r="C25" s="2" t="s">
        <v>20</v>
      </c>
      <c r="D25" s="2" t="s">
        <v>38</v>
      </c>
      <c r="E25" s="3" t="s">
        <v>37</v>
      </c>
      <c r="F25" s="3">
        <v>2</v>
      </c>
      <c r="G25" s="2">
        <v>300</v>
      </c>
      <c r="J25" s="57" t="s">
        <v>188</v>
      </c>
      <c r="K25" s="58"/>
      <c r="L25" s="29">
        <f>SUM(L6:L24)</f>
        <v>58313</v>
      </c>
    </row>
    <row r="26" spans="1:15" x14ac:dyDescent="0.3">
      <c r="A26" s="3">
        <v>79</v>
      </c>
      <c r="B26" s="4">
        <v>46151</v>
      </c>
      <c r="C26" s="2" t="s">
        <v>20</v>
      </c>
      <c r="D26" s="2" t="s">
        <v>51</v>
      </c>
      <c r="E26" s="3" t="s">
        <v>28</v>
      </c>
      <c r="F26" s="3">
        <v>4</v>
      </c>
      <c r="G26" s="2">
        <v>1160</v>
      </c>
    </row>
    <row r="27" spans="1:15" x14ac:dyDescent="0.3">
      <c r="A27" s="3">
        <v>80</v>
      </c>
      <c r="B27" s="4">
        <v>46151</v>
      </c>
      <c r="C27" s="2" t="s">
        <v>20</v>
      </c>
      <c r="D27" s="2" t="s">
        <v>82</v>
      </c>
      <c r="E27" s="3" t="s">
        <v>62</v>
      </c>
      <c r="F27" s="3">
        <v>10</v>
      </c>
      <c r="G27" s="2">
        <v>700</v>
      </c>
    </row>
    <row r="28" spans="1:15" x14ac:dyDescent="0.3">
      <c r="A28" s="3">
        <v>81</v>
      </c>
      <c r="B28" s="4">
        <v>46151</v>
      </c>
      <c r="C28" s="2" t="s">
        <v>20</v>
      </c>
      <c r="D28" s="2" t="s">
        <v>36</v>
      </c>
      <c r="E28" s="3" t="s">
        <v>37</v>
      </c>
      <c r="F28" s="3">
        <v>1</v>
      </c>
      <c r="G28" s="2">
        <v>130</v>
      </c>
    </row>
    <row r="29" spans="1:15" x14ac:dyDescent="0.3">
      <c r="A29" s="3">
        <v>82</v>
      </c>
      <c r="B29" s="4">
        <v>46151</v>
      </c>
      <c r="C29" s="2" t="s">
        <v>20</v>
      </c>
      <c r="D29" s="2" t="s">
        <v>45</v>
      </c>
      <c r="E29" s="3" t="s">
        <v>28</v>
      </c>
      <c r="F29" s="3">
        <v>1</v>
      </c>
      <c r="G29" s="2">
        <v>50</v>
      </c>
    </row>
    <row r="30" spans="1:15" x14ac:dyDescent="0.3">
      <c r="A30" s="3">
        <v>86</v>
      </c>
      <c r="B30" s="4">
        <v>46152</v>
      </c>
      <c r="C30" s="2" t="s">
        <v>20</v>
      </c>
      <c r="D30" s="2" t="s">
        <v>51</v>
      </c>
      <c r="E30" s="3" t="s">
        <v>37</v>
      </c>
      <c r="F30" s="3">
        <v>20</v>
      </c>
      <c r="G30" s="2">
        <v>1200</v>
      </c>
    </row>
    <row r="31" spans="1:15" x14ac:dyDescent="0.3">
      <c r="A31" s="3">
        <v>87</v>
      </c>
      <c r="B31" s="4">
        <v>46152</v>
      </c>
      <c r="C31" s="2" t="s">
        <v>20</v>
      </c>
      <c r="D31" s="2" t="s">
        <v>51</v>
      </c>
      <c r="E31" s="3" t="s">
        <v>37</v>
      </c>
      <c r="F31" s="3">
        <v>2</v>
      </c>
      <c r="G31" s="2">
        <v>600</v>
      </c>
    </row>
    <row r="32" spans="1:15" x14ac:dyDescent="0.3">
      <c r="A32" s="3">
        <v>88</v>
      </c>
      <c r="B32" s="4">
        <v>46152</v>
      </c>
      <c r="C32" s="2" t="s">
        <v>20</v>
      </c>
      <c r="D32" s="2" t="s">
        <v>51</v>
      </c>
      <c r="E32" s="3" t="s">
        <v>37</v>
      </c>
      <c r="F32" s="3">
        <v>20</v>
      </c>
      <c r="G32" s="2">
        <v>1200</v>
      </c>
    </row>
    <row r="33" spans="1:7" x14ac:dyDescent="0.3">
      <c r="A33" s="3">
        <v>94</v>
      </c>
      <c r="B33" s="4">
        <v>46154</v>
      </c>
      <c r="C33" s="2" t="s">
        <v>20</v>
      </c>
      <c r="D33" s="2" t="s">
        <v>51</v>
      </c>
      <c r="E33" s="3" t="s">
        <v>37</v>
      </c>
      <c r="F33" s="3">
        <v>60</v>
      </c>
      <c r="G33" s="2">
        <v>3600</v>
      </c>
    </row>
    <row r="34" spans="1:7" x14ac:dyDescent="0.3">
      <c r="A34" s="3">
        <v>95</v>
      </c>
      <c r="B34" s="4">
        <v>46154</v>
      </c>
      <c r="C34" s="2" t="s">
        <v>20</v>
      </c>
      <c r="D34" s="2" t="s">
        <v>51</v>
      </c>
      <c r="E34" s="3" t="s">
        <v>37</v>
      </c>
      <c r="F34" s="3">
        <v>20</v>
      </c>
      <c r="G34" s="2">
        <v>1750</v>
      </c>
    </row>
    <row r="35" spans="1:7" x14ac:dyDescent="0.3">
      <c r="A35" s="3">
        <v>96</v>
      </c>
      <c r="B35" s="4">
        <v>46154</v>
      </c>
      <c r="C35" s="2" t="s">
        <v>20</v>
      </c>
      <c r="D35" s="2" t="s">
        <v>51</v>
      </c>
      <c r="E35" s="3" t="s">
        <v>37</v>
      </c>
      <c r="F35" s="3">
        <v>20</v>
      </c>
      <c r="G35" s="2">
        <v>2500</v>
      </c>
    </row>
    <row r="36" spans="1:7" x14ac:dyDescent="0.3">
      <c r="A36" s="3">
        <v>97</v>
      </c>
      <c r="B36" s="4">
        <v>46154</v>
      </c>
      <c r="C36" s="2" t="s">
        <v>20</v>
      </c>
      <c r="D36" s="2" t="s">
        <v>51</v>
      </c>
      <c r="E36" s="3" t="s">
        <v>37</v>
      </c>
      <c r="F36" s="3">
        <v>4</v>
      </c>
      <c r="G36" s="2">
        <v>1100</v>
      </c>
    </row>
    <row r="37" spans="1:7" x14ac:dyDescent="0.3">
      <c r="A37" s="3">
        <v>107</v>
      </c>
      <c r="B37" s="4">
        <v>46155</v>
      </c>
      <c r="C37" s="2" t="s">
        <v>20</v>
      </c>
      <c r="D37" s="2" t="s">
        <v>76</v>
      </c>
      <c r="E37" s="3"/>
      <c r="F37" s="3"/>
      <c r="G37" s="2">
        <f>960+3390</f>
        <v>4350</v>
      </c>
    </row>
    <row r="38" spans="1:7" x14ac:dyDescent="0.3">
      <c r="A38" s="93" t="s">
        <v>151</v>
      </c>
      <c r="B38" s="94"/>
      <c r="C38" s="94"/>
      <c r="D38" s="94"/>
      <c r="E38" s="94"/>
      <c r="F38" s="95"/>
      <c r="G38" s="29">
        <f>SUM(G4:G37)</f>
        <v>48313</v>
      </c>
    </row>
  </sheetData>
  <mergeCells count="4">
    <mergeCell ref="A1:G2"/>
    <mergeCell ref="A38:F38"/>
    <mergeCell ref="J4:L4"/>
    <mergeCell ref="J25:K25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F54BC-BE41-4DC5-A273-6806F1BFEBFD}">
  <dimension ref="A1:F17"/>
  <sheetViews>
    <sheetView workbookViewId="0">
      <selection activeCell="D23" sqref="D23"/>
    </sheetView>
  </sheetViews>
  <sheetFormatPr defaultRowHeight="14.4" x14ac:dyDescent="0.3"/>
  <cols>
    <col min="2" max="2" width="38.109375" bestFit="1" customWidth="1"/>
  </cols>
  <sheetData>
    <row r="1" spans="1:6" x14ac:dyDescent="0.3">
      <c r="A1" s="97" t="s">
        <v>148</v>
      </c>
      <c r="B1" s="97"/>
      <c r="C1" s="97"/>
      <c r="D1" s="97"/>
      <c r="E1" s="97"/>
      <c r="F1" s="97"/>
    </row>
    <row r="2" spans="1:6" x14ac:dyDescent="0.3">
      <c r="A2" s="97"/>
      <c r="B2" s="97"/>
      <c r="C2" s="97"/>
      <c r="D2" s="97"/>
      <c r="E2" s="97"/>
      <c r="F2" s="97"/>
    </row>
    <row r="3" spans="1:6" x14ac:dyDescent="0.3">
      <c r="A3" s="5" t="s">
        <v>0</v>
      </c>
      <c r="B3" s="5" t="s">
        <v>152</v>
      </c>
      <c r="C3" s="5" t="s">
        <v>2</v>
      </c>
      <c r="D3" s="5" t="s">
        <v>3</v>
      </c>
      <c r="E3" s="5" t="s">
        <v>111</v>
      </c>
      <c r="F3" s="5" t="s">
        <v>112</v>
      </c>
    </row>
    <row r="4" spans="1:6" x14ac:dyDescent="0.3">
      <c r="A4" s="3">
        <v>1</v>
      </c>
      <c r="B4" s="2" t="s">
        <v>172</v>
      </c>
      <c r="C4" s="2" t="s">
        <v>14</v>
      </c>
      <c r="D4" s="3">
        <v>9</v>
      </c>
      <c r="E4" s="2"/>
      <c r="F4" s="2"/>
    </row>
    <row r="5" spans="1:6" x14ac:dyDescent="0.3">
      <c r="A5" s="3">
        <v>2</v>
      </c>
      <c r="B5" s="2" t="s">
        <v>153</v>
      </c>
      <c r="C5" s="2" t="s">
        <v>155</v>
      </c>
      <c r="D5" s="3">
        <v>50</v>
      </c>
      <c r="E5" s="2"/>
      <c r="F5" s="2"/>
    </row>
    <row r="6" spans="1:6" x14ac:dyDescent="0.3">
      <c r="A6" s="3">
        <v>3</v>
      </c>
      <c r="B6" s="2" t="s">
        <v>154</v>
      </c>
      <c r="C6" s="2" t="s">
        <v>155</v>
      </c>
      <c r="D6" s="3">
        <v>50</v>
      </c>
      <c r="E6" s="2"/>
      <c r="F6" s="2"/>
    </row>
    <row r="7" spans="1:6" x14ac:dyDescent="0.3">
      <c r="A7" s="3">
        <v>4</v>
      </c>
      <c r="B7" s="2" t="s">
        <v>157</v>
      </c>
      <c r="C7" s="2" t="s">
        <v>156</v>
      </c>
      <c r="D7" s="3"/>
      <c r="E7" s="2"/>
      <c r="F7" s="2"/>
    </row>
    <row r="8" spans="1:6" x14ac:dyDescent="0.3">
      <c r="A8" s="3">
        <v>5</v>
      </c>
      <c r="B8" s="2" t="s">
        <v>210</v>
      </c>
      <c r="C8" s="2" t="s">
        <v>14</v>
      </c>
      <c r="D8" s="3">
        <v>1</v>
      </c>
      <c r="E8" s="2"/>
      <c r="F8" s="2"/>
    </row>
    <row r="9" spans="1:6" x14ac:dyDescent="0.3">
      <c r="A9" s="3">
        <v>6</v>
      </c>
      <c r="B9" s="2" t="s">
        <v>183</v>
      </c>
      <c r="C9" s="2"/>
      <c r="D9" s="3"/>
      <c r="E9" s="2"/>
      <c r="F9" s="2"/>
    </row>
    <row r="10" spans="1:6" x14ac:dyDescent="0.3">
      <c r="A10" s="3">
        <v>7</v>
      </c>
      <c r="B10" s="2" t="s">
        <v>158</v>
      </c>
      <c r="C10" s="2"/>
      <c r="D10" s="3"/>
      <c r="E10" s="2"/>
      <c r="F10" s="2"/>
    </row>
    <row r="11" spans="1:6" x14ac:dyDescent="0.3">
      <c r="A11" s="3">
        <v>8</v>
      </c>
      <c r="B11" s="2" t="s">
        <v>159</v>
      </c>
      <c r="C11" s="2"/>
      <c r="D11" s="3"/>
      <c r="E11" s="2"/>
      <c r="F11" s="2"/>
    </row>
    <row r="12" spans="1:6" x14ac:dyDescent="0.3">
      <c r="A12" s="3">
        <v>9</v>
      </c>
      <c r="B12" s="2" t="s">
        <v>211</v>
      </c>
      <c r="C12" s="2" t="s">
        <v>14</v>
      </c>
      <c r="D12" s="3">
        <v>5</v>
      </c>
      <c r="E12" s="2"/>
      <c r="F12" s="2"/>
    </row>
    <row r="13" spans="1:6" x14ac:dyDescent="0.3">
      <c r="A13" s="3">
        <v>10</v>
      </c>
      <c r="B13" s="2" t="s">
        <v>160</v>
      </c>
      <c r="C13" s="2"/>
      <c r="D13" s="3"/>
      <c r="E13" s="2"/>
      <c r="F13" s="2"/>
    </row>
    <row r="14" spans="1:6" x14ac:dyDescent="0.3">
      <c r="A14" s="3">
        <v>11</v>
      </c>
      <c r="B14" s="2" t="s">
        <v>182</v>
      </c>
      <c r="C14" s="2" t="s">
        <v>14</v>
      </c>
      <c r="D14" s="3">
        <v>6</v>
      </c>
      <c r="E14" s="2"/>
      <c r="F14" s="2"/>
    </row>
    <row r="15" spans="1:6" x14ac:dyDescent="0.3">
      <c r="A15" s="3">
        <v>12</v>
      </c>
      <c r="B15" s="37" t="s">
        <v>212</v>
      </c>
      <c r="C15" s="3"/>
      <c r="D15" s="3"/>
      <c r="E15" s="3"/>
      <c r="F15" s="3"/>
    </row>
    <row r="16" spans="1:6" x14ac:dyDescent="0.3">
      <c r="A16" s="3">
        <v>13</v>
      </c>
      <c r="B16" s="37" t="s">
        <v>213</v>
      </c>
      <c r="C16" s="3"/>
      <c r="D16" s="3"/>
      <c r="E16" s="3"/>
      <c r="F16" s="3"/>
    </row>
    <row r="17" spans="1:2" x14ac:dyDescent="0.3">
      <c r="A17" s="36">
        <v>14</v>
      </c>
      <c r="B17" s="38" t="s">
        <v>214</v>
      </c>
    </row>
  </sheetData>
  <mergeCells count="1">
    <mergeCell ref="A1:F2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75C1C0-4FE7-40D1-B057-A2165BDE4307}">
  <dimension ref="A1:W94"/>
  <sheetViews>
    <sheetView tabSelected="1" workbookViewId="0">
      <selection activeCell="P14" sqref="P14"/>
    </sheetView>
  </sheetViews>
  <sheetFormatPr defaultRowHeight="14.4" x14ac:dyDescent="0.3"/>
  <cols>
    <col min="2" max="2" width="22.33203125" bestFit="1" customWidth="1"/>
    <col min="3" max="3" width="9.44140625" bestFit="1" customWidth="1"/>
    <col min="6" max="6" width="12.33203125" bestFit="1" customWidth="1"/>
    <col min="7" max="7" width="11.33203125" bestFit="1" customWidth="1"/>
    <col min="10" max="10" width="12.6640625" bestFit="1" customWidth="1"/>
    <col min="15" max="15" width="10" bestFit="1" customWidth="1"/>
    <col min="18" max="18" width="12.88671875" bestFit="1" customWidth="1"/>
  </cols>
  <sheetData>
    <row r="1" spans="1:7" ht="21" x14ac:dyDescent="0.4">
      <c r="A1" s="64" t="s">
        <v>247</v>
      </c>
      <c r="B1" s="64"/>
      <c r="C1" s="64"/>
      <c r="D1" s="64"/>
      <c r="E1" s="64"/>
      <c r="F1" s="64"/>
    </row>
    <row r="2" spans="1:7" x14ac:dyDescent="0.3">
      <c r="A2" s="12" t="s">
        <v>0</v>
      </c>
      <c r="B2" s="12" t="s">
        <v>164</v>
      </c>
      <c r="C2" s="12" t="s">
        <v>110</v>
      </c>
      <c r="D2" s="12" t="s">
        <v>3</v>
      </c>
      <c r="E2" s="12" t="s">
        <v>111</v>
      </c>
      <c r="F2" s="12" t="s">
        <v>112</v>
      </c>
    </row>
    <row r="3" spans="1:7" x14ac:dyDescent="0.3">
      <c r="A3" s="3">
        <v>1</v>
      </c>
      <c r="B3" s="2" t="s">
        <v>165</v>
      </c>
      <c r="C3" s="3" t="s">
        <v>6</v>
      </c>
      <c r="D3" s="3">
        <v>66</v>
      </c>
      <c r="E3" s="3">
        <v>600</v>
      </c>
      <c r="F3" s="16">
        <f>D3*E3</f>
        <v>39600</v>
      </c>
    </row>
    <row r="4" spans="1:7" x14ac:dyDescent="0.3">
      <c r="A4" s="3">
        <v>2</v>
      </c>
      <c r="B4" s="2" t="s">
        <v>166</v>
      </c>
      <c r="C4" s="3" t="s">
        <v>6</v>
      </c>
      <c r="D4" s="3">
        <v>178</v>
      </c>
      <c r="E4" s="3">
        <v>800</v>
      </c>
      <c r="F4" s="16">
        <f>D4*E4</f>
        <v>142400</v>
      </c>
    </row>
    <row r="5" spans="1:7" x14ac:dyDescent="0.3">
      <c r="A5" s="3">
        <v>3</v>
      </c>
      <c r="B5" s="2" t="s">
        <v>167</v>
      </c>
      <c r="C5" s="3" t="s">
        <v>6</v>
      </c>
      <c r="D5" s="3">
        <v>15</v>
      </c>
      <c r="E5" s="3">
        <v>650</v>
      </c>
      <c r="F5" s="16">
        <f>D5*E5</f>
        <v>9750</v>
      </c>
    </row>
    <row r="6" spans="1:7" x14ac:dyDescent="0.3">
      <c r="A6" s="3">
        <v>4</v>
      </c>
      <c r="B6" s="2" t="s">
        <v>168</v>
      </c>
      <c r="C6" s="3" t="s">
        <v>14</v>
      </c>
      <c r="D6" s="3">
        <v>1</v>
      </c>
      <c r="E6" s="3" t="s">
        <v>178</v>
      </c>
      <c r="F6" s="16">
        <v>400000</v>
      </c>
      <c r="G6" s="31">
        <v>464000</v>
      </c>
    </row>
    <row r="7" spans="1:7" x14ac:dyDescent="0.3">
      <c r="A7" s="3">
        <v>5</v>
      </c>
      <c r="B7" s="2" t="s">
        <v>169</v>
      </c>
      <c r="C7" s="3" t="s">
        <v>50</v>
      </c>
      <c r="D7" s="3" t="s">
        <v>178</v>
      </c>
      <c r="E7" s="3" t="s">
        <v>170</v>
      </c>
      <c r="F7" s="16">
        <v>580283</v>
      </c>
      <c r="G7" s="31">
        <v>699024</v>
      </c>
    </row>
    <row r="8" spans="1:7" x14ac:dyDescent="0.3">
      <c r="A8" s="3">
        <v>6</v>
      </c>
      <c r="B8" s="2" t="s">
        <v>171</v>
      </c>
      <c r="C8" s="3" t="s">
        <v>50</v>
      </c>
      <c r="D8" s="3" t="s">
        <v>178</v>
      </c>
      <c r="E8" s="3" t="s">
        <v>170</v>
      </c>
      <c r="F8" s="16">
        <v>58313</v>
      </c>
      <c r="G8" s="31"/>
    </row>
    <row r="9" spans="1:7" x14ac:dyDescent="0.3">
      <c r="A9" s="3">
        <v>7</v>
      </c>
      <c r="B9" s="2" t="s">
        <v>179</v>
      </c>
      <c r="C9" s="3" t="s">
        <v>178</v>
      </c>
      <c r="D9" s="3" t="s">
        <v>178</v>
      </c>
      <c r="E9" s="3" t="s">
        <v>178</v>
      </c>
      <c r="F9" s="16">
        <f>217530</f>
        <v>217530</v>
      </c>
      <c r="G9" s="31">
        <v>110448</v>
      </c>
    </row>
    <row r="10" spans="1:7" x14ac:dyDescent="0.3">
      <c r="A10" s="3">
        <v>8</v>
      </c>
      <c r="B10" s="2" t="s">
        <v>180</v>
      </c>
      <c r="C10" s="3" t="s">
        <v>178</v>
      </c>
      <c r="D10" s="3" t="s">
        <v>178</v>
      </c>
      <c r="E10" s="3" t="s">
        <v>178</v>
      </c>
      <c r="F10" s="16">
        <v>25000</v>
      </c>
    </row>
    <row r="11" spans="1:7" x14ac:dyDescent="0.3">
      <c r="A11" s="3">
        <v>9</v>
      </c>
      <c r="B11" s="2" t="s">
        <v>172</v>
      </c>
      <c r="C11" s="3" t="s">
        <v>178</v>
      </c>
      <c r="D11" s="3" t="s">
        <v>178</v>
      </c>
      <c r="E11" s="3" t="s">
        <v>170</v>
      </c>
      <c r="F11" s="16">
        <v>18600</v>
      </c>
    </row>
    <row r="12" spans="1:7" x14ac:dyDescent="0.3">
      <c r="A12" s="3">
        <v>10</v>
      </c>
      <c r="B12" s="2" t="s">
        <v>253</v>
      </c>
      <c r="C12" s="3" t="s">
        <v>116</v>
      </c>
      <c r="D12" s="3">
        <f>107*5</f>
        <v>535</v>
      </c>
      <c r="E12" s="3">
        <v>75</v>
      </c>
      <c r="F12" s="16">
        <f>D12*E12</f>
        <v>40125</v>
      </c>
    </row>
    <row r="13" spans="1:7" x14ac:dyDescent="0.3">
      <c r="A13" s="3">
        <v>11</v>
      </c>
      <c r="B13" s="2" t="s">
        <v>11</v>
      </c>
      <c r="C13" s="3" t="s">
        <v>9</v>
      </c>
      <c r="D13" s="3">
        <f>82+12</f>
        <v>94</v>
      </c>
      <c r="E13" s="3">
        <v>120</v>
      </c>
      <c r="F13" s="16">
        <f>D13*E13</f>
        <v>11280</v>
      </c>
    </row>
    <row r="14" spans="1:7" x14ac:dyDescent="0.3">
      <c r="A14" s="3">
        <v>12</v>
      </c>
      <c r="B14" s="2" t="s">
        <v>15</v>
      </c>
      <c r="C14" s="3" t="s">
        <v>9</v>
      </c>
      <c r="D14" s="3">
        <f>100</f>
        <v>100</v>
      </c>
      <c r="E14" s="3">
        <v>130</v>
      </c>
      <c r="F14" s="16">
        <f t="shared" ref="F14:F15" si="0">D14*E14</f>
        <v>13000</v>
      </c>
    </row>
    <row r="15" spans="1:7" x14ac:dyDescent="0.3">
      <c r="A15" s="3">
        <v>13</v>
      </c>
      <c r="B15" s="2" t="s">
        <v>21</v>
      </c>
      <c r="C15" s="3" t="s">
        <v>9</v>
      </c>
      <c r="D15" s="3">
        <v>35</v>
      </c>
      <c r="E15" s="3">
        <v>350</v>
      </c>
      <c r="F15" s="16">
        <f t="shared" si="0"/>
        <v>12250</v>
      </c>
    </row>
    <row r="16" spans="1:7" x14ac:dyDescent="0.3">
      <c r="A16" s="3">
        <v>14</v>
      </c>
      <c r="B16" s="2" t="s">
        <v>173</v>
      </c>
      <c r="C16" s="3" t="s">
        <v>178</v>
      </c>
      <c r="D16" s="3" t="s">
        <v>178</v>
      </c>
      <c r="E16" s="3" t="s">
        <v>170</v>
      </c>
      <c r="F16" s="16">
        <v>50000</v>
      </c>
    </row>
    <row r="17" spans="1:23" x14ac:dyDescent="0.3">
      <c r="A17" s="3">
        <v>15</v>
      </c>
      <c r="B17" s="2" t="s">
        <v>174</v>
      </c>
      <c r="C17" s="3" t="s">
        <v>178</v>
      </c>
      <c r="D17" s="3" t="s">
        <v>178</v>
      </c>
      <c r="E17" s="3" t="s">
        <v>170</v>
      </c>
      <c r="F17" s="16">
        <v>45230</v>
      </c>
    </row>
    <row r="18" spans="1:23" x14ac:dyDescent="0.3">
      <c r="A18" s="3">
        <v>16</v>
      </c>
      <c r="B18" s="2" t="s">
        <v>175</v>
      </c>
      <c r="C18" s="3" t="s">
        <v>178</v>
      </c>
      <c r="D18" s="3" t="s">
        <v>178</v>
      </c>
      <c r="E18" s="3" t="s">
        <v>178</v>
      </c>
      <c r="F18" s="16">
        <v>35000</v>
      </c>
    </row>
    <row r="19" spans="1:23" x14ac:dyDescent="0.3">
      <c r="A19" s="3">
        <v>17</v>
      </c>
      <c r="B19" s="2" t="s">
        <v>65</v>
      </c>
      <c r="C19" s="3" t="s">
        <v>14</v>
      </c>
      <c r="D19" s="3">
        <v>6</v>
      </c>
      <c r="E19" s="3">
        <v>7000</v>
      </c>
      <c r="F19" s="16">
        <f>D19*E19</f>
        <v>42000</v>
      </c>
    </row>
    <row r="20" spans="1:23" x14ac:dyDescent="0.3">
      <c r="A20" s="3">
        <v>18</v>
      </c>
      <c r="B20" s="2" t="s">
        <v>181</v>
      </c>
      <c r="C20" s="3"/>
      <c r="D20" s="3"/>
      <c r="E20" s="3"/>
      <c r="F20" s="16">
        <v>2000</v>
      </c>
    </row>
    <row r="21" spans="1:23" x14ac:dyDescent="0.3">
      <c r="A21" s="3">
        <v>19</v>
      </c>
      <c r="B21" s="2" t="s">
        <v>248</v>
      </c>
      <c r="C21" s="3"/>
      <c r="D21" s="3"/>
      <c r="E21" s="3" t="s">
        <v>170</v>
      </c>
      <c r="F21" s="16">
        <v>50000</v>
      </c>
    </row>
    <row r="22" spans="1:23" x14ac:dyDescent="0.3">
      <c r="A22" s="3">
        <v>20</v>
      </c>
      <c r="B22" s="2" t="s">
        <v>254</v>
      </c>
      <c r="C22" s="3"/>
      <c r="D22" s="3"/>
      <c r="E22" s="3" t="s">
        <v>170</v>
      </c>
      <c r="F22" s="16">
        <v>25000</v>
      </c>
    </row>
    <row r="23" spans="1:23" x14ac:dyDescent="0.3">
      <c r="A23" s="3">
        <v>21</v>
      </c>
      <c r="B23" s="2" t="s">
        <v>176</v>
      </c>
      <c r="C23" s="3" t="s">
        <v>177</v>
      </c>
      <c r="D23" s="3">
        <v>3</v>
      </c>
      <c r="E23" s="3">
        <v>18000</v>
      </c>
      <c r="F23" s="16">
        <f>6*E23</f>
        <v>108000</v>
      </c>
    </row>
    <row r="24" spans="1:23" x14ac:dyDescent="0.3">
      <c r="A24" s="65" t="s">
        <v>151</v>
      </c>
      <c r="B24" s="65"/>
      <c r="C24" s="65"/>
      <c r="D24" s="65"/>
      <c r="E24" s="65"/>
      <c r="F24" s="30">
        <f>SUM(F3:F23)</f>
        <v>1925361</v>
      </c>
    </row>
    <row r="26" spans="1:23" x14ac:dyDescent="0.3">
      <c r="I26" s="61" t="s">
        <v>192</v>
      </c>
      <c r="J26" s="61"/>
      <c r="K26" s="61"/>
      <c r="L26" s="61"/>
      <c r="M26" s="61"/>
      <c r="N26" s="61"/>
      <c r="O26" s="61"/>
      <c r="Q26" s="61" t="s">
        <v>192</v>
      </c>
      <c r="R26" s="61"/>
      <c r="S26" s="61"/>
      <c r="T26" s="61"/>
      <c r="U26" s="61"/>
      <c r="V26" s="61"/>
      <c r="W26" s="61"/>
    </row>
    <row r="27" spans="1:23" x14ac:dyDescent="0.3">
      <c r="I27" s="61"/>
      <c r="J27" s="61"/>
      <c r="K27" s="61"/>
      <c r="L27" s="61"/>
      <c r="M27" s="61"/>
      <c r="N27" s="61"/>
      <c r="O27" s="61"/>
      <c r="Q27" s="61"/>
      <c r="R27" s="61"/>
      <c r="S27" s="61"/>
      <c r="T27" s="61"/>
      <c r="U27" s="61"/>
      <c r="V27" s="61"/>
      <c r="W27" s="61"/>
    </row>
    <row r="28" spans="1:23" x14ac:dyDescent="0.3">
      <c r="I28" s="12" t="s">
        <v>0</v>
      </c>
      <c r="J28" s="12" t="s">
        <v>184</v>
      </c>
      <c r="K28" s="33" t="s">
        <v>198</v>
      </c>
      <c r="L28" s="33" t="s">
        <v>193</v>
      </c>
      <c r="M28" s="12" t="s">
        <v>185</v>
      </c>
      <c r="N28" s="12" t="s">
        <v>186</v>
      </c>
      <c r="O28" s="12" t="s">
        <v>187</v>
      </c>
      <c r="Q28" s="12" t="s">
        <v>0</v>
      </c>
      <c r="R28" s="12" t="s">
        <v>184</v>
      </c>
      <c r="S28" s="33" t="s">
        <v>198</v>
      </c>
      <c r="T28" s="33" t="s">
        <v>193</v>
      </c>
      <c r="U28" s="12" t="s">
        <v>185</v>
      </c>
      <c r="V28" s="12" t="s">
        <v>186</v>
      </c>
      <c r="W28" s="12" t="s">
        <v>187</v>
      </c>
    </row>
    <row r="29" spans="1:23" x14ac:dyDescent="0.3">
      <c r="I29" s="35" t="s">
        <v>199</v>
      </c>
      <c r="J29" s="3" t="s">
        <v>200</v>
      </c>
      <c r="K29" s="34"/>
      <c r="L29" s="34"/>
      <c r="M29" s="3">
        <v>6</v>
      </c>
      <c r="N29" s="3">
        <v>6</v>
      </c>
      <c r="O29" s="3"/>
      <c r="Q29" s="35">
        <v>1</v>
      </c>
      <c r="R29" s="39">
        <v>46159</v>
      </c>
      <c r="S29" s="34"/>
      <c r="T29" s="34"/>
      <c r="U29" s="3"/>
      <c r="V29" s="3"/>
      <c r="W29" s="3"/>
    </row>
    <row r="30" spans="1:23" x14ac:dyDescent="0.3">
      <c r="I30" s="3">
        <v>1</v>
      </c>
      <c r="J30" s="4">
        <v>46149</v>
      </c>
      <c r="K30" s="3">
        <v>1</v>
      </c>
      <c r="L30" s="3">
        <v>2</v>
      </c>
      <c r="M30" s="3"/>
      <c r="N30" s="3"/>
      <c r="O30" s="15">
        <v>5500</v>
      </c>
      <c r="Q30" s="3">
        <v>2</v>
      </c>
      <c r="R30" s="39">
        <v>46160</v>
      </c>
      <c r="S30" s="3"/>
      <c r="T30" s="3"/>
      <c r="U30" s="3"/>
      <c r="V30" s="3"/>
      <c r="W30" s="15"/>
    </row>
    <row r="31" spans="1:23" x14ac:dyDescent="0.3">
      <c r="I31" s="3">
        <v>2</v>
      </c>
      <c r="J31" s="4">
        <v>46150</v>
      </c>
      <c r="K31" s="3">
        <v>1</v>
      </c>
      <c r="L31" s="3">
        <v>2</v>
      </c>
      <c r="M31" s="3"/>
      <c r="N31" s="3"/>
      <c r="O31" s="15"/>
      <c r="Q31" s="3">
        <v>3</v>
      </c>
      <c r="R31" s="39">
        <v>46161</v>
      </c>
      <c r="S31" s="3"/>
      <c r="T31" s="3"/>
      <c r="U31" s="3"/>
      <c r="V31" s="3"/>
      <c r="W31" s="15"/>
    </row>
    <row r="32" spans="1:23" x14ac:dyDescent="0.3">
      <c r="I32" s="3">
        <v>3</v>
      </c>
      <c r="J32" s="4">
        <v>46151</v>
      </c>
      <c r="K32" s="3">
        <v>1</v>
      </c>
      <c r="L32" s="3">
        <v>1</v>
      </c>
      <c r="M32" s="3"/>
      <c r="N32" s="3"/>
      <c r="O32" s="15"/>
      <c r="Q32" s="35">
        <v>4</v>
      </c>
      <c r="R32" s="39">
        <v>46162</v>
      </c>
      <c r="S32" s="3"/>
      <c r="T32" s="3"/>
      <c r="U32" s="3"/>
      <c r="V32" s="3"/>
      <c r="W32" s="15"/>
    </row>
    <row r="33" spans="9:23" x14ac:dyDescent="0.3">
      <c r="I33" s="3">
        <v>4</v>
      </c>
      <c r="J33" s="4">
        <v>46152</v>
      </c>
      <c r="K33" s="3">
        <v>1</v>
      </c>
      <c r="L33" s="3">
        <v>1</v>
      </c>
      <c r="M33" s="3"/>
      <c r="N33" s="3"/>
      <c r="O33" s="15">
        <v>5000</v>
      </c>
      <c r="Q33" s="3">
        <v>5</v>
      </c>
      <c r="R33" s="39">
        <v>46163</v>
      </c>
      <c r="S33" s="3"/>
      <c r="T33" s="3"/>
      <c r="U33" s="3"/>
      <c r="V33" s="3"/>
      <c r="W33" s="15"/>
    </row>
    <row r="34" spans="9:23" x14ac:dyDescent="0.3">
      <c r="I34" s="3">
        <v>5</v>
      </c>
      <c r="J34" s="4">
        <v>46153</v>
      </c>
      <c r="K34" s="3">
        <v>1</v>
      </c>
      <c r="L34" s="3">
        <v>1</v>
      </c>
      <c r="M34" s="3"/>
      <c r="N34" s="3"/>
      <c r="O34" s="15"/>
      <c r="Q34" s="3">
        <v>6</v>
      </c>
      <c r="R34" s="39">
        <v>46164</v>
      </c>
      <c r="S34" s="3"/>
      <c r="T34" s="3"/>
      <c r="U34" s="3"/>
      <c r="V34" s="3"/>
      <c r="W34" s="15"/>
    </row>
    <row r="35" spans="9:23" x14ac:dyDescent="0.3">
      <c r="I35" s="3">
        <v>6</v>
      </c>
      <c r="J35" s="4">
        <v>46154</v>
      </c>
      <c r="K35" s="3">
        <v>1</v>
      </c>
      <c r="L35" s="3">
        <v>1</v>
      </c>
      <c r="M35" s="3"/>
      <c r="N35" s="3"/>
      <c r="O35" s="15"/>
      <c r="Q35" s="35">
        <v>7</v>
      </c>
      <c r="R35" s="39">
        <v>46165</v>
      </c>
      <c r="S35" s="3">
        <v>1</v>
      </c>
      <c r="T35" s="3">
        <v>1</v>
      </c>
      <c r="U35" s="3"/>
      <c r="V35" s="3"/>
      <c r="W35" s="15"/>
    </row>
    <row r="36" spans="9:23" x14ac:dyDescent="0.3">
      <c r="I36" s="3">
        <v>7</v>
      </c>
      <c r="J36" s="4">
        <v>46155</v>
      </c>
      <c r="K36" s="3">
        <v>1</v>
      </c>
      <c r="L36" s="3">
        <v>1</v>
      </c>
      <c r="M36" s="3"/>
      <c r="N36" s="3"/>
      <c r="O36" s="15"/>
      <c r="Q36" s="3">
        <v>8</v>
      </c>
      <c r="R36" s="39">
        <v>46166</v>
      </c>
      <c r="S36" s="3"/>
      <c r="T36" s="3"/>
      <c r="U36" s="3"/>
      <c r="V36" s="3"/>
      <c r="W36" s="15"/>
    </row>
    <row r="37" spans="9:23" x14ac:dyDescent="0.3">
      <c r="I37" s="3">
        <v>8</v>
      </c>
      <c r="J37" s="4">
        <v>46156</v>
      </c>
      <c r="K37" s="3">
        <v>1</v>
      </c>
      <c r="L37" s="3">
        <v>1</v>
      </c>
      <c r="M37" s="3"/>
      <c r="N37" s="3"/>
      <c r="O37" s="15"/>
      <c r="Q37" s="3">
        <v>9</v>
      </c>
      <c r="R37" s="39">
        <v>46167</v>
      </c>
      <c r="S37" s="3"/>
      <c r="T37" s="3"/>
      <c r="U37" s="3"/>
      <c r="V37" s="3"/>
      <c r="W37" s="15"/>
    </row>
    <row r="38" spans="9:23" x14ac:dyDescent="0.3">
      <c r="I38" s="3">
        <v>9</v>
      </c>
      <c r="J38" s="4">
        <v>46157</v>
      </c>
      <c r="K38" s="3">
        <v>1</v>
      </c>
      <c r="L38" s="3">
        <v>1</v>
      </c>
      <c r="M38" s="3"/>
      <c r="N38" s="3"/>
      <c r="O38" s="15"/>
      <c r="Q38" s="35">
        <v>10</v>
      </c>
      <c r="R38" s="39">
        <v>46168</v>
      </c>
      <c r="S38" s="3"/>
      <c r="T38" s="3"/>
      <c r="U38" s="3"/>
      <c r="V38" s="3"/>
      <c r="W38" s="15"/>
    </row>
    <row r="39" spans="9:23" x14ac:dyDescent="0.3">
      <c r="I39" s="3">
        <v>10</v>
      </c>
      <c r="J39" s="4">
        <v>46158</v>
      </c>
      <c r="K39" s="3">
        <v>1</v>
      </c>
      <c r="L39" s="3">
        <v>1</v>
      </c>
      <c r="M39" s="3"/>
      <c r="N39" s="3"/>
      <c r="O39" s="15"/>
      <c r="Q39" s="3">
        <v>11</v>
      </c>
      <c r="R39" s="39">
        <v>46169</v>
      </c>
      <c r="S39" s="3"/>
      <c r="T39" s="3"/>
      <c r="U39" s="3"/>
      <c r="V39" s="3"/>
      <c r="W39" s="15"/>
    </row>
    <row r="40" spans="9:23" x14ac:dyDescent="0.3">
      <c r="I40" s="3"/>
      <c r="J40" s="4"/>
      <c r="K40" s="3"/>
      <c r="L40" s="3"/>
      <c r="M40" s="3"/>
      <c r="N40" s="3"/>
      <c r="O40" s="15"/>
      <c r="Q40" s="3"/>
      <c r="R40" s="4"/>
      <c r="S40" s="3"/>
      <c r="T40" s="3"/>
      <c r="U40" s="3"/>
      <c r="V40" s="3"/>
      <c r="W40" s="15"/>
    </row>
    <row r="41" spans="9:23" x14ac:dyDescent="0.3">
      <c r="I41" s="62" t="s">
        <v>188</v>
      </c>
      <c r="J41" s="63"/>
      <c r="K41" s="5">
        <v>10</v>
      </c>
      <c r="L41" s="5">
        <v>12</v>
      </c>
      <c r="M41" s="5">
        <v>6</v>
      </c>
      <c r="N41" s="5">
        <v>6</v>
      </c>
      <c r="O41" s="32">
        <f>SUM(O30:O40)</f>
        <v>10500</v>
      </c>
      <c r="Q41" s="62" t="s">
        <v>188</v>
      </c>
      <c r="R41" s="63"/>
      <c r="S41" s="5">
        <v>1</v>
      </c>
      <c r="T41" s="5">
        <v>1</v>
      </c>
      <c r="U41" s="5">
        <v>0</v>
      </c>
      <c r="V41" s="5">
        <v>0</v>
      </c>
      <c r="W41" s="32">
        <f>SUM(W30:W40)</f>
        <v>0</v>
      </c>
    </row>
    <row r="42" spans="9:23" x14ac:dyDescent="0.3">
      <c r="I42" s="46" t="s">
        <v>194</v>
      </c>
      <c r="J42" s="47"/>
      <c r="K42" s="54">
        <f>K41*1000</f>
        <v>10000</v>
      </c>
      <c r="L42" s="55"/>
      <c r="M42" s="55"/>
      <c r="N42" s="55"/>
      <c r="O42" s="56"/>
      <c r="Q42" s="46" t="s">
        <v>194</v>
      </c>
      <c r="R42" s="47"/>
      <c r="S42" s="54">
        <f>S41*1000</f>
        <v>1000</v>
      </c>
      <c r="T42" s="55"/>
      <c r="U42" s="55"/>
      <c r="V42" s="55"/>
      <c r="W42" s="56"/>
    </row>
    <row r="43" spans="9:23" x14ac:dyDescent="0.3">
      <c r="I43" s="46" t="s">
        <v>195</v>
      </c>
      <c r="J43" s="47"/>
      <c r="K43" s="54">
        <f>L41*600</f>
        <v>7200</v>
      </c>
      <c r="L43" s="55"/>
      <c r="M43" s="55"/>
      <c r="N43" s="55"/>
      <c r="O43" s="56"/>
      <c r="Q43" s="46" t="s">
        <v>195</v>
      </c>
      <c r="R43" s="47"/>
      <c r="S43" s="54">
        <f>T41*600</f>
        <v>600</v>
      </c>
      <c r="T43" s="55"/>
      <c r="U43" s="55"/>
      <c r="V43" s="55"/>
      <c r="W43" s="56"/>
    </row>
    <row r="44" spans="9:23" x14ac:dyDescent="0.3">
      <c r="I44" s="46" t="s">
        <v>197</v>
      </c>
      <c r="J44" s="47"/>
      <c r="K44" s="54">
        <f>M41*125</f>
        <v>750</v>
      </c>
      <c r="L44" s="55"/>
      <c r="M44" s="55"/>
      <c r="N44" s="55"/>
      <c r="O44" s="56"/>
      <c r="Q44" s="46" t="s">
        <v>197</v>
      </c>
      <c r="R44" s="47"/>
      <c r="S44" s="54">
        <f>U41*125</f>
        <v>0</v>
      </c>
      <c r="T44" s="55"/>
      <c r="U44" s="55"/>
      <c r="V44" s="55"/>
      <c r="W44" s="56"/>
    </row>
    <row r="45" spans="9:23" x14ac:dyDescent="0.3">
      <c r="I45" s="46" t="s">
        <v>196</v>
      </c>
      <c r="J45" s="47"/>
      <c r="K45" s="54">
        <f>N41*75</f>
        <v>450</v>
      </c>
      <c r="L45" s="55"/>
      <c r="M45" s="55"/>
      <c r="N45" s="55"/>
      <c r="O45" s="56"/>
      <c r="Q45" s="46" t="s">
        <v>196</v>
      </c>
      <c r="R45" s="47"/>
      <c r="S45" s="54">
        <f>V41*75</f>
        <v>0</v>
      </c>
      <c r="T45" s="55"/>
      <c r="U45" s="55"/>
      <c r="V45" s="55"/>
      <c r="W45" s="56"/>
    </row>
    <row r="46" spans="9:23" x14ac:dyDescent="0.3">
      <c r="I46" s="57" t="s">
        <v>189</v>
      </c>
      <c r="J46" s="58"/>
      <c r="K46" s="59">
        <f>K42+K43+K44+K45</f>
        <v>18400</v>
      </c>
      <c r="L46" s="60"/>
      <c r="M46" s="60"/>
      <c r="N46" s="60"/>
      <c r="O46" s="58"/>
      <c r="Q46" s="57" t="s">
        <v>189</v>
      </c>
      <c r="R46" s="58"/>
      <c r="S46" s="59">
        <f>S42+S43+S44+S45</f>
        <v>1600</v>
      </c>
      <c r="T46" s="60"/>
      <c r="U46" s="60"/>
      <c r="V46" s="60"/>
      <c r="W46" s="58"/>
    </row>
    <row r="47" spans="9:23" x14ac:dyDescent="0.3">
      <c r="I47" s="46" t="s">
        <v>190</v>
      </c>
      <c r="J47" s="47"/>
      <c r="K47" s="48">
        <f>O41</f>
        <v>10500</v>
      </c>
      <c r="L47" s="49"/>
      <c r="M47" s="49"/>
      <c r="N47" s="49"/>
      <c r="O47" s="49"/>
      <c r="Q47" s="46" t="s">
        <v>190</v>
      </c>
      <c r="R47" s="47"/>
      <c r="S47" s="48">
        <f>W41</f>
        <v>0</v>
      </c>
      <c r="T47" s="49"/>
      <c r="U47" s="49"/>
      <c r="V47" s="49"/>
      <c r="W47" s="49"/>
    </row>
    <row r="48" spans="9:23" x14ac:dyDescent="0.3">
      <c r="I48" s="50" t="s">
        <v>191</v>
      </c>
      <c r="J48" s="51"/>
      <c r="K48" s="52">
        <f>K46-K47</f>
        <v>7900</v>
      </c>
      <c r="L48" s="53"/>
      <c r="M48" s="53"/>
      <c r="N48" s="53"/>
      <c r="O48" s="51"/>
      <c r="Q48" s="50" t="s">
        <v>191</v>
      </c>
      <c r="R48" s="51"/>
      <c r="S48" s="52">
        <f>S46-S47</f>
        <v>1600</v>
      </c>
      <c r="T48" s="53"/>
      <c r="U48" s="53"/>
      <c r="V48" s="53"/>
      <c r="W48" s="51"/>
    </row>
    <row r="49" spans="9:15" x14ac:dyDescent="0.3">
      <c r="I49" s="66" t="s">
        <v>201</v>
      </c>
      <c r="J49" s="67"/>
      <c r="K49" s="67"/>
      <c r="L49" s="67"/>
      <c r="M49" s="67"/>
      <c r="N49" s="67"/>
      <c r="O49" s="68"/>
    </row>
    <row r="50" spans="9:15" x14ac:dyDescent="0.3">
      <c r="I50" s="69"/>
      <c r="J50" s="70"/>
      <c r="K50" s="70"/>
      <c r="L50" s="70"/>
      <c r="M50" s="70"/>
      <c r="N50" s="70"/>
      <c r="O50" s="71"/>
    </row>
    <row r="51" spans="9:15" x14ac:dyDescent="0.3">
      <c r="I51" s="72" t="s">
        <v>215</v>
      </c>
      <c r="J51" s="72"/>
      <c r="K51" s="72"/>
      <c r="L51" s="72"/>
      <c r="M51" s="72"/>
      <c r="N51" s="72"/>
      <c r="O51" s="72"/>
    </row>
    <row r="53" spans="9:15" x14ac:dyDescent="0.3">
      <c r="I53" s="61" t="s">
        <v>202</v>
      </c>
      <c r="J53" s="61"/>
      <c r="K53" s="61"/>
      <c r="L53" s="61"/>
      <c r="M53" s="61"/>
      <c r="N53" s="61"/>
      <c r="O53" s="61"/>
    </row>
    <row r="54" spans="9:15" x14ac:dyDescent="0.3">
      <c r="I54" s="61"/>
      <c r="J54" s="61"/>
      <c r="K54" s="61"/>
      <c r="L54" s="61"/>
      <c r="M54" s="61"/>
      <c r="N54" s="61"/>
      <c r="O54" s="61"/>
    </row>
    <row r="55" spans="9:15" x14ac:dyDescent="0.3">
      <c r="I55" s="12" t="s">
        <v>0</v>
      </c>
      <c r="J55" s="12" t="s">
        <v>184</v>
      </c>
      <c r="K55" s="33" t="s">
        <v>203</v>
      </c>
      <c r="L55" s="33" t="s">
        <v>204</v>
      </c>
      <c r="M55" s="12" t="s">
        <v>185</v>
      </c>
      <c r="N55" s="12" t="s">
        <v>186</v>
      </c>
      <c r="O55" s="12" t="s">
        <v>187</v>
      </c>
    </row>
    <row r="56" spans="9:15" x14ac:dyDescent="0.3">
      <c r="I56" s="3">
        <v>1</v>
      </c>
      <c r="J56" s="4">
        <v>46149</v>
      </c>
      <c r="K56" s="3">
        <v>2</v>
      </c>
      <c r="L56" s="3">
        <v>1</v>
      </c>
      <c r="M56" s="3"/>
      <c r="N56" s="3"/>
      <c r="O56" s="15"/>
    </row>
    <row r="57" spans="9:15" x14ac:dyDescent="0.3">
      <c r="I57" s="3">
        <v>2</v>
      </c>
      <c r="J57" s="4">
        <v>46150</v>
      </c>
      <c r="K57" s="3">
        <v>2</v>
      </c>
      <c r="L57" s="3">
        <v>1</v>
      </c>
      <c r="M57" s="3"/>
      <c r="N57" s="3"/>
      <c r="O57" s="15">
        <v>1000</v>
      </c>
    </row>
    <row r="58" spans="9:15" x14ac:dyDescent="0.3">
      <c r="I58" s="3">
        <v>3</v>
      </c>
      <c r="J58" s="4">
        <v>46151</v>
      </c>
      <c r="K58" s="3">
        <v>2</v>
      </c>
      <c r="L58" s="3">
        <v>1</v>
      </c>
      <c r="M58" s="3"/>
      <c r="N58" s="3"/>
      <c r="O58" s="15"/>
    </row>
    <row r="59" spans="9:15" x14ac:dyDescent="0.3">
      <c r="I59" s="3">
        <v>4</v>
      </c>
      <c r="J59" s="4">
        <v>46152</v>
      </c>
      <c r="K59" s="3" t="s">
        <v>209</v>
      </c>
      <c r="L59" s="3" t="s">
        <v>209</v>
      </c>
      <c r="M59" s="3"/>
      <c r="N59" s="3"/>
      <c r="O59" s="15">
        <v>3000</v>
      </c>
    </row>
    <row r="60" spans="9:15" x14ac:dyDescent="0.3">
      <c r="I60" s="3">
        <v>5</v>
      </c>
      <c r="J60" s="4">
        <v>46153</v>
      </c>
      <c r="K60" s="3">
        <v>1</v>
      </c>
      <c r="L60" s="3">
        <v>1</v>
      </c>
      <c r="M60" s="3"/>
      <c r="N60" s="3"/>
      <c r="O60" s="15"/>
    </row>
    <row r="61" spans="9:15" x14ac:dyDescent="0.3">
      <c r="I61" s="3">
        <v>6</v>
      </c>
      <c r="J61" s="4">
        <v>46154</v>
      </c>
      <c r="K61" s="3">
        <v>1</v>
      </c>
      <c r="L61" s="3">
        <v>1</v>
      </c>
      <c r="M61" s="3"/>
      <c r="N61" s="3">
        <v>1</v>
      </c>
      <c r="O61" s="15"/>
    </row>
    <row r="62" spans="9:15" x14ac:dyDescent="0.3">
      <c r="I62" s="3">
        <v>7</v>
      </c>
      <c r="J62" s="4">
        <v>46155</v>
      </c>
      <c r="K62" s="3">
        <v>1</v>
      </c>
      <c r="L62" s="3" t="s">
        <v>209</v>
      </c>
      <c r="M62" s="3"/>
      <c r="N62" s="3"/>
      <c r="O62" s="15"/>
    </row>
    <row r="63" spans="9:15" x14ac:dyDescent="0.3">
      <c r="I63" s="3">
        <v>8</v>
      </c>
      <c r="J63" s="4">
        <v>46156</v>
      </c>
      <c r="K63" s="3">
        <v>1</v>
      </c>
      <c r="L63" s="3" t="s">
        <v>209</v>
      </c>
      <c r="M63" s="3"/>
      <c r="N63" s="3"/>
      <c r="O63" s="15"/>
    </row>
    <row r="64" spans="9:15" x14ac:dyDescent="0.3">
      <c r="I64" s="3">
        <v>9</v>
      </c>
      <c r="J64" s="4">
        <v>46157</v>
      </c>
      <c r="K64" s="3">
        <v>1</v>
      </c>
      <c r="L64" s="3" t="s">
        <v>209</v>
      </c>
      <c r="M64" s="3"/>
      <c r="N64" s="3"/>
      <c r="O64" s="15"/>
    </row>
    <row r="65" spans="9:15" x14ac:dyDescent="0.3">
      <c r="I65" s="3">
        <v>10</v>
      </c>
      <c r="J65" s="4">
        <v>46158</v>
      </c>
      <c r="K65" s="3">
        <v>1</v>
      </c>
      <c r="L65" s="3" t="s">
        <v>209</v>
      </c>
      <c r="M65" s="3"/>
      <c r="N65" s="3"/>
      <c r="O65" s="15"/>
    </row>
    <row r="66" spans="9:15" x14ac:dyDescent="0.3">
      <c r="I66" s="3">
        <v>11</v>
      </c>
      <c r="J66" s="4">
        <v>46159</v>
      </c>
      <c r="K66" s="3" t="s">
        <v>209</v>
      </c>
      <c r="L66" s="3" t="s">
        <v>209</v>
      </c>
      <c r="M66" s="3"/>
      <c r="N66" s="3"/>
      <c r="O66" s="15"/>
    </row>
    <row r="67" spans="9:15" x14ac:dyDescent="0.3">
      <c r="I67" s="3">
        <v>12</v>
      </c>
      <c r="J67" s="4">
        <v>46160</v>
      </c>
      <c r="K67" s="3">
        <v>1</v>
      </c>
      <c r="L67" s="3" t="s">
        <v>209</v>
      </c>
      <c r="M67" s="3"/>
      <c r="N67" s="3"/>
      <c r="O67" s="15">
        <v>2000</v>
      </c>
    </row>
    <row r="68" spans="9:15" x14ac:dyDescent="0.3">
      <c r="I68" s="3">
        <v>13</v>
      </c>
      <c r="J68" s="4">
        <v>46161</v>
      </c>
      <c r="K68" s="3">
        <v>1</v>
      </c>
      <c r="L68" s="3" t="s">
        <v>209</v>
      </c>
      <c r="M68" s="3"/>
      <c r="N68" s="3"/>
      <c r="O68" s="15">
        <v>2000</v>
      </c>
    </row>
    <row r="69" spans="9:15" x14ac:dyDescent="0.3">
      <c r="I69" s="3">
        <v>14</v>
      </c>
      <c r="J69" s="4">
        <v>46162</v>
      </c>
      <c r="K69" s="3" t="s">
        <v>209</v>
      </c>
      <c r="L69" s="3" t="s">
        <v>209</v>
      </c>
      <c r="M69" s="3"/>
      <c r="N69" s="3"/>
      <c r="O69" s="15"/>
    </row>
    <row r="70" spans="9:15" x14ac:dyDescent="0.3">
      <c r="I70" s="3">
        <v>15</v>
      </c>
      <c r="J70" s="4">
        <v>46163</v>
      </c>
      <c r="K70" s="3" t="s">
        <v>209</v>
      </c>
      <c r="L70" s="3" t="s">
        <v>209</v>
      </c>
      <c r="M70" s="3"/>
      <c r="N70" s="3"/>
      <c r="O70" s="15">
        <v>1500</v>
      </c>
    </row>
    <row r="71" spans="9:15" x14ac:dyDescent="0.3">
      <c r="I71" s="3">
        <v>16</v>
      </c>
      <c r="J71" s="4">
        <v>46164</v>
      </c>
      <c r="K71" s="3">
        <v>1</v>
      </c>
      <c r="L71" s="3" t="s">
        <v>209</v>
      </c>
      <c r="M71" s="3"/>
      <c r="N71" s="3"/>
      <c r="O71" s="15"/>
    </row>
    <row r="72" spans="9:15" x14ac:dyDescent="0.3">
      <c r="I72" s="3">
        <v>17</v>
      </c>
      <c r="J72" s="4">
        <v>46165</v>
      </c>
      <c r="K72" s="3">
        <v>1</v>
      </c>
      <c r="L72" s="3" t="s">
        <v>209</v>
      </c>
      <c r="M72" s="3"/>
      <c r="N72" s="3"/>
      <c r="O72" s="15"/>
    </row>
    <row r="73" spans="9:15" x14ac:dyDescent="0.3">
      <c r="I73" s="3">
        <v>18</v>
      </c>
      <c r="J73" s="4">
        <v>46166</v>
      </c>
      <c r="K73" s="3" t="s">
        <v>209</v>
      </c>
      <c r="L73" s="3" t="s">
        <v>209</v>
      </c>
      <c r="M73" s="3"/>
      <c r="N73" s="3"/>
      <c r="O73" s="15"/>
    </row>
    <row r="74" spans="9:15" x14ac:dyDescent="0.3">
      <c r="I74" s="3">
        <v>19</v>
      </c>
      <c r="J74" s="4">
        <v>46167</v>
      </c>
      <c r="K74" s="3" t="s">
        <v>209</v>
      </c>
      <c r="L74" s="3" t="s">
        <v>209</v>
      </c>
      <c r="M74" s="3"/>
      <c r="N74" s="3"/>
      <c r="O74" s="15"/>
    </row>
    <row r="75" spans="9:15" x14ac:dyDescent="0.3">
      <c r="I75" s="3">
        <v>20</v>
      </c>
      <c r="J75" s="4">
        <v>46168</v>
      </c>
      <c r="K75" s="3" t="s">
        <v>209</v>
      </c>
      <c r="L75" s="3" t="s">
        <v>209</v>
      </c>
      <c r="M75" s="3"/>
      <c r="N75" s="3"/>
      <c r="O75" s="15"/>
    </row>
    <row r="76" spans="9:15" x14ac:dyDescent="0.3">
      <c r="I76" s="3">
        <v>21</v>
      </c>
      <c r="J76" s="4">
        <v>46169</v>
      </c>
      <c r="K76" s="3" t="s">
        <v>209</v>
      </c>
      <c r="L76" s="3" t="s">
        <v>209</v>
      </c>
      <c r="M76" s="3"/>
      <c r="N76" s="3"/>
      <c r="O76" s="15"/>
    </row>
    <row r="77" spans="9:15" x14ac:dyDescent="0.3">
      <c r="I77" s="3">
        <v>22</v>
      </c>
      <c r="J77" s="4">
        <v>46170</v>
      </c>
      <c r="K77" s="3" t="s">
        <v>209</v>
      </c>
      <c r="L77" s="3" t="s">
        <v>209</v>
      </c>
      <c r="M77" s="3"/>
      <c r="N77" s="3"/>
      <c r="O77" s="15"/>
    </row>
    <row r="78" spans="9:15" x14ac:dyDescent="0.3">
      <c r="I78" s="3">
        <v>23</v>
      </c>
      <c r="J78" s="4">
        <v>46171</v>
      </c>
      <c r="K78" s="3">
        <v>1</v>
      </c>
      <c r="L78" s="3" t="s">
        <v>209</v>
      </c>
      <c r="M78" s="3"/>
      <c r="N78" s="3"/>
      <c r="O78" s="15"/>
    </row>
    <row r="79" spans="9:15" x14ac:dyDescent="0.3">
      <c r="I79" s="3">
        <v>24</v>
      </c>
      <c r="J79" s="4">
        <v>46172</v>
      </c>
      <c r="K79" s="3">
        <v>1</v>
      </c>
      <c r="L79" s="3" t="s">
        <v>209</v>
      </c>
      <c r="M79" s="3"/>
      <c r="N79" s="3"/>
      <c r="O79" s="15">
        <v>2000</v>
      </c>
    </row>
    <row r="80" spans="9:15" x14ac:dyDescent="0.3">
      <c r="I80" s="3">
        <v>25</v>
      </c>
      <c r="J80" s="4">
        <v>46173</v>
      </c>
      <c r="K80" s="3" t="s">
        <v>209</v>
      </c>
      <c r="L80" s="3" t="s">
        <v>209</v>
      </c>
      <c r="M80" s="3"/>
      <c r="N80" s="3"/>
      <c r="O80" s="15"/>
    </row>
    <row r="81" spans="9:15" x14ac:dyDescent="0.3">
      <c r="I81" s="3">
        <v>26</v>
      </c>
      <c r="J81" s="4">
        <v>46174</v>
      </c>
      <c r="K81" s="3">
        <v>1</v>
      </c>
      <c r="L81" s="3" t="s">
        <v>209</v>
      </c>
      <c r="M81" s="3"/>
      <c r="N81" s="3"/>
      <c r="O81" s="15"/>
    </row>
    <row r="82" spans="9:15" x14ac:dyDescent="0.3">
      <c r="I82" s="3">
        <v>27</v>
      </c>
      <c r="J82" s="4">
        <v>46175</v>
      </c>
      <c r="K82" s="3" t="s">
        <v>209</v>
      </c>
      <c r="L82" s="3" t="s">
        <v>209</v>
      </c>
      <c r="M82" s="3"/>
      <c r="N82" s="3"/>
      <c r="O82" s="15"/>
    </row>
    <row r="83" spans="9:15" x14ac:dyDescent="0.3">
      <c r="I83" s="3">
        <v>28</v>
      </c>
      <c r="J83" s="4">
        <v>46176</v>
      </c>
      <c r="K83" s="3" t="s">
        <v>209</v>
      </c>
      <c r="L83" s="3" t="s">
        <v>209</v>
      </c>
      <c r="M83" s="3"/>
      <c r="N83" s="3"/>
      <c r="O83" s="15"/>
    </row>
    <row r="84" spans="9:15" x14ac:dyDescent="0.3">
      <c r="I84" s="3">
        <v>29</v>
      </c>
      <c r="J84" s="4">
        <v>46177</v>
      </c>
      <c r="K84" s="3" t="s">
        <v>209</v>
      </c>
      <c r="L84" s="3" t="s">
        <v>209</v>
      </c>
      <c r="M84" s="3"/>
      <c r="N84" s="3"/>
      <c r="O84" s="15"/>
    </row>
    <row r="85" spans="9:15" x14ac:dyDescent="0.3">
      <c r="I85" s="62" t="s">
        <v>188</v>
      </c>
      <c r="J85" s="63"/>
      <c r="K85" s="32">
        <f t="shared" ref="K85:N85" si="1">SUM(K56:K84)</f>
        <v>19</v>
      </c>
      <c r="L85" s="32">
        <f t="shared" si="1"/>
        <v>5</v>
      </c>
      <c r="M85" s="32">
        <f t="shared" si="1"/>
        <v>0</v>
      </c>
      <c r="N85" s="32">
        <f t="shared" si="1"/>
        <v>1</v>
      </c>
      <c r="O85" s="32">
        <f>SUM(O56:O84)</f>
        <v>11500</v>
      </c>
    </row>
    <row r="86" spans="9:15" x14ac:dyDescent="0.3">
      <c r="I86" s="46" t="s">
        <v>205</v>
      </c>
      <c r="J86" s="47"/>
      <c r="K86" s="54">
        <f>K85*600</f>
        <v>11400</v>
      </c>
      <c r="L86" s="55"/>
      <c r="M86" s="55"/>
      <c r="N86" s="55"/>
      <c r="O86" s="56"/>
    </row>
    <row r="87" spans="9:15" x14ac:dyDescent="0.3">
      <c r="I87" s="46" t="s">
        <v>206</v>
      </c>
      <c r="J87" s="47"/>
      <c r="K87" s="54">
        <f>L85*500</f>
        <v>2500</v>
      </c>
      <c r="L87" s="55"/>
      <c r="M87" s="55"/>
      <c r="N87" s="55"/>
      <c r="O87" s="56"/>
    </row>
    <row r="88" spans="9:15" x14ac:dyDescent="0.3">
      <c r="I88" s="46" t="s">
        <v>207</v>
      </c>
      <c r="J88" s="47"/>
      <c r="K88" s="54">
        <f>M85*75</f>
        <v>0</v>
      </c>
      <c r="L88" s="55"/>
      <c r="M88" s="55"/>
      <c r="N88" s="55"/>
      <c r="O88" s="56"/>
    </row>
    <row r="89" spans="9:15" x14ac:dyDescent="0.3">
      <c r="I89" s="46" t="s">
        <v>208</v>
      </c>
      <c r="J89" s="47"/>
      <c r="K89" s="54">
        <f>N85*62.5</f>
        <v>62.5</v>
      </c>
      <c r="L89" s="55"/>
      <c r="M89" s="55"/>
      <c r="N89" s="55"/>
      <c r="O89" s="56"/>
    </row>
    <row r="90" spans="9:15" x14ac:dyDescent="0.3">
      <c r="I90" s="57" t="s">
        <v>189</v>
      </c>
      <c r="J90" s="58"/>
      <c r="K90" s="59">
        <f>K86+K87+K88+K89</f>
        <v>13962.5</v>
      </c>
      <c r="L90" s="60"/>
      <c r="M90" s="60"/>
      <c r="N90" s="60"/>
      <c r="O90" s="58"/>
    </row>
    <row r="91" spans="9:15" x14ac:dyDescent="0.3">
      <c r="I91" s="46" t="s">
        <v>190</v>
      </c>
      <c r="J91" s="47"/>
      <c r="K91" s="48">
        <f>O85</f>
        <v>11500</v>
      </c>
      <c r="L91" s="49"/>
      <c r="M91" s="49"/>
      <c r="N91" s="49"/>
      <c r="O91" s="49"/>
    </row>
    <row r="92" spans="9:15" x14ac:dyDescent="0.3">
      <c r="I92" s="50" t="s">
        <v>191</v>
      </c>
      <c r="J92" s="51"/>
      <c r="K92" s="52">
        <f>K90-K91</f>
        <v>2462.5</v>
      </c>
      <c r="L92" s="53"/>
      <c r="M92" s="53"/>
      <c r="N92" s="53"/>
      <c r="O92" s="51"/>
    </row>
    <row r="93" spans="9:15" x14ac:dyDescent="0.3">
      <c r="I93" s="66"/>
      <c r="J93" s="67"/>
      <c r="K93" s="67"/>
      <c r="L93" s="67"/>
      <c r="M93" s="67"/>
      <c r="N93" s="67"/>
      <c r="O93" s="68"/>
    </row>
    <row r="94" spans="9:15" x14ac:dyDescent="0.3">
      <c r="I94" s="69"/>
      <c r="J94" s="70"/>
      <c r="K94" s="70"/>
      <c r="L94" s="70"/>
      <c r="M94" s="70"/>
      <c r="N94" s="70"/>
      <c r="O94" s="71"/>
    </row>
  </sheetData>
  <mergeCells count="53">
    <mergeCell ref="I92:J92"/>
    <mergeCell ref="K92:O92"/>
    <mergeCell ref="I93:O94"/>
    <mergeCell ref="I89:J89"/>
    <mergeCell ref="K89:O89"/>
    <mergeCell ref="I90:J90"/>
    <mergeCell ref="K90:O90"/>
    <mergeCell ref="I91:J91"/>
    <mergeCell ref="K91:O91"/>
    <mergeCell ref="I86:J86"/>
    <mergeCell ref="K86:O86"/>
    <mergeCell ref="I87:J87"/>
    <mergeCell ref="K87:O87"/>
    <mergeCell ref="I88:J88"/>
    <mergeCell ref="K88:O88"/>
    <mergeCell ref="I48:J48"/>
    <mergeCell ref="K48:O48"/>
    <mergeCell ref="I49:O50"/>
    <mergeCell ref="I53:O54"/>
    <mergeCell ref="I85:J85"/>
    <mergeCell ref="I51:O51"/>
    <mergeCell ref="I46:J46"/>
    <mergeCell ref="K46:O46"/>
    <mergeCell ref="I47:J47"/>
    <mergeCell ref="K47:O47"/>
    <mergeCell ref="I43:J43"/>
    <mergeCell ref="K43:O43"/>
    <mergeCell ref="I44:J44"/>
    <mergeCell ref="K44:O44"/>
    <mergeCell ref="I45:J45"/>
    <mergeCell ref="K45:O45"/>
    <mergeCell ref="A1:F1"/>
    <mergeCell ref="A24:E24"/>
    <mergeCell ref="I26:O27"/>
    <mergeCell ref="I41:J41"/>
    <mergeCell ref="I42:J42"/>
    <mergeCell ref="K42:O42"/>
    <mergeCell ref="Q26:W27"/>
    <mergeCell ref="Q41:R41"/>
    <mergeCell ref="Q42:R42"/>
    <mergeCell ref="S42:W42"/>
    <mergeCell ref="Q43:R43"/>
    <mergeCell ref="S43:W43"/>
    <mergeCell ref="Q47:R47"/>
    <mergeCell ref="S47:W47"/>
    <mergeCell ref="Q48:R48"/>
    <mergeCell ref="S48:W48"/>
    <mergeCell ref="Q44:R44"/>
    <mergeCell ref="S44:W44"/>
    <mergeCell ref="Q45:R45"/>
    <mergeCell ref="S45:W45"/>
    <mergeCell ref="Q46:R46"/>
    <mergeCell ref="S46:W46"/>
  </mergeCells>
  <hyperlinks>
    <hyperlink ref="K28" r:id="rId1" xr:uid="{9A94FAB4-2F1F-46CA-B6CE-A52635875F84}"/>
    <hyperlink ref="L28" r:id="rId2" xr:uid="{78F903ED-229E-475B-A4F1-AB2B868E70FE}"/>
    <hyperlink ref="K55" r:id="rId3" xr:uid="{45C42231-3DC3-456C-BA20-7525A41716D5}"/>
    <hyperlink ref="L55" r:id="rId4" xr:uid="{BBE45348-A35B-4426-9F64-B514BE64CDA8}"/>
    <hyperlink ref="S28" r:id="rId5" xr:uid="{7A160F55-2BC3-49E8-88AC-670D1F28EF23}"/>
    <hyperlink ref="T28" r:id="rId6" xr:uid="{4DA092D7-3255-4103-A7F0-B0A966C34280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12F92-4DFD-40AE-9377-C9C478A3DC0E}">
  <dimension ref="A1:G16"/>
  <sheetViews>
    <sheetView workbookViewId="0">
      <selection activeCell="L10" sqref="L10"/>
    </sheetView>
  </sheetViews>
  <sheetFormatPr defaultRowHeight="14.4" x14ac:dyDescent="0.3"/>
  <cols>
    <col min="2" max="2" width="38.109375" bestFit="1" customWidth="1"/>
  </cols>
  <sheetData>
    <row r="1" spans="1:7" x14ac:dyDescent="0.3">
      <c r="A1" s="97" t="s">
        <v>246</v>
      </c>
      <c r="B1" s="97"/>
      <c r="C1" s="97"/>
      <c r="D1" s="97"/>
      <c r="E1" s="97"/>
      <c r="F1" s="97"/>
      <c r="G1" s="97"/>
    </row>
    <row r="2" spans="1:7" x14ac:dyDescent="0.3">
      <c r="A2" s="97"/>
      <c r="B2" s="97"/>
      <c r="C2" s="97"/>
      <c r="D2" s="97"/>
      <c r="E2" s="97"/>
      <c r="F2" s="97"/>
      <c r="G2" s="97"/>
    </row>
    <row r="3" spans="1:7" x14ac:dyDescent="0.3">
      <c r="A3" s="5" t="s">
        <v>0</v>
      </c>
      <c r="B3" s="5" t="s">
        <v>152</v>
      </c>
      <c r="C3" s="5" t="s">
        <v>2</v>
      </c>
      <c r="D3" s="5" t="s">
        <v>3</v>
      </c>
      <c r="E3" s="5" t="s">
        <v>62</v>
      </c>
      <c r="F3" s="5" t="s">
        <v>111</v>
      </c>
      <c r="G3" s="5" t="s">
        <v>112</v>
      </c>
    </row>
    <row r="4" spans="1:7" x14ac:dyDescent="0.3">
      <c r="A4" s="3">
        <v>1</v>
      </c>
      <c r="B4" s="2" t="s">
        <v>236</v>
      </c>
      <c r="C4" s="2" t="s">
        <v>237</v>
      </c>
      <c r="D4" s="3">
        <v>20</v>
      </c>
      <c r="E4" s="3">
        <f>4.5*6</f>
        <v>27</v>
      </c>
      <c r="F4" s="2"/>
      <c r="G4" s="2"/>
    </row>
    <row r="5" spans="1:7" x14ac:dyDescent="0.3">
      <c r="A5" s="3">
        <v>2</v>
      </c>
      <c r="B5" s="2" t="s">
        <v>238</v>
      </c>
      <c r="C5" s="2" t="s">
        <v>237</v>
      </c>
      <c r="D5" s="3">
        <v>20</v>
      </c>
      <c r="E5" s="3">
        <f>5.231*6</f>
        <v>31.385999999999999</v>
      </c>
      <c r="F5" s="2"/>
      <c r="G5" s="2"/>
    </row>
    <row r="6" spans="1:7" x14ac:dyDescent="0.3">
      <c r="A6" s="3">
        <v>3</v>
      </c>
      <c r="B6" s="2" t="s">
        <v>239</v>
      </c>
      <c r="C6" s="2" t="s">
        <v>237</v>
      </c>
      <c r="D6" s="3">
        <v>60</v>
      </c>
      <c r="E6" s="3">
        <v>448.2</v>
      </c>
      <c r="F6" s="2"/>
      <c r="G6" s="2"/>
    </row>
    <row r="7" spans="1:7" x14ac:dyDescent="0.3">
      <c r="A7" s="3">
        <v>4</v>
      </c>
      <c r="B7" s="2" t="s">
        <v>240</v>
      </c>
      <c r="C7" s="2" t="s">
        <v>156</v>
      </c>
      <c r="D7" s="3">
        <v>44</v>
      </c>
      <c r="E7" s="3">
        <f>4.38*44</f>
        <v>192.72</v>
      </c>
      <c r="F7" s="2"/>
      <c r="G7" s="2"/>
    </row>
    <row r="8" spans="1:7" x14ac:dyDescent="0.3">
      <c r="A8" s="3">
        <v>5</v>
      </c>
      <c r="B8" s="2" t="s">
        <v>241</v>
      </c>
      <c r="C8" s="2" t="s">
        <v>237</v>
      </c>
      <c r="D8" s="3">
        <v>5</v>
      </c>
      <c r="E8" s="3">
        <f>5.72*1.52</f>
        <v>8.6943999999999999</v>
      </c>
      <c r="F8" s="2"/>
      <c r="G8" s="2"/>
    </row>
    <row r="9" spans="1:7" x14ac:dyDescent="0.3">
      <c r="A9" s="3">
        <v>6</v>
      </c>
      <c r="B9" s="2" t="s">
        <v>242</v>
      </c>
      <c r="C9" s="2" t="s">
        <v>156</v>
      </c>
      <c r="D9" s="3">
        <v>10</v>
      </c>
      <c r="E9" s="3">
        <f>9.42*D9</f>
        <v>94.2</v>
      </c>
      <c r="F9" s="2"/>
      <c r="G9" s="2"/>
    </row>
    <row r="10" spans="1:7" x14ac:dyDescent="0.3">
      <c r="A10" s="3">
        <v>7</v>
      </c>
      <c r="B10" s="2" t="s">
        <v>243</v>
      </c>
      <c r="C10" s="2" t="s">
        <v>156</v>
      </c>
      <c r="D10" s="3">
        <v>2</v>
      </c>
      <c r="E10" s="3">
        <f>13.2*2</f>
        <v>26.4</v>
      </c>
      <c r="F10" s="2"/>
      <c r="G10" s="2"/>
    </row>
    <row r="11" spans="1:7" x14ac:dyDescent="0.3">
      <c r="A11" s="3">
        <v>8</v>
      </c>
      <c r="B11" s="2" t="s">
        <v>244</v>
      </c>
      <c r="C11" s="2" t="s">
        <v>62</v>
      </c>
      <c r="D11" s="3" t="s">
        <v>170</v>
      </c>
      <c r="E11" s="3">
        <v>50</v>
      </c>
      <c r="F11" s="2"/>
      <c r="G11" s="2"/>
    </row>
    <row r="12" spans="1:7" x14ac:dyDescent="0.3">
      <c r="A12" s="3"/>
      <c r="B12" s="2"/>
      <c r="C12" s="2"/>
      <c r="D12" s="3"/>
      <c r="E12" s="3"/>
      <c r="F12" s="2"/>
      <c r="G12" s="2"/>
    </row>
    <row r="13" spans="1:7" x14ac:dyDescent="0.3">
      <c r="A13" s="3"/>
      <c r="B13" s="2"/>
      <c r="C13" s="2"/>
      <c r="D13" s="3"/>
      <c r="E13" s="3"/>
      <c r="F13" s="2"/>
      <c r="G13" s="2"/>
    </row>
    <row r="14" spans="1:7" x14ac:dyDescent="0.3">
      <c r="A14" s="3"/>
      <c r="B14" s="2"/>
      <c r="C14" s="2"/>
      <c r="D14" s="3"/>
      <c r="E14" s="3"/>
      <c r="F14" s="2"/>
      <c r="G14" s="2"/>
    </row>
    <row r="15" spans="1:7" x14ac:dyDescent="0.3">
      <c r="A15" s="3"/>
      <c r="B15" s="37"/>
      <c r="C15" s="3"/>
      <c r="D15" s="3"/>
      <c r="E15" s="3"/>
      <c r="F15" s="3"/>
      <c r="G15" s="3"/>
    </row>
    <row r="16" spans="1:7" x14ac:dyDescent="0.3">
      <c r="A16" s="57" t="s">
        <v>245</v>
      </c>
      <c r="B16" s="58"/>
      <c r="C16" s="40"/>
      <c r="D16" s="40"/>
      <c r="E16" s="40">
        <f>SUM(E4:E15)</f>
        <v>878.60040000000004</v>
      </c>
      <c r="F16" s="40"/>
      <c r="G16" s="40"/>
    </row>
  </sheetData>
  <mergeCells count="2">
    <mergeCell ref="A1:G2"/>
    <mergeCell ref="A16:B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LAB</vt:lpstr>
      <vt:lpstr>ALL</vt:lpstr>
      <vt:lpstr>IRON</vt:lpstr>
      <vt:lpstr>COLOUR</vt:lpstr>
      <vt:lpstr>Sheet3</vt:lpstr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 Junaid Islam seikh</dc:creator>
  <cp:lastModifiedBy>Md Junaid Islam seikh</cp:lastModifiedBy>
  <cp:lastPrinted>2026-05-30T17:47:31Z</cp:lastPrinted>
  <dcterms:created xsi:type="dcterms:W3CDTF">2026-04-10T11:02:25Z</dcterms:created>
  <dcterms:modified xsi:type="dcterms:W3CDTF">2026-06-05T09:39:17Z</dcterms:modified>
</cp:coreProperties>
</file>