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768f2b66d3ccfa/Desktop/SANJU WORK/GREEN PLY ALL/"/>
    </mc:Choice>
  </mc:AlternateContent>
  <xr:revisionPtr revIDLastSave="695" documentId="13_ncr:1_{2D1B8943-A5D5-405E-A778-8A2735218D04}" xr6:coauthVersionLast="47" xr6:coauthVersionMax="47" xr10:uidLastSave="{6F6F85DC-A395-4793-AEBE-4D803506CE5D}"/>
  <bookViews>
    <workbookView xWindow="-108" yWindow="-108" windowWidth="23256" windowHeight="12456" firstSheet="3" activeTab="10" xr2:uid="{00000000-000D-0000-FFFF-FFFF00000000}"/>
  </bookViews>
  <sheets>
    <sheet name="LABOUR" sheetId="10" r:id="rId1"/>
    <sheet name="CEMENT" sheetId="1" r:id="rId2"/>
    <sheet name="TMT" sheetId="2" r:id="rId3"/>
    <sheet name="SAND" sheetId="3" r:id="rId4"/>
    <sheet name="STONE" sheetId="4" r:id="rId5"/>
    <sheet name="BRICKS" sheetId="5" r:id="rId6"/>
    <sheet name="OTHER'S" sheetId="6" r:id="rId7"/>
    <sheet name="SUMMERY" sheetId="9" r:id="rId8"/>
    <sheet name="12.05 TO 20.06" sheetId="7" r:id="rId9"/>
    <sheet name="DUMPER" sheetId="11" r:id="rId10"/>
    <sheet name="35D HOT PRESS" sheetId="12" r:id="rId11"/>
  </sheets>
  <definedNames>
    <definedName name="_xlnm._FilterDatabase" localSheetId="8" hidden="1">'12.05 TO 20.06'!$A$2:$F$2</definedName>
    <definedName name="_xlnm._FilterDatabase" localSheetId="1" hidden="1">CEMENT!$A$1:$G$94</definedName>
    <definedName name="_xlnm._FilterDatabase" localSheetId="3" hidden="1">SAND!$A$1:$L$101</definedName>
    <definedName name="_xlnm._FilterDatabase" localSheetId="4" hidden="1">STONE!$A$1:$K$89</definedName>
    <definedName name="_xlnm._FilterDatabase" localSheetId="2" hidden="1">TMT!$A$1:$H$60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2" l="1"/>
  <c r="D15" i="12"/>
  <c r="F15" i="12" s="1"/>
  <c r="D8" i="12"/>
  <c r="F8" i="12" s="1"/>
  <c r="F5" i="12"/>
  <c r="D10" i="12"/>
  <c r="F10" i="12" s="1"/>
  <c r="F6" i="12"/>
  <c r="F7" i="12"/>
  <c r="F9" i="12"/>
  <c r="F11" i="12"/>
  <c r="E16" i="11"/>
  <c r="K28" i="11"/>
  <c r="I28" i="11"/>
  <c r="H28" i="11"/>
  <c r="K16" i="11"/>
  <c r="I16" i="11"/>
  <c r="H16" i="11"/>
  <c r="G8" i="11"/>
  <c r="G7" i="11"/>
  <c r="G6" i="11"/>
  <c r="G5" i="11"/>
  <c r="G4" i="11"/>
  <c r="F16" i="12" l="1"/>
  <c r="E114" i="2"/>
  <c r="E113" i="2" l="1"/>
  <c r="L17" i="9" l="1"/>
  <c r="N14" i="9"/>
  <c r="N19" i="9" s="1"/>
  <c r="N20" i="9" s="1"/>
  <c r="N13" i="9"/>
  <c r="N12" i="9"/>
  <c r="N11" i="9"/>
  <c r="N10" i="9"/>
  <c r="L7" i="9"/>
  <c r="L8" i="9"/>
  <c r="L9" i="9"/>
  <c r="L10" i="9"/>
  <c r="L19" i="9" s="1"/>
  <c r="L11" i="9"/>
  <c r="L12" i="9"/>
  <c r="L13" i="9"/>
  <c r="L14" i="9"/>
  <c r="L15" i="9"/>
  <c r="L16" i="9"/>
  <c r="L6" i="9"/>
</calcChain>
</file>

<file path=xl/sharedStrings.xml><?xml version="1.0" encoding="utf-8"?>
<sst xmlns="http://schemas.openxmlformats.org/spreadsheetml/2006/main" count="2060" uniqueCount="523">
  <si>
    <t>CEMENT (APRIL)</t>
  </si>
  <si>
    <t xml:space="preserve">SR NO </t>
  </si>
  <si>
    <t>DATE</t>
  </si>
  <si>
    <t>FROM WHERE TO WHERE</t>
  </si>
  <si>
    <t>BRAND</t>
  </si>
  <si>
    <t xml:space="preserve"> DETAILS (BAG)</t>
  </si>
  <si>
    <t>BANSAL TO GREEN PLY (RAJU TEMPO)</t>
  </si>
  <si>
    <t>JSW</t>
  </si>
  <si>
    <t>BANSAL TO GREEN PLY</t>
  </si>
  <si>
    <t>?</t>
  </si>
  <si>
    <t>CEMENT (MAY)</t>
  </si>
  <si>
    <t>OFFICE TO GREEN PLY</t>
  </si>
  <si>
    <t>TMT(MAY)</t>
  </si>
  <si>
    <t>BRAND (SIZE)</t>
  </si>
  <si>
    <t xml:space="preserve"> DETAILS (PCS)</t>
  </si>
  <si>
    <t>BANIR POLE TO G.PLY</t>
  </si>
  <si>
    <t>10 MM (9.5FT)</t>
  </si>
  <si>
    <t>10MM(5.5 FT)</t>
  </si>
  <si>
    <t>BISHNUPUR TO G.PLY</t>
  </si>
  <si>
    <t>10 MM (4 BANDLE)</t>
  </si>
  <si>
    <t>12 MM</t>
  </si>
  <si>
    <t>SAND(APRIL)</t>
  </si>
  <si>
    <t xml:space="preserve"> DETAILS (FT)</t>
  </si>
  <si>
    <t>SAND</t>
  </si>
  <si>
    <t>BANSAL TO G.PLY (RAJU TEMPO)</t>
  </si>
  <si>
    <t xml:space="preserve">SAND </t>
  </si>
  <si>
    <t>25 BAG</t>
  </si>
  <si>
    <t>BANSAL TO G.PLY (TARAK)</t>
  </si>
  <si>
    <t>SAND(MAY)</t>
  </si>
  <si>
    <t>TARAK  (GREEN PLY)</t>
  </si>
  <si>
    <t>2 TRIP</t>
  </si>
  <si>
    <t>1 GARI</t>
  </si>
  <si>
    <t>SAND 3 TRIP</t>
  </si>
  <si>
    <t>75 BAG</t>
  </si>
  <si>
    <t>JIYA TO G.PLY</t>
  </si>
  <si>
    <t>SLIVER SAND</t>
  </si>
  <si>
    <t>400 FT</t>
  </si>
  <si>
    <t>1 TRIP</t>
  </si>
  <si>
    <t>JIYA TO GREEN PLY</t>
  </si>
  <si>
    <t>CORE SAND</t>
  </si>
  <si>
    <t>25 BAG (1 TRIP)</t>
  </si>
  <si>
    <t>STONE(MAY)</t>
  </si>
  <si>
    <t>SIZE</t>
  </si>
  <si>
    <t xml:space="preserve"> DETAILS (KG)</t>
  </si>
  <si>
    <t xml:space="preserve">BANSAL TO GREEN PLY </t>
  </si>
  <si>
    <t>BRICKS(APRIL)</t>
  </si>
  <si>
    <t>BANSAL TO G.PLY</t>
  </si>
  <si>
    <t>RAJU TEMPO</t>
  </si>
  <si>
    <t>BRICKS(MAY)</t>
  </si>
  <si>
    <t>TARAK (GREEN PLY)</t>
  </si>
  <si>
    <t>PAPER BLOCK</t>
  </si>
  <si>
    <t>70 PCS</t>
  </si>
  <si>
    <t>125 PCS</t>
  </si>
  <si>
    <t>BRICKS(JUNE)</t>
  </si>
  <si>
    <t>160 PCS</t>
  </si>
  <si>
    <t xml:space="preserve"> RAJU TEMPO</t>
  </si>
  <si>
    <t>350 PCS</t>
  </si>
  <si>
    <t>SAND(JUNE)</t>
  </si>
  <si>
    <t xml:space="preserve">BANSAL TO G.PLY </t>
  </si>
  <si>
    <t xml:space="preserve">CORE SAND </t>
  </si>
  <si>
    <t>20 BAG (1 TRIP)</t>
  </si>
  <si>
    <t>TMT(JULY)</t>
  </si>
  <si>
    <t>1 PCS</t>
  </si>
  <si>
    <t>STONE(JULY)</t>
  </si>
  <si>
    <t>4 BAG</t>
  </si>
  <si>
    <t>SAND(JULY)</t>
  </si>
  <si>
    <t xml:space="preserve">PAVER BLOCK </t>
  </si>
  <si>
    <t>50 P</t>
  </si>
  <si>
    <t>BRICKS(JULY)</t>
  </si>
  <si>
    <t>20 BAG</t>
  </si>
  <si>
    <t>13 BAG</t>
  </si>
  <si>
    <t>RAJU BUILDERS TO GREEN PLY</t>
  </si>
  <si>
    <t>10 BAG</t>
  </si>
  <si>
    <t xml:space="preserve">12 MM </t>
  </si>
  <si>
    <t>SAND(AUG)</t>
  </si>
  <si>
    <t>CEMENT (JULY)</t>
  </si>
  <si>
    <t>CEMENT (AUG)</t>
  </si>
  <si>
    <t>3BAG</t>
  </si>
  <si>
    <t>STONE(AUG)</t>
  </si>
  <si>
    <t>BRICKS(AUG)</t>
  </si>
  <si>
    <t xml:space="preserve">BISHNUPUR TO G.PLY </t>
  </si>
  <si>
    <t>BRICKS(OCT)</t>
  </si>
  <si>
    <t xml:space="preserve">G.PLY </t>
  </si>
  <si>
    <t>SAND(OCT)</t>
  </si>
  <si>
    <t>4 TRIP</t>
  </si>
  <si>
    <t>STONE(OCT)</t>
  </si>
  <si>
    <t xml:space="preserve">ULTRATECH </t>
  </si>
  <si>
    <t>TARAK BUILDERS TO G.PLY</t>
  </si>
  <si>
    <t>3 TRIP</t>
  </si>
  <si>
    <t>G.PLY TO BANSAL</t>
  </si>
  <si>
    <t>9 BAG</t>
  </si>
  <si>
    <t xml:space="preserve">G.PLY TO BANSAL </t>
  </si>
  <si>
    <t>STONE</t>
  </si>
  <si>
    <t>11 BAG</t>
  </si>
  <si>
    <t>3 BAG</t>
  </si>
  <si>
    <t>CEMENT</t>
  </si>
  <si>
    <t>1 BAG</t>
  </si>
  <si>
    <t>TILL</t>
  </si>
  <si>
    <t>99 BAG</t>
  </si>
  <si>
    <t>10 MM</t>
  </si>
  <si>
    <t>410 BAG</t>
  </si>
  <si>
    <t>800 CFT</t>
  </si>
  <si>
    <t>165 BAG</t>
  </si>
  <si>
    <t xml:space="preserve">TOTAL BRICK </t>
  </si>
  <si>
    <t>3991 P</t>
  </si>
  <si>
    <t xml:space="preserve">SS OFFCIE TO G.PLY </t>
  </si>
  <si>
    <t>5 BAG</t>
  </si>
  <si>
    <t>TETUL TALA TO G.PLY</t>
  </si>
  <si>
    <t>BRICKS</t>
  </si>
  <si>
    <t>6 BAG</t>
  </si>
  <si>
    <t>BRCKS</t>
  </si>
  <si>
    <t>15 BAG</t>
  </si>
  <si>
    <t xml:space="preserve">SALAPURIA TO G.PLY </t>
  </si>
  <si>
    <t>ZIG ZAG</t>
  </si>
  <si>
    <t>80MM</t>
  </si>
  <si>
    <t>980P</t>
  </si>
  <si>
    <t>39 BAG</t>
  </si>
  <si>
    <t>SAND(NOV)</t>
  </si>
  <si>
    <t>SALAPURIA TO G.PLY</t>
  </si>
  <si>
    <t>TMT(NOV)</t>
  </si>
  <si>
    <t>10MM</t>
  </si>
  <si>
    <t>14P</t>
  </si>
  <si>
    <t>7 BAG</t>
  </si>
  <si>
    <t>16 CFT</t>
  </si>
  <si>
    <t>58P</t>
  </si>
  <si>
    <t>14 BAG</t>
  </si>
  <si>
    <t>STONE(NOV)</t>
  </si>
  <si>
    <t>SALAPURIA TO GREEN PLY</t>
  </si>
  <si>
    <t>BRICKS(NOV)</t>
  </si>
  <si>
    <t xml:space="preserve">SALAPURIA TO GREEN PLY </t>
  </si>
  <si>
    <t>350P</t>
  </si>
  <si>
    <t>333P</t>
  </si>
  <si>
    <t>CEMENT (OCT &amp; NOV)</t>
  </si>
  <si>
    <t>CEMENT (DEC)</t>
  </si>
  <si>
    <t>BRICKS(DEC)</t>
  </si>
  <si>
    <t>SLAB</t>
  </si>
  <si>
    <t>OTHER'S(DEC)</t>
  </si>
  <si>
    <t>GREEN PLY TO SALAPURIA</t>
  </si>
  <si>
    <t>PLY</t>
  </si>
  <si>
    <t>90P</t>
  </si>
  <si>
    <t>TMT(DEC)</t>
  </si>
  <si>
    <t>CAR NO</t>
  </si>
  <si>
    <t>5.5MM</t>
  </si>
  <si>
    <t>23P</t>
  </si>
  <si>
    <t>9.5MM</t>
  </si>
  <si>
    <t>12P</t>
  </si>
  <si>
    <t>STONE(DEC)</t>
  </si>
  <si>
    <t>8 BAG</t>
  </si>
  <si>
    <t>ULTRATECH</t>
  </si>
  <si>
    <t xml:space="preserve"> SALAPURIA TO GREEN PLY</t>
  </si>
  <si>
    <t>SIKA (OIL)</t>
  </si>
  <si>
    <t>1/2 LTR</t>
  </si>
  <si>
    <t>1.5 KG</t>
  </si>
  <si>
    <t>BAINDING WIRE</t>
  </si>
  <si>
    <t>20FT -12P , 2FT - 14P, 4 FT - 25P</t>
  </si>
  <si>
    <t>CEMENT (JAN 2023)</t>
  </si>
  <si>
    <t>SAND(DEC)</t>
  </si>
  <si>
    <t>SAND(JAN 2023)</t>
  </si>
  <si>
    <t>BRICKS(JAN 2023)</t>
  </si>
  <si>
    <t>70 P</t>
  </si>
  <si>
    <t xml:space="preserve">7 BAG </t>
  </si>
  <si>
    <t xml:space="preserve">100P </t>
  </si>
  <si>
    <t>STONE(JAN)</t>
  </si>
  <si>
    <t>12 BAG</t>
  </si>
  <si>
    <t>15BAG</t>
  </si>
  <si>
    <t>50 BAG</t>
  </si>
  <si>
    <t>TMT(JAN-2023)</t>
  </si>
  <si>
    <t>46INCH -41P,20.5 -9P,6.5-4P</t>
  </si>
  <si>
    <t>OTHER'S(FEB)</t>
  </si>
  <si>
    <t xml:space="preserve">GREEN PLY TO SALAPURIA </t>
  </si>
  <si>
    <t xml:space="preserve">VIVADOR </t>
  </si>
  <si>
    <t>3P</t>
  </si>
  <si>
    <t>WIRE , CORA</t>
  </si>
  <si>
    <t>1P</t>
  </si>
  <si>
    <t>LADDER , BAMBOO</t>
  </si>
  <si>
    <t>TMT(FEB-2023)</t>
  </si>
  <si>
    <t>13P</t>
  </si>
  <si>
    <t>CEMENT (FEB 2023)</t>
  </si>
  <si>
    <t>16BAG</t>
  </si>
  <si>
    <t>STONE(FEB)</t>
  </si>
  <si>
    <t>SAND(FEB 2023)</t>
  </si>
  <si>
    <t xml:space="preserve">TARAK BUILDER TO GREEN </t>
  </si>
  <si>
    <t>SAND(MAR 2023)</t>
  </si>
  <si>
    <t>CEMENT (MAR 2023)</t>
  </si>
  <si>
    <t xml:space="preserve">SS OFFICE TO GREEN PLY </t>
  </si>
  <si>
    <t>3 BUNDLE</t>
  </si>
  <si>
    <t>TMT(MAR-2023)</t>
  </si>
  <si>
    <t>STONE(MAR)</t>
  </si>
  <si>
    <t>BRICKS(MAR 2023)</t>
  </si>
  <si>
    <t>300P</t>
  </si>
  <si>
    <t>TMT(APRIL-2023)</t>
  </si>
  <si>
    <t>6P</t>
  </si>
  <si>
    <t>SAND(APRIL 2023)</t>
  </si>
  <si>
    <t>RINKU BUILDERS TO GREEN PLY</t>
  </si>
  <si>
    <t>CEMENT (APRIL 2023)</t>
  </si>
  <si>
    <t>OTHER'S(APRIL)</t>
  </si>
  <si>
    <t>SS OFFICE TO GREEN PLY</t>
  </si>
  <si>
    <t>BOSTA</t>
  </si>
  <si>
    <t>20P</t>
  </si>
  <si>
    <t>STONE(APRIL)</t>
  </si>
  <si>
    <t>2 BUNDLE</t>
  </si>
  <si>
    <t>17 BAG</t>
  </si>
  <si>
    <t>TMT(MAY-2023)</t>
  </si>
  <si>
    <t>RINKU TO GREEN PLY</t>
  </si>
  <si>
    <t>SAND(MAY 2023)</t>
  </si>
  <si>
    <t>DALMIA</t>
  </si>
  <si>
    <t>OTHER'S(MAY)</t>
  </si>
  <si>
    <t>M.S PALLATE</t>
  </si>
  <si>
    <t>4P -8'1"*4'2"</t>
  </si>
  <si>
    <t>CEMENT (MAY 2023)</t>
  </si>
  <si>
    <t>BRICKS(MAY 2023)</t>
  </si>
  <si>
    <t>16MM</t>
  </si>
  <si>
    <t>5P</t>
  </si>
  <si>
    <t>40 BAG</t>
  </si>
  <si>
    <t xml:space="preserve">GREEN PLY TO SANTINIR </t>
  </si>
  <si>
    <t>SAND(JUNE 2023)</t>
  </si>
  <si>
    <t>CEMENT (JUNE 2023)</t>
  </si>
  <si>
    <t>STONE(JUNE)</t>
  </si>
  <si>
    <t>TMT(JUNE 2023)</t>
  </si>
  <si>
    <t>14'</t>
  </si>
  <si>
    <t>6'</t>
  </si>
  <si>
    <t>7'</t>
  </si>
  <si>
    <t>14.6'</t>
  </si>
  <si>
    <t>6.6'</t>
  </si>
  <si>
    <t>.5"</t>
  </si>
  <si>
    <t>TMT</t>
  </si>
  <si>
    <t>UNIT</t>
  </si>
  <si>
    <t>BAG</t>
  </si>
  <si>
    <t>PIECE</t>
  </si>
  <si>
    <t>PRODUCT</t>
  </si>
  <si>
    <t>PARTICULAR</t>
  </si>
  <si>
    <t>STONE .5"</t>
  </si>
  <si>
    <t>TMT 14'</t>
  </si>
  <si>
    <t>TMT 6'</t>
  </si>
  <si>
    <t>TMT 7'</t>
  </si>
  <si>
    <t>TMT 14.6'</t>
  </si>
  <si>
    <t>TMT 6.6'</t>
  </si>
  <si>
    <t>QTY</t>
  </si>
  <si>
    <t>PRODUCT CATEGORY</t>
  </si>
  <si>
    <t>Grand Total</t>
  </si>
  <si>
    <t>Sum of QTY</t>
  </si>
  <si>
    <t>Total</t>
  </si>
  <si>
    <t>12.05 TO 20.06</t>
  </si>
  <si>
    <t>TMT 16MM</t>
  </si>
  <si>
    <t>SL NO</t>
  </si>
  <si>
    <t>RATE</t>
  </si>
  <si>
    <t>AMOUNT</t>
  </si>
  <si>
    <t>UT</t>
  </si>
  <si>
    <t>KG</t>
  </si>
  <si>
    <t>TMT KG (TOTAL)</t>
  </si>
  <si>
    <t>150P</t>
  </si>
  <si>
    <t>BRICKS(JUNE 2023)</t>
  </si>
  <si>
    <t xml:space="preserve">SANTINIR TO GREEN PLY </t>
  </si>
  <si>
    <t xml:space="preserve">PALLATE </t>
  </si>
  <si>
    <t>14 NOS(SR-1 TO 14)</t>
  </si>
  <si>
    <t>SIRAJ HATI -WB19G4852</t>
  </si>
  <si>
    <t>14 NOS(SR-29 TO 42)</t>
  </si>
  <si>
    <t>14 NOS (SR-56-70)</t>
  </si>
  <si>
    <t>SIRAJ HATI -WB19L1006</t>
  </si>
  <si>
    <t>14 NOS (SR-42-56)</t>
  </si>
  <si>
    <t>14 NOS (SR-70-84)</t>
  </si>
  <si>
    <t>SAND(JULY 2023)</t>
  </si>
  <si>
    <t>CEMENT (JULY 2023)</t>
  </si>
  <si>
    <t>TMT(JULY 2023)</t>
  </si>
  <si>
    <t>PALLATE</t>
  </si>
  <si>
    <t>14 NO</t>
  </si>
  <si>
    <t>GREEN PLY TO AUSTIN</t>
  </si>
  <si>
    <t xml:space="preserve">  </t>
  </si>
  <si>
    <t>OTHER'S(AUG)</t>
  </si>
  <si>
    <t xml:space="preserve">GREEN PLY </t>
  </si>
  <si>
    <t xml:space="preserve">SELF </t>
  </si>
  <si>
    <t>500P</t>
  </si>
  <si>
    <t>SAND(AUG-2023)</t>
  </si>
  <si>
    <t>BRICKS(AUG- 2023)</t>
  </si>
  <si>
    <t xml:space="preserve">GREEN PLY DOSTUPUR </t>
  </si>
  <si>
    <t>791 CFT</t>
  </si>
  <si>
    <t>BATS</t>
  </si>
  <si>
    <t>PAVER BLOCK</t>
  </si>
  <si>
    <t>220P</t>
  </si>
  <si>
    <t>RINKU BUILDERS TO GREEN PLY 2NO</t>
  </si>
  <si>
    <t>1/2"</t>
  </si>
  <si>
    <t>2 BAG</t>
  </si>
  <si>
    <t>SS TO GREEN PLY 2NO</t>
  </si>
  <si>
    <t>823 CFT</t>
  </si>
  <si>
    <t>BRICKS(SEP- 2023)</t>
  </si>
  <si>
    <t xml:space="preserve">BRICKS </t>
  </si>
  <si>
    <t>SAND(SEP-2023)</t>
  </si>
  <si>
    <t>CEMENT(AUG-2023)</t>
  </si>
  <si>
    <t>CEMENT(SEP-2023)</t>
  </si>
  <si>
    <t>718 CFT</t>
  </si>
  <si>
    <t>FLY ASH</t>
  </si>
  <si>
    <t>6TRIP</t>
  </si>
  <si>
    <t xml:space="preserve"> </t>
  </si>
  <si>
    <t>OTHER'S(SEP)</t>
  </si>
  <si>
    <t>GREEN PLY 2NO</t>
  </si>
  <si>
    <t>RED PRIMER</t>
  </si>
  <si>
    <t>3LTR</t>
  </si>
  <si>
    <t>739 CFT</t>
  </si>
  <si>
    <t>CEMENT(OCT-2023)</t>
  </si>
  <si>
    <t>BRICKS(OCT- 2023)</t>
  </si>
  <si>
    <t>SAND(OCT-2023)</t>
  </si>
  <si>
    <t>TMT(OCT-2023)</t>
  </si>
  <si>
    <t>10 FT SHEET</t>
  </si>
  <si>
    <t>8 FT SHEET</t>
  </si>
  <si>
    <t xml:space="preserve"> SELF SCREW</t>
  </si>
  <si>
    <t>OTHER'S(OCT)</t>
  </si>
  <si>
    <t>SS TO GREEN</t>
  </si>
  <si>
    <t>EMPTY BAG</t>
  </si>
  <si>
    <t>100P</t>
  </si>
  <si>
    <t>GREEN PLY QUARTER RECIVE</t>
  </si>
  <si>
    <t>68" - 27 P</t>
  </si>
  <si>
    <t>12'11" - 13P</t>
  </si>
  <si>
    <t>RAMKRISHNAPUR TO GREEN PLY</t>
  </si>
  <si>
    <t>4P</t>
  </si>
  <si>
    <t xml:space="preserve">RING </t>
  </si>
  <si>
    <t>32P</t>
  </si>
  <si>
    <t>SAND(NOV-2023)</t>
  </si>
  <si>
    <t xml:space="preserve">AUSTIN TO GREEN PLY </t>
  </si>
  <si>
    <t>BRICKS(NOV- 2023)</t>
  </si>
  <si>
    <t>TMT(NOV-2023)</t>
  </si>
  <si>
    <t xml:space="preserve">AUSTIN TO GREEN </t>
  </si>
  <si>
    <t>8 MM</t>
  </si>
  <si>
    <t>SS OFFICE TO GREEN PLY 2NO</t>
  </si>
  <si>
    <t>27 BAG</t>
  </si>
  <si>
    <t>CEMENT(NOV-2023)</t>
  </si>
  <si>
    <t xml:space="preserve">SS OFFICE TO GREEN PLY 2NO </t>
  </si>
  <si>
    <t>CEMENT(DEC-2023)</t>
  </si>
  <si>
    <t xml:space="preserve">DALMIA TO GREEN PLY </t>
  </si>
  <si>
    <t>SAND(DEC-2023)</t>
  </si>
  <si>
    <t>CEMENT(FEB-2024)</t>
  </si>
  <si>
    <t xml:space="preserve">DALMIA TO GREEN </t>
  </si>
  <si>
    <t>CEMENT(MAR-2024)</t>
  </si>
  <si>
    <t>SS TO GREEN PLY</t>
  </si>
  <si>
    <t xml:space="preserve">PRABITRA TO PAVER BLOCK </t>
  </si>
  <si>
    <t>SAND(AUG-2024)</t>
  </si>
  <si>
    <t>PURCHASE</t>
  </si>
  <si>
    <t>BRICKS(AUG- 2024)</t>
  </si>
  <si>
    <t xml:space="preserve">RAMKRISHNAPUR TO GREEN </t>
  </si>
  <si>
    <t>CEMENT(AUG-2024)</t>
  </si>
  <si>
    <t>PAPPU TO GREEN</t>
  </si>
  <si>
    <t>-</t>
  </si>
  <si>
    <t>1*2</t>
  </si>
  <si>
    <t>LNB TO GREEN PLY</t>
  </si>
  <si>
    <t>RINKU TO GREENPLY</t>
  </si>
  <si>
    <t>SAND(SEP-2024)</t>
  </si>
  <si>
    <t>BRICKS(SEP- 2024)</t>
  </si>
  <si>
    <t>RAMKRISHNAPUR TO GREENPLY</t>
  </si>
  <si>
    <t>TMT(SEP-2023)</t>
  </si>
  <si>
    <t xml:space="preserve">                                 </t>
  </si>
  <si>
    <t>FT (8FT * 13P)</t>
  </si>
  <si>
    <t>FT (6FT * 17P)</t>
  </si>
  <si>
    <t>NEW PHASE - 25 NOV</t>
  </si>
  <si>
    <t>NEW PHASE NOV-25</t>
  </si>
  <si>
    <t>JIT TO GREENPLY</t>
  </si>
  <si>
    <t>16 MM</t>
  </si>
  <si>
    <t>NEW PHASE - NOV -25</t>
  </si>
  <si>
    <t>BISHNUPUR TO GP</t>
  </si>
  <si>
    <t>GP GODOWN TO GP</t>
  </si>
  <si>
    <t>LNB TO GP</t>
  </si>
  <si>
    <t>RINKU TO GP</t>
  </si>
  <si>
    <t>BRICKS - 2025</t>
  </si>
  <si>
    <t xml:space="preserve">RINKU TO GP </t>
  </si>
  <si>
    <t>DESCRIPTION</t>
  </si>
  <si>
    <t>HEAD</t>
  </si>
  <si>
    <t xml:space="preserve"> LABOUR DETAILS - 2025</t>
  </si>
  <si>
    <t>MIJANUR L -1 ,SUDHIR,SAIFUDDIN</t>
  </si>
  <si>
    <t>MIJANUR L -1 ,SUDHIR,SAIFUDDIN,SAMSUDDIN,DIPAK DHALAI -4</t>
  </si>
  <si>
    <t>MIJANUR L -1 ,SUDHIR,SAIFUDDIN,PRALLAD M-1,L-2</t>
  </si>
  <si>
    <t>SUDHIR,SAIFUDDIN</t>
  </si>
  <si>
    <t>NO</t>
  </si>
  <si>
    <t>MIJANUR L -1 ,SUDHIR</t>
  </si>
  <si>
    <t>AMARESH,KHOKHAN</t>
  </si>
  <si>
    <t>AMARESH</t>
  </si>
  <si>
    <t>SUDHIR,PRALLAD L -1</t>
  </si>
  <si>
    <t>OFC</t>
  </si>
  <si>
    <t>SAIFUDDIN HALF DAY</t>
  </si>
  <si>
    <t>MIJANUR M-1 L -1 ,SUDHIR,SAIFUDDIN</t>
  </si>
  <si>
    <t>SUDHIR</t>
  </si>
  <si>
    <t>REMARKS</t>
  </si>
  <si>
    <t>GP</t>
  </si>
  <si>
    <t>Sudhir,Saifuddin</t>
  </si>
  <si>
    <t>Sudhir,Samuddin</t>
  </si>
  <si>
    <t>no</t>
  </si>
  <si>
    <t>No</t>
  </si>
  <si>
    <t>Subid kaka,Prallad</t>
  </si>
  <si>
    <t>Sp to Gp</t>
  </si>
  <si>
    <t xml:space="preserve">SP TO GP </t>
  </si>
  <si>
    <t>Subid kaka</t>
  </si>
  <si>
    <t>Sudhir,Saifuddin,Subid kaka</t>
  </si>
  <si>
    <t>Sudhir,Saifuddin,Subid kaka,Samuddin</t>
  </si>
  <si>
    <t>SP TO GP</t>
  </si>
  <si>
    <t xml:space="preserve">Sudhir,Saifuddin,Subid kaka,Samuddin,DIPAK </t>
  </si>
  <si>
    <t>Sudhir,Saifuddin,Subid kaka,PRADIP L -2</t>
  </si>
  <si>
    <t>Lab  - 2026</t>
  </si>
  <si>
    <t>Sudhir,Subid</t>
  </si>
  <si>
    <t>subid,pradip l -2</t>
  </si>
  <si>
    <t>Sarfuddin,Subid</t>
  </si>
  <si>
    <t>Subid,Prallad l -1</t>
  </si>
  <si>
    <t>Sudhir,Pradip L-1,Prallad L-4</t>
  </si>
  <si>
    <t>Sudhir,Prallad L-3</t>
  </si>
  <si>
    <t>JCB</t>
  </si>
  <si>
    <t>7.5 H</t>
  </si>
  <si>
    <t>JAIL /COLOUM</t>
  </si>
  <si>
    <t xml:space="preserve">Gaffer to gp </t>
  </si>
  <si>
    <t>sudhir,pradip l-1</t>
  </si>
  <si>
    <t xml:space="preserve">Arun to gp </t>
  </si>
  <si>
    <t>sudhir,pradip l-2,dipak 4</t>
  </si>
  <si>
    <t>sudhir,pradip l-2,mizanur m-1,l-1</t>
  </si>
  <si>
    <t>purchase</t>
  </si>
  <si>
    <t>sudhir,Sarfuddin.subid,Pradip m-1,l-1</t>
  </si>
  <si>
    <t>Dumper</t>
  </si>
  <si>
    <t>oil 45 ltr - 4144.50/-</t>
  </si>
  <si>
    <t>4.5 H</t>
  </si>
  <si>
    <t>PRADIP L -2,SABIR</t>
  </si>
  <si>
    <t>6.5 H</t>
  </si>
  <si>
    <t>SUDHIR,SUBID,SARFUDDIN,PRADIP L-2</t>
  </si>
  <si>
    <t>11 H</t>
  </si>
  <si>
    <t>SUDHIR,SUBID,SARFUDDIN</t>
  </si>
  <si>
    <t>Sudhir,Pradip L-2</t>
  </si>
  <si>
    <t xml:space="preserve">Salbollah </t>
  </si>
  <si>
    <t>51 p</t>
  </si>
  <si>
    <t>SUDHIR,SUBID,SARFUDDIN,PRADIP L-1</t>
  </si>
  <si>
    <t>Prallad M-1,L-1</t>
  </si>
  <si>
    <t>Sarfuddin,Subid,sudhir</t>
  </si>
  <si>
    <t>SUBID,SARFUDDIN,</t>
  </si>
  <si>
    <t>SARFUDDIN,SS LAB - 2</t>
  </si>
  <si>
    <t>sarfuddin,prallad l-1,subid</t>
  </si>
  <si>
    <t>color purchase (metal -4l primer -2ltr)</t>
  </si>
  <si>
    <t>sarfuddin,prallad m-1 l-1,subid</t>
  </si>
  <si>
    <t>sarfuddin,sudhir,subid</t>
  </si>
  <si>
    <t>subid,anada l-2</t>
  </si>
  <si>
    <t xml:space="preserve">mostofa to gp </t>
  </si>
  <si>
    <t xml:space="preserve">anada l-1,subid,pradip </t>
  </si>
  <si>
    <t xml:space="preserve">TILES </t>
  </si>
  <si>
    <t xml:space="preserve">BLADE </t>
  </si>
  <si>
    <t>SARFUDDIN,SUDHIR,SUBID,PRADIP L3</t>
  </si>
  <si>
    <t xml:space="preserve">COLOOUR </t>
  </si>
  <si>
    <t>SARFUDDIN,SUDHIR,SUBID</t>
  </si>
  <si>
    <t>SALBOLLA 7,SUBID</t>
  </si>
  <si>
    <t>SALBOLLA 8,SUBID</t>
  </si>
  <si>
    <t>SALBOLLA 8,SUBID,SAIFUDDIN</t>
  </si>
  <si>
    <t>JIYA</t>
  </si>
  <si>
    <t>,SAIFUDDIN</t>
  </si>
  <si>
    <t>SALBOLLA 8,SUBID,ALON 2</t>
  </si>
  <si>
    <t>SALBOLLA 6,SUBID</t>
  </si>
  <si>
    <t>SALBOLLA 6,SUBID,SAIFUDDIN</t>
  </si>
  <si>
    <t>SAIFUDDIN</t>
  </si>
  <si>
    <t>8H</t>
  </si>
  <si>
    <t>Sudhir Kaka</t>
  </si>
  <si>
    <t>Sudhir Kaka,Subid</t>
  </si>
  <si>
    <t>Tiles -3 Box</t>
  </si>
  <si>
    <t>Sudhir Kaka,Subid,Saifuddin</t>
  </si>
  <si>
    <t>Poclain</t>
  </si>
  <si>
    <t>Pump</t>
  </si>
  <si>
    <t>Oil-356</t>
  </si>
  <si>
    <t>in</t>
  </si>
  <si>
    <t>Road clean</t>
  </si>
  <si>
    <t>Read - 9412.5</t>
  </si>
  <si>
    <t>oil - 2449/-</t>
  </si>
  <si>
    <t>DUMPER - DETAILS GREENPLY WORK</t>
  </si>
  <si>
    <t>SITE ADVS</t>
  </si>
  <si>
    <t>OFFICE ADVS</t>
  </si>
  <si>
    <t>DUMPER NO</t>
  </si>
  <si>
    <t>KM (UP-DOWN)</t>
  </si>
  <si>
    <t>OIL</t>
  </si>
  <si>
    <t>DRIVER ADVS</t>
  </si>
  <si>
    <t>REMAKRS</t>
  </si>
  <si>
    <t xml:space="preserve">DUMPER </t>
  </si>
  <si>
    <t>TRIP</t>
  </si>
  <si>
    <t xml:space="preserve">TOTAL </t>
  </si>
  <si>
    <t>POCLAIN - DETAILS GREENPLY WORK</t>
  </si>
  <si>
    <t xml:space="preserve">READING </t>
  </si>
  <si>
    <t>POCLAIN</t>
  </si>
  <si>
    <t>9412.5 - 9419.2</t>
  </si>
  <si>
    <t>6 H 42 MIN</t>
  </si>
  <si>
    <t>HOUR</t>
  </si>
  <si>
    <t xml:space="preserve">9419.2 - 9419.8 </t>
  </si>
  <si>
    <t>36 MIN</t>
  </si>
  <si>
    <t>9419.8 -9421.0</t>
  </si>
  <si>
    <t>1 H 12 MIN</t>
  </si>
  <si>
    <t>9421.0 - 9421.9</t>
  </si>
  <si>
    <t>54 MIN</t>
  </si>
  <si>
    <t>9421.9 - 9426.9</t>
  </si>
  <si>
    <t>5 H</t>
  </si>
  <si>
    <t>14 H 40 MIN</t>
  </si>
  <si>
    <t>subid - night</t>
  </si>
  <si>
    <t>Sudhir Kaka,Saifuddin,subid - night</t>
  </si>
  <si>
    <t>Sudhir Kaka,prallad l-2</t>
  </si>
  <si>
    <t xml:space="preserve">Batam </t>
  </si>
  <si>
    <t>160 - Pcs</t>
  </si>
  <si>
    <t>200 - pcs</t>
  </si>
  <si>
    <t xml:space="preserve">samsuddin,subid,sarfuddin </t>
  </si>
  <si>
    <t>mijanur m-2,l-5,sabir</t>
  </si>
  <si>
    <t>mijanur m-2,l-3,samsuddin,sabir</t>
  </si>
  <si>
    <t>mijanur m-1,l-4,samsuddin,sabir</t>
  </si>
  <si>
    <t>mijanur m-2,l-5,samsuddin,sabir</t>
  </si>
  <si>
    <t>mijanur m-2,l-4,subid,sabir</t>
  </si>
  <si>
    <t>mijanur m-2,l-4,samsuddin</t>
  </si>
  <si>
    <t>Description</t>
  </si>
  <si>
    <t>Unit</t>
  </si>
  <si>
    <t>Qty</t>
  </si>
  <si>
    <t>Rate</t>
  </si>
  <si>
    <t>Amount</t>
  </si>
  <si>
    <t>Hour</t>
  </si>
  <si>
    <t xml:space="preserve">Dumper </t>
  </si>
  <si>
    <t>Salballah</t>
  </si>
  <si>
    <t>Lab</t>
  </si>
  <si>
    <t>Salballah fixing</t>
  </si>
  <si>
    <t>Dumper - Dostipur</t>
  </si>
  <si>
    <t>Dumper - Matalthes</t>
  </si>
  <si>
    <t>Days</t>
  </si>
  <si>
    <t>pcs</t>
  </si>
  <si>
    <t>Head</t>
  </si>
  <si>
    <t>Trip</t>
  </si>
  <si>
    <t xml:space="preserve">Other's Exp </t>
  </si>
  <si>
    <t>L/S</t>
  </si>
  <si>
    <t xml:space="preserve">De-Watering </t>
  </si>
  <si>
    <t>Night Lab for De-Watering</t>
  </si>
  <si>
    <t>Remarks</t>
  </si>
  <si>
    <t xml:space="preserve">35 D Hot Press </t>
  </si>
  <si>
    <t>Total :</t>
  </si>
  <si>
    <t>Sl No</t>
  </si>
  <si>
    <t>Till Date - 22.06.26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</si>
</sst>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 x14ac:knownFonts="1">
    <font>
      <sz val="11"/>
      <color theme="1"/>
      <name val="Calibri"/>
      <family val="2"/>
      <scheme val="minor"/>
    </font>
    <font>
      <b/>
      <i/>
      <sz val="16"/>
      <color theme="1"/>
      <name val="Arial Black"/>
      <family val="2"/>
    </font>
    <font>
      <b/>
      <i/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Arial Black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35">
    <xf numFmtId="0" fontId="0" fillId="0" borderId="0" xfId="0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vertical="center"/>
    </xf>
    <xf numFmtId="14" fontId="0" fillId="0" borderId="13" xfId="0" applyNumberFormat="1" applyBorder="1" applyAlignment="1">
      <alignment horizontal="center"/>
    </xf>
    <xf numFmtId="16" fontId="0" fillId="0" borderId="7" xfId="0" applyNumberForma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7" xfId="0" applyBorder="1"/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wrapText="1"/>
    </xf>
    <xf numFmtId="0" fontId="0" fillId="0" borderId="0" xfId="0" pivotButton="1"/>
    <xf numFmtId="0" fontId="5" fillId="3" borderId="7" xfId="0" applyFont="1" applyFill="1" applyBorder="1"/>
    <xf numFmtId="0" fontId="4" fillId="0" borderId="7" xfId="0" applyFont="1" applyBorder="1"/>
    <xf numFmtId="0" fontId="5" fillId="0" borderId="12" xfId="0" applyFont="1" applyBorder="1"/>
    <xf numFmtId="0" fontId="5" fillId="0" borderId="7" xfId="0" applyFont="1" applyBorder="1"/>
    <xf numFmtId="0" fontId="6" fillId="0" borderId="7" xfId="0" applyFont="1" applyBorder="1"/>
    <xf numFmtId="0" fontId="0" fillId="0" borderId="0" xfId="0" applyAlignment="1">
      <alignment horizontal="center" vertical="center"/>
    </xf>
    <xf numFmtId="14" fontId="0" fillId="0" borderId="7" xfId="0" applyNumberFormat="1" applyBorder="1"/>
    <xf numFmtId="0" fontId="5" fillId="4" borderId="7" xfId="0" applyFont="1" applyFill="1" applyBorder="1" applyAlignment="1">
      <alignment horizontal="center"/>
    </xf>
    <xf numFmtId="14" fontId="0" fillId="0" borderId="0" xfId="0" applyNumberFormat="1"/>
    <xf numFmtId="0" fontId="0" fillId="0" borderId="12" xfId="0" applyBorder="1"/>
    <xf numFmtId="0" fontId="2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3" fillId="6" borderId="7" xfId="0" applyFont="1" applyFill="1" applyBorder="1" applyAlignment="1">
      <alignment horizontal="center"/>
    </xf>
    <xf numFmtId="43" fontId="0" fillId="0" borderId="7" xfId="1" applyFont="1" applyBorder="1"/>
    <xf numFmtId="14" fontId="0" fillId="0" borderId="7" xfId="1" applyNumberFormat="1" applyFont="1" applyBorder="1"/>
    <xf numFmtId="0" fontId="5" fillId="7" borderId="7" xfId="0" applyFont="1" applyFill="1" applyBorder="1" applyAlignment="1">
      <alignment horizontal="center"/>
    </xf>
    <xf numFmtId="0" fontId="5" fillId="7" borderId="7" xfId="0" applyFont="1" applyFill="1" applyBorder="1"/>
    <xf numFmtId="43" fontId="5" fillId="7" borderId="7" xfId="1" applyFont="1" applyFill="1" applyBorder="1"/>
    <xf numFmtId="0" fontId="0" fillId="0" borderId="24" xfId="0" applyBorder="1" applyAlignment="1">
      <alignment horizontal="center"/>
    </xf>
    <xf numFmtId="14" fontId="0" fillId="0" borderId="25" xfId="0" applyNumberFormat="1" applyBorder="1"/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14" fontId="0" fillId="2" borderId="1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5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2" fillId="3" borderId="24" xfId="0" applyFont="1" applyFill="1" applyBorder="1" applyAlignment="1">
      <alignment horizontal="center"/>
    </xf>
    <xf numFmtId="0" fontId="12" fillId="3" borderId="26" xfId="0" applyFont="1" applyFill="1" applyBorder="1" applyAlignment="1">
      <alignment horizontal="center"/>
    </xf>
    <xf numFmtId="0" fontId="12" fillId="5" borderId="24" xfId="0" applyFont="1" applyFill="1" applyBorder="1" applyAlignment="1">
      <alignment horizontal="center"/>
    </xf>
    <xf numFmtId="0" fontId="12" fillId="5" borderId="26" xfId="0" applyFont="1" applyFill="1" applyBorder="1" applyAlignment="1">
      <alignment horizontal="center"/>
    </xf>
    <xf numFmtId="0" fontId="5" fillId="7" borderId="24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7" xfId="0" applyFont="1" applyBorder="1"/>
    <xf numFmtId="43" fontId="14" fillId="0" borderId="7" xfId="1" applyFont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43" fontId="5" fillId="3" borderId="7" xfId="0" applyNumberFormat="1" applyFont="1" applyFill="1" applyBorder="1"/>
    <xf numFmtId="0" fontId="13" fillId="6" borderId="29" xfId="0" applyFont="1" applyFill="1" applyBorder="1" applyAlignment="1">
      <alignment horizontal="center"/>
    </xf>
    <xf numFmtId="0" fontId="13" fillId="6" borderId="30" xfId="0" applyFont="1" applyFill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30" xfId="0" applyFont="1" applyBorder="1"/>
    <xf numFmtId="0" fontId="5" fillId="3" borderId="31" xfId="0" applyFont="1" applyFill="1" applyBorder="1" applyAlignment="1">
      <alignment horizontal="center"/>
    </xf>
    <xf numFmtId="0" fontId="5" fillId="3" borderId="30" xfId="0" applyFont="1" applyFill="1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" refreshedDate="45097.823097337961" createdVersion="3" refreshedVersion="3" minRefreshableVersion="3" recordCount="32" xr:uid="{00000000-000A-0000-FFFF-FFFF00000000}">
  <cacheSource type="worksheet">
    <worksheetSource ref="A2:F34" sheet="12.05 TO 20.06"/>
  </cacheSource>
  <cacheFields count="6">
    <cacheField name="PRODUCT" numFmtId="0">
      <sharedItems/>
    </cacheField>
    <cacheField name="DATE" numFmtId="14">
      <sharedItems containsSemiMixedTypes="0" containsNonDate="0" containsDate="1" containsString="0" minDate="2023-05-24T00:00:00" maxDate="2023-06-21T00:00:00"/>
    </cacheField>
    <cacheField name="PARTICULAR" numFmtId="0">
      <sharedItems/>
    </cacheField>
    <cacheField name="PRODUCT CATEGORY" numFmtId="0">
      <sharedItems count="12">
        <s v="ULTRATECH "/>
        <s v="TMT 16MM"/>
        <s v="SAND"/>
        <s v="STONE"/>
        <s v="STONE .5&quot;"/>
        <s v="BRICKS"/>
        <s v="TMT 14'"/>
        <s v="TMT 6'"/>
        <s v="TMT 7'"/>
        <s v="TMT 14.6'"/>
        <s v="TMT 6.6'"/>
        <s v="16MM" u="1"/>
      </sharedItems>
    </cacheField>
    <cacheField name="QTY" numFmtId="0">
      <sharedItems containsSemiMixedTypes="0" containsString="0" containsNumber="1" containsInteger="1" minValue="3" maxValue="333"/>
    </cacheField>
    <cacheField name="UNIT" numFmtId="0">
      <sharedItems count="2">
        <s v="BAG"/>
        <s v="PIEC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s v="CEMENT"/>
    <d v="2023-05-25T00:00:00"/>
    <s v="SALAPURIA TO GREEN PLY"/>
    <x v="0"/>
    <n v="3"/>
    <x v="0"/>
  </r>
  <r>
    <s v="CEMENT"/>
    <d v="2023-05-28T00:00:00"/>
    <s v="RINKU TO GREEN PLY"/>
    <x v="0"/>
    <n v="7"/>
    <x v="0"/>
  </r>
  <r>
    <s v="CEMENT"/>
    <d v="2023-06-04T00:00:00"/>
    <s v="RINKU TO GREEN PLY"/>
    <x v="0"/>
    <n v="5"/>
    <x v="0"/>
  </r>
  <r>
    <s v="CEMENT"/>
    <d v="2023-06-12T00:00:00"/>
    <s v="RINKU TO GREEN PLY"/>
    <x v="0"/>
    <n v="4"/>
    <x v="0"/>
  </r>
  <r>
    <s v="CEMENT"/>
    <d v="2023-06-15T00:00:00"/>
    <s v="RINKU TO GREEN PLY"/>
    <x v="0"/>
    <n v="12"/>
    <x v="0"/>
  </r>
  <r>
    <s v="CEMENT"/>
    <d v="2023-06-17T00:00:00"/>
    <s v="RINKU TO GREEN PLY"/>
    <x v="0"/>
    <n v="12"/>
    <x v="0"/>
  </r>
  <r>
    <s v="CEMENT"/>
    <d v="2023-06-18T00:00:00"/>
    <s v="RINKU TO GREEN PLY"/>
    <x v="0"/>
    <n v="10"/>
    <x v="0"/>
  </r>
  <r>
    <s v="TMT"/>
    <d v="2023-05-26T00:00:00"/>
    <s v="SALAPURIA TO GREEN PLY "/>
    <x v="1"/>
    <n v="5"/>
    <x v="1"/>
  </r>
  <r>
    <s v="SAND"/>
    <d v="2023-05-25T00:00:00"/>
    <s v="SALAPURIA TO GREEN PLY "/>
    <x v="2"/>
    <n v="12"/>
    <x v="0"/>
  </r>
  <r>
    <s v="SAND"/>
    <d v="2023-05-27T00:00:00"/>
    <s v="SALAPURIA TO GREEN PLY "/>
    <x v="2"/>
    <n v="50"/>
    <x v="0"/>
  </r>
  <r>
    <s v="SAND"/>
    <d v="2023-06-04T00:00:00"/>
    <s v="RINKU BUILDERS TO GREEN PLY"/>
    <x v="2"/>
    <n v="15"/>
    <x v="0"/>
  </r>
  <r>
    <s v="SAND"/>
    <d v="2023-06-15T00:00:00"/>
    <s v="SALAPURIA TO GREEN PLY "/>
    <x v="2"/>
    <n v="50"/>
    <x v="0"/>
  </r>
  <r>
    <s v="SAND"/>
    <d v="2023-06-17T00:00:00"/>
    <s v="SALAPURIA TO GREEN PLY "/>
    <x v="2"/>
    <n v="25"/>
    <x v="0"/>
  </r>
  <r>
    <s v="SAND"/>
    <d v="2023-06-18T00:00:00"/>
    <s v="SALAPURIA TO GREEN PLY "/>
    <x v="2"/>
    <n v="25"/>
    <x v="0"/>
  </r>
  <r>
    <s v="SAND"/>
    <d v="2023-06-18T00:00:00"/>
    <s v="SALAPURIA TO GREEN PLY "/>
    <x v="2"/>
    <n v="25"/>
    <x v="0"/>
  </r>
  <r>
    <s v="STONE"/>
    <d v="2023-05-25T00:00:00"/>
    <s v="SALAPURIA TO GREEN PLY"/>
    <x v="3"/>
    <n v="12"/>
    <x v="0"/>
  </r>
  <r>
    <s v="STONE"/>
    <d v="2023-05-27T00:00:00"/>
    <s v="SALAPURIA TO GREEN PLY"/>
    <x v="3"/>
    <n v="40"/>
    <x v="0"/>
  </r>
  <r>
    <s v="STONE"/>
    <d v="2023-05-28T00:00:00"/>
    <s v="RINKU BUILDERS TO GREEN PLY"/>
    <x v="3"/>
    <n v="25"/>
    <x v="0"/>
  </r>
  <r>
    <s v="STONE"/>
    <d v="2023-06-12T00:00:00"/>
    <s v="RINKU BUILDERS TO GREEN PLY"/>
    <x v="3"/>
    <n v="25"/>
    <x v="0"/>
  </r>
  <r>
    <s v="STONE"/>
    <d v="2023-06-15T00:00:00"/>
    <s v="RINKU BUILDERS TO GREEN PLY"/>
    <x v="3"/>
    <n v="25"/>
    <x v="0"/>
  </r>
  <r>
    <s v="STONE"/>
    <d v="2023-06-17T00:00:00"/>
    <s v="RINKU BUILDERS TO GREEN PLY"/>
    <x v="3"/>
    <n v="25"/>
    <x v="0"/>
  </r>
  <r>
    <s v="STONE"/>
    <d v="2023-06-18T00:00:00"/>
    <s v="RINKU BUILDERS TO GREEN PLY"/>
    <x v="3"/>
    <n v="25"/>
    <x v="0"/>
  </r>
  <r>
    <s v="STONE"/>
    <d v="2023-06-18T00:00:00"/>
    <s v="RINKU BUILDERS TO GREEN PLY"/>
    <x v="4"/>
    <n v="15"/>
    <x v="0"/>
  </r>
  <r>
    <s v="BRICKS"/>
    <d v="2023-05-24T00:00:00"/>
    <s v="RINKU TO GREEN PLY"/>
    <x v="5"/>
    <n v="333"/>
    <x v="1"/>
  </r>
  <r>
    <s v="TMT"/>
    <d v="2023-06-13T00:00:00"/>
    <s v="SS OFFICE TO GREEN PLY"/>
    <x v="6"/>
    <n v="10"/>
    <x v="1"/>
  </r>
  <r>
    <s v="TMT"/>
    <d v="2023-06-13T00:00:00"/>
    <s v="SS OFFICE TO GREEN PLY"/>
    <x v="7"/>
    <n v="27"/>
    <x v="1"/>
  </r>
  <r>
    <s v="TMT"/>
    <d v="2023-06-13T00:00:00"/>
    <s v="SS OFFICE TO GREEN PLY"/>
    <x v="8"/>
    <n v="74"/>
    <x v="1"/>
  </r>
  <r>
    <s v="TMT"/>
    <d v="2023-06-13T00:00:00"/>
    <s v="SS OFFICE TO GREEN PLY"/>
    <x v="9"/>
    <n v="22"/>
    <x v="1"/>
  </r>
  <r>
    <s v="TMT"/>
    <d v="2023-06-13T00:00:00"/>
    <s v="SS OFFICE TO GREEN PLY"/>
    <x v="10"/>
    <n v="22"/>
    <x v="1"/>
  </r>
  <r>
    <s v="SAND"/>
    <d v="2023-06-20T00:00:00"/>
    <s v="SALAPURIA TO GREEN PLY"/>
    <x v="2"/>
    <n v="50"/>
    <x v="0"/>
  </r>
  <r>
    <s v="STONE"/>
    <d v="2023-06-20T00:00:00"/>
    <s v="RINKU BUILDERS TO GREEN PLY"/>
    <x v="3"/>
    <n v="50"/>
    <x v="0"/>
  </r>
  <r>
    <s v="CEMENT"/>
    <d v="2023-06-20T00:00:00"/>
    <s v="RINKU BUILDERS TO GREEN PLY"/>
    <x v="0"/>
    <n v="2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compact="0" compactData="0" gridDropZones="1" multipleFieldFilters="0">
  <location ref="A3:C16" firstHeaderRow="2" firstDataRow="2" firstDataCol="2"/>
  <pivotFields count="6">
    <pivotField compact="0" outline="0" showAll="0"/>
    <pivotField compact="0" numFmtId="14" outline="0" showAll="0"/>
    <pivotField compact="0" outline="0" showAll="0"/>
    <pivotField axis="axisRow" compact="0" outline="0" showAll="0" defaultSubtotal="0">
      <items count="12">
        <item m="1" x="11"/>
        <item x="5"/>
        <item x="2"/>
        <item x="3"/>
        <item x="4"/>
        <item x="6"/>
        <item x="9"/>
        <item x="7"/>
        <item x="10"/>
        <item x="8"/>
        <item x="0"/>
        <item x="1"/>
      </items>
    </pivotField>
    <pivotField dataField="1" compact="0" outline="0" showAll="0"/>
    <pivotField axis="axisRow" compact="0" outline="0" showAll="0">
      <items count="3">
        <item x="0"/>
        <item x="1"/>
        <item t="default"/>
      </items>
    </pivotField>
  </pivotFields>
  <rowFields count="2">
    <field x="3"/>
    <field x="5"/>
  </rowFields>
  <rowItems count="12">
    <i>
      <x v="1"/>
      <x v="1"/>
    </i>
    <i>
      <x v="2"/>
      <x/>
    </i>
    <i>
      <x v="3"/>
      <x/>
    </i>
    <i>
      <x v="4"/>
      <x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/>
    </i>
    <i>
      <x v="11"/>
      <x v="1"/>
    </i>
    <i t="grand">
      <x/>
    </i>
  </rowItems>
  <colItems count="1">
    <i/>
  </colItems>
  <dataFields count="1">
    <dataField name="Sum of QTY" fld="4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3B9A-B2AD-49EF-B38F-3932AF1EF121}">
  <dimension ref="A1:E205"/>
  <sheetViews>
    <sheetView topLeftCell="A179" workbookViewId="0">
      <selection activeCell="C194" sqref="C194"/>
    </sheetView>
  </sheetViews>
  <sheetFormatPr defaultRowHeight="14.4" x14ac:dyDescent="0.3"/>
  <cols>
    <col min="2" max="2" width="10.33203125" bestFit="1" customWidth="1"/>
    <col min="3" max="3" width="54.88671875" bestFit="1" customWidth="1"/>
    <col min="4" max="4" width="9.21875" style="26" customWidth="1"/>
    <col min="5" max="5" width="8.88671875" style="26"/>
  </cols>
  <sheetData>
    <row r="1" spans="1:5" ht="18.600000000000001" x14ac:dyDescent="0.3">
      <c r="A1" s="70" t="s">
        <v>364</v>
      </c>
      <c r="B1" s="70"/>
      <c r="C1" s="70"/>
      <c r="D1" s="70"/>
      <c r="E1" s="70"/>
    </row>
    <row r="2" spans="1:5" x14ac:dyDescent="0.3">
      <c r="A2" s="55" t="s">
        <v>244</v>
      </c>
      <c r="B2" s="55" t="s">
        <v>2</v>
      </c>
      <c r="C2" s="55" t="s">
        <v>362</v>
      </c>
      <c r="D2" s="55" t="s">
        <v>363</v>
      </c>
      <c r="E2" s="55" t="s">
        <v>378</v>
      </c>
    </row>
    <row r="3" spans="1:5" x14ac:dyDescent="0.3">
      <c r="A3" s="11">
        <v>1</v>
      </c>
      <c r="B3" s="54">
        <v>45962</v>
      </c>
      <c r="C3" s="43" t="s">
        <v>365</v>
      </c>
      <c r="D3" s="11">
        <v>3</v>
      </c>
      <c r="E3" s="11" t="s">
        <v>379</v>
      </c>
    </row>
    <row r="4" spans="1:5" x14ac:dyDescent="0.3">
      <c r="A4" s="11">
        <v>2</v>
      </c>
      <c r="B4" s="54">
        <v>45963</v>
      </c>
      <c r="C4" s="43" t="s">
        <v>365</v>
      </c>
      <c r="D4" s="11">
        <v>3</v>
      </c>
      <c r="E4" s="11" t="s">
        <v>379</v>
      </c>
    </row>
    <row r="5" spans="1:5" x14ac:dyDescent="0.3">
      <c r="A5" s="11">
        <v>3</v>
      </c>
      <c r="B5" s="54">
        <v>45964</v>
      </c>
      <c r="C5" s="43" t="s">
        <v>365</v>
      </c>
      <c r="D5" s="11">
        <v>3</v>
      </c>
      <c r="E5" s="11" t="s">
        <v>379</v>
      </c>
    </row>
    <row r="6" spans="1:5" x14ac:dyDescent="0.3">
      <c r="A6" s="11">
        <v>4</v>
      </c>
      <c r="B6" s="54">
        <v>45965</v>
      </c>
      <c r="C6" s="43" t="s">
        <v>365</v>
      </c>
      <c r="D6" s="11">
        <v>3</v>
      </c>
      <c r="E6" s="11" t="s">
        <v>379</v>
      </c>
    </row>
    <row r="7" spans="1:5" x14ac:dyDescent="0.3">
      <c r="A7" s="11">
        <v>5</v>
      </c>
      <c r="B7" s="54">
        <v>45966</v>
      </c>
      <c r="C7" s="43" t="s">
        <v>365</v>
      </c>
      <c r="D7" s="11">
        <v>3</v>
      </c>
      <c r="E7" s="11" t="s">
        <v>379</v>
      </c>
    </row>
    <row r="8" spans="1:5" x14ac:dyDescent="0.3">
      <c r="A8" s="11">
        <v>6</v>
      </c>
      <c r="B8" s="54">
        <v>45967</v>
      </c>
      <c r="C8" s="43" t="s">
        <v>366</v>
      </c>
      <c r="D8" s="11">
        <v>8</v>
      </c>
      <c r="E8" s="11" t="s">
        <v>379</v>
      </c>
    </row>
    <row r="9" spans="1:5" x14ac:dyDescent="0.3">
      <c r="A9" s="11">
        <v>7</v>
      </c>
      <c r="B9" s="54">
        <v>45968</v>
      </c>
      <c r="C9" s="43" t="s">
        <v>365</v>
      </c>
      <c r="D9" s="11">
        <v>3</v>
      </c>
      <c r="E9" s="11" t="s">
        <v>379</v>
      </c>
    </row>
    <row r="10" spans="1:5" x14ac:dyDescent="0.3">
      <c r="A10" s="11">
        <v>8</v>
      </c>
      <c r="B10" s="54">
        <v>45969</v>
      </c>
      <c r="C10" s="43" t="s">
        <v>365</v>
      </c>
      <c r="D10" s="11">
        <v>3</v>
      </c>
      <c r="E10" s="11" t="s">
        <v>379</v>
      </c>
    </row>
    <row r="11" spans="1:5" x14ac:dyDescent="0.3">
      <c r="A11" s="11">
        <v>9</v>
      </c>
      <c r="B11" s="54">
        <v>45970</v>
      </c>
      <c r="C11" s="43" t="s">
        <v>367</v>
      </c>
      <c r="D11" s="11">
        <v>6</v>
      </c>
      <c r="E11" s="11" t="s">
        <v>379</v>
      </c>
    </row>
    <row r="12" spans="1:5" x14ac:dyDescent="0.3">
      <c r="A12" s="11">
        <v>10</v>
      </c>
      <c r="B12" s="54">
        <v>45971</v>
      </c>
      <c r="C12" s="43" t="s">
        <v>365</v>
      </c>
      <c r="D12" s="11">
        <v>3</v>
      </c>
      <c r="E12" s="11" t="s">
        <v>379</v>
      </c>
    </row>
    <row r="13" spans="1:5" x14ac:dyDescent="0.3">
      <c r="A13" s="11">
        <v>11</v>
      </c>
      <c r="B13" s="54">
        <v>45972</v>
      </c>
      <c r="C13" s="43" t="s">
        <v>365</v>
      </c>
      <c r="D13" s="11">
        <v>3</v>
      </c>
      <c r="E13" s="11" t="s">
        <v>379</v>
      </c>
    </row>
    <row r="14" spans="1:5" x14ac:dyDescent="0.3">
      <c r="A14" s="11">
        <v>12</v>
      </c>
      <c r="B14" s="54">
        <v>45973</v>
      </c>
      <c r="C14" s="43" t="s">
        <v>365</v>
      </c>
      <c r="D14" s="11">
        <v>3</v>
      </c>
      <c r="E14" s="11" t="s">
        <v>379</v>
      </c>
    </row>
    <row r="15" spans="1:5" x14ac:dyDescent="0.3">
      <c r="A15" s="11">
        <v>13</v>
      </c>
      <c r="B15" s="54">
        <v>45974</v>
      </c>
      <c r="C15" s="43" t="s">
        <v>365</v>
      </c>
      <c r="D15" s="11">
        <v>3</v>
      </c>
      <c r="E15" s="11" t="s">
        <v>379</v>
      </c>
    </row>
    <row r="16" spans="1:5" x14ac:dyDescent="0.3">
      <c r="A16" s="11">
        <v>14</v>
      </c>
      <c r="B16" s="54">
        <v>45975</v>
      </c>
      <c r="C16" s="43" t="s">
        <v>365</v>
      </c>
      <c r="D16" s="11">
        <v>3</v>
      </c>
      <c r="E16" s="11" t="s">
        <v>379</v>
      </c>
    </row>
    <row r="17" spans="1:5" x14ac:dyDescent="0.3">
      <c r="A17" s="11">
        <v>15</v>
      </c>
      <c r="B17" s="54">
        <v>45976</v>
      </c>
      <c r="C17" s="43" t="s">
        <v>365</v>
      </c>
      <c r="D17" s="11">
        <v>3</v>
      </c>
      <c r="E17" s="11" t="s">
        <v>379</v>
      </c>
    </row>
    <row r="18" spans="1:5" x14ac:dyDescent="0.3">
      <c r="A18" s="11">
        <v>16</v>
      </c>
      <c r="B18" s="54">
        <v>45977</v>
      </c>
      <c r="C18" s="43" t="s">
        <v>368</v>
      </c>
      <c r="D18" s="11">
        <v>2</v>
      </c>
      <c r="E18" s="11" t="s">
        <v>379</v>
      </c>
    </row>
    <row r="19" spans="1:5" x14ac:dyDescent="0.3">
      <c r="A19" s="11">
        <v>17</v>
      </c>
      <c r="B19" s="54">
        <v>45978</v>
      </c>
      <c r="C19" s="43" t="s">
        <v>365</v>
      </c>
      <c r="D19" s="11">
        <v>3</v>
      </c>
      <c r="E19" s="11" t="s">
        <v>379</v>
      </c>
    </row>
    <row r="20" spans="1:5" x14ac:dyDescent="0.3">
      <c r="A20" s="11">
        <v>18</v>
      </c>
      <c r="B20" s="54">
        <v>45979</v>
      </c>
      <c r="C20" s="43" t="s">
        <v>369</v>
      </c>
      <c r="D20" s="11"/>
      <c r="E20" s="11"/>
    </row>
    <row r="21" spans="1:5" x14ac:dyDescent="0.3">
      <c r="A21" s="11">
        <v>19</v>
      </c>
      <c r="B21" s="54">
        <v>45980</v>
      </c>
      <c r="C21" s="43" t="s">
        <v>369</v>
      </c>
      <c r="D21" s="11"/>
      <c r="E21" s="11"/>
    </row>
    <row r="22" spans="1:5" x14ac:dyDescent="0.3">
      <c r="A22" s="11">
        <v>20</v>
      </c>
      <c r="B22" s="54">
        <v>45981</v>
      </c>
      <c r="C22" s="43" t="s">
        <v>369</v>
      </c>
      <c r="D22" s="11"/>
      <c r="E22" s="11"/>
    </row>
    <row r="23" spans="1:5" x14ac:dyDescent="0.3">
      <c r="A23" s="11">
        <v>21</v>
      </c>
      <c r="B23" s="54">
        <v>45982</v>
      </c>
      <c r="C23" s="43" t="s">
        <v>369</v>
      </c>
      <c r="D23" s="11"/>
      <c r="E23" s="11"/>
    </row>
    <row r="24" spans="1:5" x14ac:dyDescent="0.3">
      <c r="A24" s="11">
        <v>22</v>
      </c>
      <c r="B24" s="54">
        <v>45983</v>
      </c>
      <c r="C24" s="43" t="s">
        <v>369</v>
      </c>
      <c r="D24" s="11"/>
      <c r="E24" s="11"/>
    </row>
    <row r="25" spans="1:5" x14ac:dyDescent="0.3">
      <c r="A25" s="11">
        <v>23</v>
      </c>
      <c r="B25" s="54">
        <v>45984</v>
      </c>
      <c r="C25" s="43" t="s">
        <v>369</v>
      </c>
      <c r="D25" s="11"/>
      <c r="E25" s="11"/>
    </row>
    <row r="26" spans="1:5" x14ac:dyDescent="0.3">
      <c r="A26" s="11">
        <v>24</v>
      </c>
      <c r="B26" s="54">
        <v>45985</v>
      </c>
      <c r="C26" s="43" t="s">
        <v>369</v>
      </c>
      <c r="D26" s="11"/>
      <c r="E26" s="11"/>
    </row>
    <row r="27" spans="1:5" x14ac:dyDescent="0.3">
      <c r="A27" s="11">
        <v>25</v>
      </c>
      <c r="B27" s="54">
        <v>45986</v>
      </c>
      <c r="C27" s="43" t="s">
        <v>369</v>
      </c>
      <c r="D27" s="11"/>
      <c r="E27" s="11"/>
    </row>
    <row r="28" spans="1:5" x14ac:dyDescent="0.3">
      <c r="A28" s="11">
        <v>26</v>
      </c>
      <c r="B28" s="54">
        <v>45987</v>
      </c>
      <c r="C28" s="43" t="s">
        <v>369</v>
      </c>
      <c r="D28" s="11"/>
      <c r="E28" s="11"/>
    </row>
    <row r="29" spans="1:5" x14ac:dyDescent="0.3">
      <c r="A29" s="11">
        <v>27</v>
      </c>
      <c r="B29" s="54">
        <v>45988</v>
      </c>
      <c r="C29" s="43" t="s">
        <v>369</v>
      </c>
      <c r="D29" s="11"/>
      <c r="E29" s="11"/>
    </row>
    <row r="30" spans="1:5" x14ac:dyDescent="0.3">
      <c r="A30" s="11">
        <v>28</v>
      </c>
      <c r="B30" s="54">
        <v>45989</v>
      </c>
      <c r="C30" s="43" t="s">
        <v>369</v>
      </c>
      <c r="D30" s="11"/>
      <c r="E30" s="11"/>
    </row>
    <row r="31" spans="1:5" x14ac:dyDescent="0.3">
      <c r="A31" s="11">
        <v>29</v>
      </c>
      <c r="B31" s="54">
        <v>45990</v>
      </c>
      <c r="C31" s="43" t="s">
        <v>369</v>
      </c>
      <c r="D31" s="11"/>
      <c r="E31" s="11"/>
    </row>
    <row r="32" spans="1:5" x14ac:dyDescent="0.3">
      <c r="A32" s="11">
        <v>30</v>
      </c>
      <c r="B32" s="54">
        <v>45991</v>
      </c>
      <c r="C32" s="43" t="s">
        <v>369</v>
      </c>
      <c r="D32" s="11"/>
      <c r="E32" s="11"/>
    </row>
    <row r="33" spans="1:5" x14ac:dyDescent="0.3">
      <c r="A33" s="11">
        <v>31</v>
      </c>
      <c r="B33" s="54">
        <v>45992</v>
      </c>
      <c r="C33" s="43" t="s">
        <v>368</v>
      </c>
      <c r="D33" s="11">
        <v>2</v>
      </c>
      <c r="E33" s="11" t="s">
        <v>379</v>
      </c>
    </row>
    <row r="34" spans="1:5" x14ac:dyDescent="0.3">
      <c r="A34" s="11">
        <v>32</v>
      </c>
      <c r="B34" s="54">
        <v>45993</v>
      </c>
      <c r="C34" s="43" t="s">
        <v>370</v>
      </c>
      <c r="D34" s="11">
        <v>2</v>
      </c>
      <c r="E34" s="11" t="s">
        <v>379</v>
      </c>
    </row>
    <row r="35" spans="1:5" x14ac:dyDescent="0.3">
      <c r="A35" s="11">
        <v>33</v>
      </c>
      <c r="B35" s="54">
        <v>45994</v>
      </c>
      <c r="C35" s="43" t="s">
        <v>369</v>
      </c>
      <c r="D35" s="11"/>
      <c r="E35" s="11"/>
    </row>
    <row r="36" spans="1:5" x14ac:dyDescent="0.3">
      <c r="A36" s="11">
        <v>34</v>
      </c>
      <c r="B36" s="54">
        <v>45995</v>
      </c>
      <c r="C36" s="43" t="s">
        <v>371</v>
      </c>
      <c r="D36" s="11">
        <v>2</v>
      </c>
      <c r="E36" s="11" t="s">
        <v>379</v>
      </c>
    </row>
    <row r="37" spans="1:5" x14ac:dyDescent="0.3">
      <c r="A37" s="11">
        <v>35</v>
      </c>
      <c r="B37" s="54">
        <v>45996</v>
      </c>
      <c r="C37" s="43" t="s">
        <v>369</v>
      </c>
      <c r="D37" s="11"/>
      <c r="E37" s="11"/>
    </row>
    <row r="38" spans="1:5" x14ac:dyDescent="0.3">
      <c r="A38" s="11">
        <v>36</v>
      </c>
      <c r="B38" s="54">
        <v>45997</v>
      </c>
      <c r="C38" s="43" t="s">
        <v>372</v>
      </c>
      <c r="D38" s="11">
        <v>1</v>
      </c>
      <c r="E38" s="11" t="s">
        <v>379</v>
      </c>
    </row>
    <row r="39" spans="1:5" x14ac:dyDescent="0.3">
      <c r="A39" s="11">
        <v>37</v>
      </c>
      <c r="B39" s="54">
        <v>45998</v>
      </c>
      <c r="C39" s="43" t="s">
        <v>373</v>
      </c>
      <c r="D39" s="11">
        <v>2</v>
      </c>
      <c r="E39" s="11" t="s">
        <v>379</v>
      </c>
    </row>
    <row r="40" spans="1:5" x14ac:dyDescent="0.3">
      <c r="A40" s="11">
        <v>38</v>
      </c>
      <c r="B40" s="54">
        <v>45999</v>
      </c>
      <c r="C40" s="43" t="s">
        <v>369</v>
      </c>
      <c r="D40" s="11"/>
      <c r="E40" s="11"/>
    </row>
    <row r="41" spans="1:5" x14ac:dyDescent="0.3">
      <c r="A41" s="11">
        <v>39</v>
      </c>
      <c r="B41" s="54">
        <v>46000</v>
      </c>
      <c r="C41" s="43" t="s">
        <v>369</v>
      </c>
      <c r="D41" s="11"/>
      <c r="E41" s="11"/>
    </row>
    <row r="42" spans="1:5" x14ac:dyDescent="0.3">
      <c r="A42" s="11">
        <v>40</v>
      </c>
      <c r="B42" s="54">
        <v>46001</v>
      </c>
      <c r="C42" s="43" t="s">
        <v>365</v>
      </c>
      <c r="D42" s="11">
        <v>3</v>
      </c>
      <c r="E42" s="11" t="s">
        <v>374</v>
      </c>
    </row>
    <row r="43" spans="1:5" x14ac:dyDescent="0.3">
      <c r="A43" s="11">
        <v>41</v>
      </c>
      <c r="B43" s="54">
        <v>46002</v>
      </c>
      <c r="C43" s="43" t="s">
        <v>365</v>
      </c>
      <c r="D43" s="11">
        <v>3</v>
      </c>
      <c r="E43" s="11" t="s">
        <v>374</v>
      </c>
    </row>
    <row r="44" spans="1:5" x14ac:dyDescent="0.3">
      <c r="A44" s="11">
        <v>42</v>
      </c>
      <c r="B44" s="54">
        <v>46003</v>
      </c>
      <c r="C44" s="43" t="s">
        <v>365</v>
      </c>
      <c r="D44" s="11">
        <v>3</v>
      </c>
      <c r="E44" s="11" t="s">
        <v>374</v>
      </c>
    </row>
    <row r="45" spans="1:5" x14ac:dyDescent="0.3">
      <c r="A45" s="11">
        <v>43</v>
      </c>
      <c r="B45" s="54">
        <v>46004</v>
      </c>
      <c r="C45" s="43" t="s">
        <v>369</v>
      </c>
      <c r="D45" s="11"/>
      <c r="E45" s="11"/>
    </row>
    <row r="46" spans="1:5" x14ac:dyDescent="0.3">
      <c r="A46" s="11">
        <v>44</v>
      </c>
      <c r="B46" s="54">
        <v>46005</v>
      </c>
      <c r="C46" s="43" t="s">
        <v>375</v>
      </c>
      <c r="D46" s="11"/>
      <c r="E46" s="11"/>
    </row>
    <row r="47" spans="1:5" x14ac:dyDescent="0.3">
      <c r="A47" s="11">
        <v>45</v>
      </c>
      <c r="B47" s="54">
        <v>46006</v>
      </c>
      <c r="C47" s="43" t="s">
        <v>369</v>
      </c>
      <c r="D47" s="11"/>
      <c r="E47" s="11"/>
    </row>
    <row r="48" spans="1:5" x14ac:dyDescent="0.3">
      <c r="A48" s="11">
        <v>46</v>
      </c>
      <c r="B48" s="54">
        <v>46007</v>
      </c>
      <c r="C48" s="43" t="s">
        <v>376</v>
      </c>
      <c r="D48" s="11">
        <v>4</v>
      </c>
      <c r="E48" s="11" t="s">
        <v>374</v>
      </c>
    </row>
    <row r="49" spans="1:5" x14ac:dyDescent="0.3">
      <c r="A49" s="11">
        <v>47</v>
      </c>
      <c r="B49" s="54">
        <v>46008</v>
      </c>
      <c r="C49" s="43" t="s">
        <v>376</v>
      </c>
      <c r="D49" s="11">
        <v>4</v>
      </c>
      <c r="E49" s="11" t="s">
        <v>374</v>
      </c>
    </row>
    <row r="50" spans="1:5" x14ac:dyDescent="0.3">
      <c r="A50" s="11">
        <v>48</v>
      </c>
      <c r="B50" s="54">
        <v>46009</v>
      </c>
      <c r="C50" s="43" t="s">
        <v>376</v>
      </c>
      <c r="D50" s="11">
        <v>4</v>
      </c>
      <c r="E50" s="11" t="s">
        <v>374</v>
      </c>
    </row>
    <row r="51" spans="1:5" x14ac:dyDescent="0.3">
      <c r="A51" s="11">
        <v>49</v>
      </c>
      <c r="B51" s="54">
        <v>46010</v>
      </c>
      <c r="C51" s="43" t="s">
        <v>376</v>
      </c>
      <c r="D51" s="11">
        <v>4</v>
      </c>
      <c r="E51" s="11" t="s">
        <v>374</v>
      </c>
    </row>
    <row r="52" spans="1:5" x14ac:dyDescent="0.3">
      <c r="A52" s="11">
        <v>50</v>
      </c>
      <c r="B52" s="54">
        <v>46011</v>
      </c>
      <c r="C52" s="43" t="s">
        <v>376</v>
      </c>
      <c r="D52" s="11">
        <v>4</v>
      </c>
      <c r="E52" s="11" t="s">
        <v>374</v>
      </c>
    </row>
    <row r="53" spans="1:5" x14ac:dyDescent="0.3">
      <c r="A53" s="11">
        <v>51</v>
      </c>
      <c r="B53" s="54">
        <v>46012</v>
      </c>
      <c r="C53" s="43" t="s">
        <v>369</v>
      </c>
      <c r="D53" s="11"/>
      <c r="E53" s="11"/>
    </row>
    <row r="54" spans="1:5" x14ac:dyDescent="0.3">
      <c r="A54" s="11">
        <v>52</v>
      </c>
      <c r="B54" s="54">
        <v>46013</v>
      </c>
      <c r="C54" s="43" t="s">
        <v>376</v>
      </c>
      <c r="D54" s="11">
        <v>4</v>
      </c>
      <c r="E54" s="11" t="s">
        <v>374</v>
      </c>
    </row>
    <row r="55" spans="1:5" x14ac:dyDescent="0.3">
      <c r="A55" s="11">
        <v>53</v>
      </c>
      <c r="B55" s="54">
        <v>46014</v>
      </c>
      <c r="C55" s="43" t="s">
        <v>376</v>
      </c>
      <c r="D55" s="11">
        <v>4</v>
      </c>
      <c r="E55" s="11" t="s">
        <v>374</v>
      </c>
    </row>
    <row r="56" spans="1:5" x14ac:dyDescent="0.3">
      <c r="A56" s="11">
        <v>54</v>
      </c>
      <c r="B56" s="54">
        <v>46015</v>
      </c>
      <c r="C56" s="43" t="s">
        <v>376</v>
      </c>
      <c r="D56" s="11">
        <v>4</v>
      </c>
      <c r="E56" s="11" t="s">
        <v>374</v>
      </c>
    </row>
    <row r="57" spans="1:5" x14ac:dyDescent="0.3">
      <c r="A57" s="11">
        <v>55</v>
      </c>
      <c r="B57" s="54">
        <v>46016</v>
      </c>
      <c r="C57" s="43" t="s">
        <v>376</v>
      </c>
      <c r="D57" s="11">
        <v>4</v>
      </c>
      <c r="E57" s="11" t="s">
        <v>374</v>
      </c>
    </row>
    <row r="58" spans="1:5" x14ac:dyDescent="0.3">
      <c r="A58" s="11">
        <v>56</v>
      </c>
      <c r="B58" s="54">
        <v>46017</v>
      </c>
      <c r="C58" s="43" t="s">
        <v>369</v>
      </c>
      <c r="D58" s="11"/>
      <c r="E58" s="11"/>
    </row>
    <row r="59" spans="1:5" x14ac:dyDescent="0.3">
      <c r="A59" s="11">
        <v>57</v>
      </c>
      <c r="B59" s="54">
        <v>46018</v>
      </c>
      <c r="C59" s="43" t="s">
        <v>368</v>
      </c>
      <c r="D59" s="11">
        <v>2</v>
      </c>
      <c r="E59" s="11" t="s">
        <v>374</v>
      </c>
    </row>
    <row r="60" spans="1:5" x14ac:dyDescent="0.3">
      <c r="A60" s="11">
        <v>58</v>
      </c>
      <c r="B60" s="54">
        <v>46019</v>
      </c>
      <c r="C60" s="43" t="s">
        <v>369</v>
      </c>
      <c r="D60" s="11"/>
      <c r="E60" s="11"/>
    </row>
    <row r="61" spans="1:5" x14ac:dyDescent="0.3">
      <c r="A61" s="11">
        <v>59</v>
      </c>
      <c r="B61" s="54">
        <v>46020</v>
      </c>
      <c r="C61" s="43" t="s">
        <v>369</v>
      </c>
      <c r="D61" s="11"/>
      <c r="E61" s="11"/>
    </row>
    <row r="62" spans="1:5" x14ac:dyDescent="0.3">
      <c r="A62" s="11">
        <v>60</v>
      </c>
      <c r="B62" s="54">
        <v>46021</v>
      </c>
      <c r="C62" s="43" t="s">
        <v>377</v>
      </c>
      <c r="D62" s="11">
        <v>1</v>
      </c>
      <c r="E62" s="11" t="s">
        <v>374</v>
      </c>
    </row>
    <row r="63" spans="1:5" x14ac:dyDescent="0.3">
      <c r="A63" s="11">
        <v>61</v>
      </c>
      <c r="B63" s="54">
        <v>46022</v>
      </c>
      <c r="C63" s="43"/>
      <c r="D63" s="11"/>
      <c r="E63" s="11"/>
    </row>
    <row r="65" spans="1:5" ht="23.4" x14ac:dyDescent="0.45">
      <c r="A65" s="71" t="s">
        <v>393</v>
      </c>
      <c r="B65" s="72"/>
      <c r="C65" s="72"/>
      <c r="D65" s="72"/>
      <c r="E65" s="73"/>
    </row>
    <row r="66" spans="1:5" x14ac:dyDescent="0.3">
      <c r="A66" s="11">
        <v>1</v>
      </c>
      <c r="B66" s="54">
        <v>46054</v>
      </c>
      <c r="C66" s="43" t="s">
        <v>380</v>
      </c>
      <c r="D66" s="11">
        <v>2</v>
      </c>
      <c r="E66" s="11"/>
    </row>
    <row r="67" spans="1:5" x14ac:dyDescent="0.3">
      <c r="A67" s="11">
        <v>2</v>
      </c>
      <c r="B67" s="54">
        <v>46055</v>
      </c>
      <c r="C67" s="43" t="s">
        <v>382</v>
      </c>
      <c r="D67" s="11"/>
      <c r="E67" s="11"/>
    </row>
    <row r="68" spans="1:5" x14ac:dyDescent="0.3">
      <c r="A68" s="11">
        <v>3</v>
      </c>
      <c r="B68" s="54">
        <v>46056</v>
      </c>
      <c r="C68" s="43" t="s">
        <v>382</v>
      </c>
      <c r="D68" s="11"/>
      <c r="E68" s="11"/>
    </row>
    <row r="69" spans="1:5" x14ac:dyDescent="0.3">
      <c r="A69" s="11">
        <v>4</v>
      </c>
      <c r="B69" s="54">
        <v>46057</v>
      </c>
      <c r="C69" s="43" t="s">
        <v>382</v>
      </c>
      <c r="D69" s="11"/>
      <c r="E69" s="11"/>
    </row>
    <row r="70" spans="1:5" x14ac:dyDescent="0.3">
      <c r="A70" s="11">
        <v>5</v>
      </c>
      <c r="B70" s="54">
        <v>46058</v>
      </c>
      <c r="C70" s="43" t="s">
        <v>381</v>
      </c>
      <c r="D70" s="11">
        <v>2</v>
      </c>
      <c r="E70" s="11"/>
    </row>
    <row r="71" spans="1:5" x14ac:dyDescent="0.3">
      <c r="A71" s="11">
        <v>6</v>
      </c>
      <c r="B71" s="54">
        <v>46059</v>
      </c>
      <c r="C71" s="43" t="s">
        <v>381</v>
      </c>
      <c r="D71" s="11">
        <v>2</v>
      </c>
      <c r="E71" s="11"/>
    </row>
    <row r="72" spans="1:5" x14ac:dyDescent="0.3">
      <c r="A72" s="11">
        <v>7</v>
      </c>
      <c r="B72" s="54">
        <v>46060</v>
      </c>
      <c r="C72" s="43" t="s">
        <v>383</v>
      </c>
      <c r="D72" s="11"/>
      <c r="E72" s="11"/>
    </row>
    <row r="73" spans="1:5" x14ac:dyDescent="0.3">
      <c r="A73" s="11">
        <v>8</v>
      </c>
      <c r="B73" s="54">
        <v>46061</v>
      </c>
      <c r="C73" s="43" t="s">
        <v>384</v>
      </c>
      <c r="D73" s="11">
        <v>2</v>
      </c>
      <c r="E73" s="11"/>
    </row>
    <row r="74" spans="1:5" x14ac:dyDescent="0.3">
      <c r="A74" s="11">
        <v>9</v>
      </c>
      <c r="B74" s="54">
        <v>46062</v>
      </c>
      <c r="C74" s="43" t="s">
        <v>387</v>
      </c>
      <c r="D74" s="11">
        <v>1</v>
      </c>
      <c r="E74" s="11"/>
    </row>
    <row r="75" spans="1:5" x14ac:dyDescent="0.3">
      <c r="A75" s="11">
        <v>10</v>
      </c>
      <c r="B75" s="54">
        <v>46063</v>
      </c>
      <c r="C75" s="43" t="s">
        <v>388</v>
      </c>
      <c r="D75" s="11">
        <v>3</v>
      </c>
      <c r="E75" s="11"/>
    </row>
    <row r="76" spans="1:5" x14ac:dyDescent="0.3">
      <c r="A76" s="11">
        <v>11</v>
      </c>
      <c r="B76" s="54">
        <v>46064</v>
      </c>
      <c r="C76" s="43" t="s">
        <v>382</v>
      </c>
      <c r="D76" s="11"/>
      <c r="E76" s="11"/>
    </row>
    <row r="77" spans="1:5" x14ac:dyDescent="0.3">
      <c r="A77" s="11">
        <v>12</v>
      </c>
      <c r="B77" s="54">
        <v>46065</v>
      </c>
      <c r="C77" s="43" t="s">
        <v>389</v>
      </c>
      <c r="D77" s="11">
        <v>4</v>
      </c>
      <c r="E77" s="11"/>
    </row>
    <row r="78" spans="1:5" x14ac:dyDescent="0.3">
      <c r="A78" s="11">
        <v>13</v>
      </c>
      <c r="B78" s="54">
        <v>46066</v>
      </c>
      <c r="C78" s="43" t="s">
        <v>389</v>
      </c>
      <c r="D78" s="11">
        <v>4</v>
      </c>
      <c r="E78" s="11"/>
    </row>
    <row r="79" spans="1:5" x14ac:dyDescent="0.3">
      <c r="A79" s="11">
        <v>14</v>
      </c>
      <c r="B79" s="54">
        <v>46067</v>
      </c>
      <c r="C79" s="43" t="s">
        <v>391</v>
      </c>
      <c r="D79" s="11">
        <v>6</v>
      </c>
      <c r="E79" s="11"/>
    </row>
    <row r="80" spans="1:5" x14ac:dyDescent="0.3">
      <c r="A80" s="11">
        <v>15</v>
      </c>
      <c r="B80" s="54">
        <v>46068</v>
      </c>
      <c r="C80" s="43" t="s">
        <v>381</v>
      </c>
      <c r="D80" s="11">
        <v>2</v>
      </c>
      <c r="E80" s="11"/>
    </row>
    <row r="81" spans="1:5" x14ac:dyDescent="0.3">
      <c r="A81" s="11">
        <v>16</v>
      </c>
      <c r="B81" s="54">
        <v>46069</v>
      </c>
      <c r="C81" s="43" t="s">
        <v>382</v>
      </c>
      <c r="D81" s="11"/>
      <c r="E81" s="11"/>
    </row>
    <row r="82" spans="1:5" x14ac:dyDescent="0.3">
      <c r="A82" s="11">
        <v>17</v>
      </c>
      <c r="B82" s="54">
        <v>46070</v>
      </c>
      <c r="C82" s="43" t="s">
        <v>392</v>
      </c>
      <c r="D82" s="11">
        <v>5</v>
      </c>
      <c r="E82" s="11"/>
    </row>
    <row r="83" spans="1:5" x14ac:dyDescent="0.3">
      <c r="A83" s="11">
        <v>18</v>
      </c>
      <c r="B83" s="54">
        <v>46071</v>
      </c>
      <c r="C83" s="43" t="s">
        <v>380</v>
      </c>
      <c r="D83" s="11">
        <v>2</v>
      </c>
      <c r="E83" s="11"/>
    </row>
    <row r="84" spans="1:5" x14ac:dyDescent="0.3">
      <c r="A84" s="11">
        <v>19</v>
      </c>
      <c r="B84" s="54">
        <v>46072</v>
      </c>
      <c r="C84" s="43" t="s">
        <v>382</v>
      </c>
      <c r="D84" s="11"/>
      <c r="E84" s="11"/>
    </row>
    <row r="85" spans="1:5" x14ac:dyDescent="0.3">
      <c r="A85" s="11">
        <v>20</v>
      </c>
      <c r="B85" s="54">
        <v>46073</v>
      </c>
      <c r="C85" s="43" t="s">
        <v>382</v>
      </c>
      <c r="D85" s="11"/>
      <c r="E85" s="11"/>
    </row>
    <row r="86" spans="1:5" x14ac:dyDescent="0.3">
      <c r="A86" s="11">
        <v>21</v>
      </c>
      <c r="B86" s="54">
        <v>46074</v>
      </c>
      <c r="C86" s="43" t="s">
        <v>382</v>
      </c>
      <c r="D86" s="11"/>
      <c r="E86" s="11"/>
    </row>
    <row r="87" spans="1:5" x14ac:dyDescent="0.3">
      <c r="A87" s="11">
        <v>22</v>
      </c>
      <c r="B87" s="54">
        <v>46075</v>
      </c>
      <c r="C87" s="43" t="s">
        <v>382</v>
      </c>
      <c r="D87" s="11"/>
      <c r="E87" s="11"/>
    </row>
    <row r="88" spans="1:5" x14ac:dyDescent="0.3">
      <c r="A88" s="11">
        <v>23</v>
      </c>
      <c r="B88" s="54">
        <v>46076</v>
      </c>
      <c r="C88" s="43" t="s">
        <v>382</v>
      </c>
      <c r="D88" s="11"/>
      <c r="E88" s="11"/>
    </row>
    <row r="89" spans="1:5" x14ac:dyDescent="0.3">
      <c r="A89" s="43"/>
      <c r="B89" s="54">
        <v>46077</v>
      </c>
      <c r="C89" s="43" t="s">
        <v>382</v>
      </c>
      <c r="D89" s="11"/>
      <c r="E89" s="11"/>
    </row>
    <row r="90" spans="1:5" x14ac:dyDescent="0.3">
      <c r="A90" s="43"/>
      <c r="B90" s="54">
        <v>46078</v>
      </c>
      <c r="C90" s="43" t="s">
        <v>382</v>
      </c>
      <c r="D90" s="11"/>
      <c r="E90" s="11"/>
    </row>
    <row r="91" spans="1:5" x14ac:dyDescent="0.3">
      <c r="A91" s="43"/>
      <c r="B91" s="54">
        <v>46079</v>
      </c>
      <c r="C91" s="43" t="s">
        <v>382</v>
      </c>
      <c r="D91" s="11"/>
      <c r="E91" s="11"/>
    </row>
    <row r="92" spans="1:5" x14ac:dyDescent="0.3">
      <c r="A92" s="43"/>
      <c r="B92" s="54">
        <v>46080</v>
      </c>
      <c r="C92" s="43" t="s">
        <v>382</v>
      </c>
      <c r="D92" s="11"/>
      <c r="E92" s="11"/>
    </row>
    <row r="93" spans="1:5" x14ac:dyDescent="0.3">
      <c r="A93" s="43"/>
      <c r="B93" s="54">
        <v>46081</v>
      </c>
      <c r="C93" s="43" t="s">
        <v>382</v>
      </c>
      <c r="D93" s="11"/>
      <c r="E93" s="11"/>
    </row>
    <row r="94" spans="1:5" x14ac:dyDescent="0.3">
      <c r="A94" s="43"/>
      <c r="B94" s="54">
        <v>46082</v>
      </c>
      <c r="C94" s="43" t="s">
        <v>382</v>
      </c>
      <c r="D94" s="11"/>
      <c r="E94" s="11"/>
    </row>
    <row r="95" spans="1:5" x14ac:dyDescent="0.3">
      <c r="A95" s="43"/>
      <c r="B95" s="54">
        <v>46083</v>
      </c>
      <c r="C95" s="43" t="s">
        <v>382</v>
      </c>
      <c r="D95" s="11"/>
      <c r="E95" s="11"/>
    </row>
    <row r="96" spans="1:5" x14ac:dyDescent="0.3">
      <c r="A96" s="43"/>
      <c r="B96" s="54">
        <v>46084</v>
      </c>
      <c r="C96" s="43" t="s">
        <v>382</v>
      </c>
      <c r="D96" s="11"/>
      <c r="E96" s="11"/>
    </row>
    <row r="97" spans="1:5" x14ac:dyDescent="0.3">
      <c r="A97" s="43"/>
      <c r="B97" s="54">
        <v>46085</v>
      </c>
      <c r="C97" s="43" t="s">
        <v>382</v>
      </c>
      <c r="D97" s="11"/>
      <c r="E97" s="11"/>
    </row>
    <row r="98" spans="1:5" x14ac:dyDescent="0.3">
      <c r="A98" s="43"/>
      <c r="B98" s="54">
        <v>46086</v>
      </c>
      <c r="C98" s="43" t="s">
        <v>382</v>
      </c>
      <c r="D98" s="11"/>
      <c r="E98" s="11"/>
    </row>
    <row r="99" spans="1:5" x14ac:dyDescent="0.3">
      <c r="A99" s="43"/>
      <c r="B99" s="54">
        <v>46087</v>
      </c>
      <c r="C99" s="43" t="s">
        <v>394</v>
      </c>
      <c r="D99" s="11">
        <v>2</v>
      </c>
      <c r="E99" s="11"/>
    </row>
    <row r="100" spans="1:5" x14ac:dyDescent="0.3">
      <c r="A100" s="43"/>
      <c r="B100" s="54">
        <v>46088</v>
      </c>
      <c r="C100" s="43" t="s">
        <v>395</v>
      </c>
      <c r="D100" s="11">
        <v>3</v>
      </c>
      <c r="E100" s="11"/>
    </row>
    <row r="101" spans="1:5" x14ac:dyDescent="0.3">
      <c r="A101" s="43"/>
      <c r="B101" s="54">
        <v>46089</v>
      </c>
      <c r="C101" s="43" t="s">
        <v>382</v>
      </c>
      <c r="D101" s="11"/>
      <c r="E101" s="11"/>
    </row>
    <row r="102" spans="1:5" x14ac:dyDescent="0.3">
      <c r="A102" s="43"/>
      <c r="B102" s="54">
        <v>46090</v>
      </c>
      <c r="C102" s="43" t="s">
        <v>382</v>
      </c>
      <c r="D102" s="11"/>
      <c r="E102" s="11"/>
    </row>
    <row r="103" spans="1:5" x14ac:dyDescent="0.3">
      <c r="A103" s="43"/>
      <c r="B103" s="54">
        <v>46091</v>
      </c>
      <c r="C103" s="43" t="s">
        <v>382</v>
      </c>
      <c r="D103" s="11"/>
      <c r="E103" s="11"/>
    </row>
    <row r="104" spans="1:5" x14ac:dyDescent="0.3">
      <c r="A104" s="43"/>
      <c r="B104" s="54">
        <v>46092</v>
      </c>
      <c r="C104" s="43" t="s">
        <v>382</v>
      </c>
      <c r="D104" s="11"/>
      <c r="E104" s="11"/>
    </row>
    <row r="105" spans="1:5" x14ac:dyDescent="0.3">
      <c r="A105" s="43"/>
      <c r="B105" s="54">
        <v>46093</v>
      </c>
      <c r="C105" s="43" t="s">
        <v>382</v>
      </c>
      <c r="D105" s="11"/>
      <c r="E105" s="11"/>
    </row>
    <row r="106" spans="1:5" x14ac:dyDescent="0.3">
      <c r="A106" s="43"/>
      <c r="B106" s="54">
        <v>46094</v>
      </c>
      <c r="C106" s="43" t="s">
        <v>382</v>
      </c>
      <c r="D106" s="11"/>
      <c r="E106" s="11"/>
    </row>
    <row r="107" spans="1:5" x14ac:dyDescent="0.3">
      <c r="A107" s="43"/>
      <c r="B107" s="54">
        <v>46095</v>
      </c>
      <c r="C107" s="43" t="s">
        <v>382</v>
      </c>
      <c r="D107" s="11"/>
      <c r="E107" s="11"/>
    </row>
    <row r="108" spans="1:5" x14ac:dyDescent="0.3">
      <c r="A108" s="43"/>
      <c r="B108" s="54">
        <v>46096</v>
      </c>
      <c r="C108" s="43" t="s">
        <v>382</v>
      </c>
      <c r="D108" s="11"/>
      <c r="E108" s="11"/>
    </row>
    <row r="109" spans="1:5" x14ac:dyDescent="0.3">
      <c r="A109" s="43"/>
      <c r="B109" s="54">
        <v>46097</v>
      </c>
      <c r="C109" s="43" t="s">
        <v>382</v>
      </c>
      <c r="D109" s="11"/>
      <c r="E109" s="11"/>
    </row>
    <row r="110" spans="1:5" x14ac:dyDescent="0.3">
      <c r="A110" s="43"/>
      <c r="B110" s="54">
        <v>46098</v>
      </c>
      <c r="C110" s="43" t="s">
        <v>382</v>
      </c>
      <c r="D110" s="11"/>
      <c r="E110" s="11"/>
    </row>
    <row r="111" spans="1:5" x14ac:dyDescent="0.3">
      <c r="A111" s="43"/>
      <c r="B111" s="54">
        <v>46099</v>
      </c>
      <c r="C111" s="43" t="s">
        <v>382</v>
      </c>
      <c r="D111" s="11"/>
      <c r="E111" s="11"/>
    </row>
    <row r="112" spans="1:5" x14ac:dyDescent="0.3">
      <c r="A112" s="43"/>
      <c r="B112" s="54">
        <v>46100</v>
      </c>
      <c r="C112" s="43" t="s">
        <v>396</v>
      </c>
      <c r="D112" s="11">
        <v>2</v>
      </c>
      <c r="E112" s="11"/>
    </row>
    <row r="113" spans="1:5" x14ac:dyDescent="0.3">
      <c r="A113" s="43"/>
      <c r="B113" s="54">
        <v>46101</v>
      </c>
      <c r="C113" s="43" t="s">
        <v>397</v>
      </c>
      <c r="D113" s="11">
        <v>2</v>
      </c>
      <c r="E113" s="11"/>
    </row>
    <row r="114" spans="1:5" x14ac:dyDescent="0.3">
      <c r="A114" s="43"/>
      <c r="B114" s="54">
        <v>46102</v>
      </c>
      <c r="C114" s="43" t="s">
        <v>382</v>
      </c>
      <c r="D114" s="11"/>
      <c r="E114" s="11"/>
    </row>
    <row r="115" spans="1:5" x14ac:dyDescent="0.3">
      <c r="A115" s="43"/>
      <c r="B115" s="54">
        <v>46103</v>
      </c>
      <c r="C115" s="43" t="s">
        <v>382</v>
      </c>
      <c r="D115" s="11"/>
      <c r="E115" s="11"/>
    </row>
    <row r="116" spans="1:5" x14ac:dyDescent="0.3">
      <c r="A116" s="43"/>
      <c r="B116" s="54">
        <v>46104</v>
      </c>
      <c r="C116" s="43" t="s">
        <v>382</v>
      </c>
      <c r="D116" s="11"/>
      <c r="E116" s="11"/>
    </row>
    <row r="117" spans="1:5" x14ac:dyDescent="0.3">
      <c r="A117" s="43"/>
      <c r="B117" s="54">
        <v>46105</v>
      </c>
      <c r="C117" s="43" t="s">
        <v>398</v>
      </c>
      <c r="D117" s="11">
        <v>6</v>
      </c>
      <c r="E117" s="11"/>
    </row>
    <row r="118" spans="1:5" x14ac:dyDescent="0.3">
      <c r="A118" s="43"/>
      <c r="B118" s="54">
        <v>46106</v>
      </c>
      <c r="C118" s="43" t="s">
        <v>399</v>
      </c>
      <c r="D118" s="11">
        <v>4</v>
      </c>
      <c r="E118" s="11"/>
    </row>
    <row r="119" spans="1:5" x14ac:dyDescent="0.3">
      <c r="A119" s="43"/>
      <c r="B119" s="54">
        <v>46107</v>
      </c>
      <c r="C119" s="43" t="s">
        <v>404</v>
      </c>
      <c r="D119" s="11">
        <v>2</v>
      </c>
      <c r="E119" s="11"/>
    </row>
    <row r="120" spans="1:5" x14ac:dyDescent="0.3">
      <c r="A120" s="43"/>
      <c r="B120" s="54">
        <v>46108</v>
      </c>
      <c r="C120" s="43" t="s">
        <v>406</v>
      </c>
      <c r="D120" s="11">
        <v>7</v>
      </c>
      <c r="E120" s="11"/>
    </row>
    <row r="121" spans="1:5" x14ac:dyDescent="0.3">
      <c r="A121" s="43"/>
      <c r="B121" s="54">
        <v>46109</v>
      </c>
      <c r="C121" s="43" t="s">
        <v>407</v>
      </c>
      <c r="D121" s="11">
        <v>5</v>
      </c>
      <c r="E121" s="11"/>
    </row>
    <row r="122" spans="1:5" x14ac:dyDescent="0.3">
      <c r="A122" s="43"/>
      <c r="B122" s="54">
        <v>46110</v>
      </c>
      <c r="C122" s="43" t="s">
        <v>409</v>
      </c>
      <c r="D122" s="11">
        <v>5</v>
      </c>
      <c r="E122" s="11"/>
    </row>
    <row r="123" spans="1:5" x14ac:dyDescent="0.3">
      <c r="A123" s="43"/>
      <c r="B123" s="54">
        <v>46111</v>
      </c>
      <c r="C123" s="43" t="s">
        <v>413</v>
      </c>
      <c r="D123" s="11">
        <v>3</v>
      </c>
      <c r="E123" s="11"/>
    </row>
    <row r="124" spans="1:5" x14ac:dyDescent="0.3">
      <c r="A124" s="43"/>
      <c r="B124" s="54">
        <v>46112</v>
      </c>
      <c r="C124" s="43" t="s">
        <v>415</v>
      </c>
      <c r="D124" s="11">
        <v>5</v>
      </c>
      <c r="E124" s="11"/>
    </row>
    <row r="125" spans="1:5" x14ac:dyDescent="0.3">
      <c r="A125" s="43"/>
      <c r="B125" s="54">
        <v>46113</v>
      </c>
      <c r="C125" s="43" t="s">
        <v>417</v>
      </c>
      <c r="D125" s="11">
        <v>3</v>
      </c>
      <c r="E125" s="11"/>
    </row>
    <row r="126" spans="1:5" x14ac:dyDescent="0.3">
      <c r="A126" s="43"/>
      <c r="B126" s="54">
        <v>46114</v>
      </c>
      <c r="C126" s="43" t="s">
        <v>382</v>
      </c>
      <c r="D126" s="11"/>
      <c r="E126" s="11"/>
    </row>
    <row r="127" spans="1:5" x14ac:dyDescent="0.3">
      <c r="A127" s="43"/>
      <c r="B127" s="54">
        <v>46115</v>
      </c>
      <c r="C127" s="43" t="s">
        <v>418</v>
      </c>
      <c r="D127" s="11">
        <v>3</v>
      </c>
      <c r="E127" s="11"/>
    </row>
    <row r="128" spans="1:5" x14ac:dyDescent="0.3">
      <c r="A128" s="43"/>
      <c r="B128" s="54">
        <v>46116</v>
      </c>
      <c r="C128" s="43" t="s">
        <v>421</v>
      </c>
      <c r="D128" s="11">
        <v>4</v>
      </c>
      <c r="E128" s="11"/>
    </row>
    <row r="129" spans="1:5" x14ac:dyDescent="0.3">
      <c r="A129" s="43"/>
      <c r="B129" s="54">
        <v>46117</v>
      </c>
      <c r="C129" s="43" t="s">
        <v>422</v>
      </c>
      <c r="D129" s="11">
        <v>2</v>
      </c>
      <c r="E129" s="11"/>
    </row>
    <row r="130" spans="1:5" x14ac:dyDescent="0.3">
      <c r="A130" s="43"/>
      <c r="B130" s="54">
        <v>46118</v>
      </c>
      <c r="C130" s="43" t="s">
        <v>423</v>
      </c>
      <c r="D130" s="11">
        <v>3</v>
      </c>
      <c r="E130" s="11"/>
    </row>
    <row r="131" spans="1:5" x14ac:dyDescent="0.3">
      <c r="A131" s="43"/>
      <c r="B131" s="54">
        <v>46119</v>
      </c>
      <c r="C131" s="43" t="s">
        <v>415</v>
      </c>
      <c r="D131" s="11">
        <v>5</v>
      </c>
      <c r="E131" s="11"/>
    </row>
    <row r="132" spans="1:5" x14ac:dyDescent="0.3">
      <c r="A132" s="43"/>
      <c r="B132" s="54">
        <v>46120</v>
      </c>
      <c r="C132" s="43" t="s">
        <v>424</v>
      </c>
      <c r="D132" s="11">
        <v>2</v>
      </c>
      <c r="E132" s="11"/>
    </row>
    <row r="133" spans="1:5" x14ac:dyDescent="0.3">
      <c r="A133" s="43"/>
      <c r="B133" s="54">
        <v>46121</v>
      </c>
      <c r="C133" s="43" t="s">
        <v>425</v>
      </c>
      <c r="D133" s="11">
        <v>3</v>
      </c>
      <c r="E133" s="11"/>
    </row>
    <row r="134" spans="1:5" x14ac:dyDescent="0.3">
      <c r="A134" s="43"/>
      <c r="B134" s="54">
        <v>46122</v>
      </c>
      <c r="C134" s="43" t="s">
        <v>426</v>
      </c>
      <c r="D134" s="11">
        <v>3</v>
      </c>
      <c r="E134" s="11"/>
    </row>
    <row r="135" spans="1:5" x14ac:dyDescent="0.3">
      <c r="A135" s="43"/>
      <c r="B135" s="54">
        <v>46123</v>
      </c>
      <c r="C135" s="43" t="s">
        <v>428</v>
      </c>
      <c r="D135" s="11">
        <v>4</v>
      </c>
      <c r="E135" s="11"/>
    </row>
    <row r="136" spans="1:5" x14ac:dyDescent="0.3">
      <c r="A136" s="43"/>
      <c r="B136" s="54">
        <v>46124</v>
      </c>
      <c r="C136" s="43" t="s">
        <v>429</v>
      </c>
      <c r="D136" s="11">
        <v>3</v>
      </c>
      <c r="E136" s="11"/>
    </row>
    <row r="137" spans="1:5" x14ac:dyDescent="0.3">
      <c r="A137" s="43"/>
      <c r="B137" s="54">
        <v>46125</v>
      </c>
      <c r="C137" s="43" t="s">
        <v>430</v>
      </c>
      <c r="D137" s="11">
        <v>3</v>
      </c>
      <c r="E137" s="11"/>
    </row>
    <row r="138" spans="1:5" x14ac:dyDescent="0.3">
      <c r="A138" s="43"/>
      <c r="B138" s="54">
        <v>46126</v>
      </c>
      <c r="C138" s="43" t="s">
        <v>432</v>
      </c>
      <c r="D138" s="11">
        <v>3</v>
      </c>
      <c r="E138" s="11"/>
    </row>
    <row r="139" spans="1:5" x14ac:dyDescent="0.3">
      <c r="A139" s="43"/>
      <c r="B139" s="54">
        <v>46127</v>
      </c>
      <c r="C139" s="43" t="s">
        <v>435</v>
      </c>
      <c r="D139" s="11">
        <v>6</v>
      </c>
      <c r="E139" s="11"/>
    </row>
    <row r="140" spans="1:5" x14ac:dyDescent="0.3">
      <c r="A140" s="43"/>
      <c r="B140" s="54">
        <v>46128</v>
      </c>
      <c r="C140" s="43" t="s">
        <v>437</v>
      </c>
      <c r="D140" s="11">
        <v>3</v>
      </c>
      <c r="E140" s="11"/>
    </row>
    <row r="141" spans="1:5" x14ac:dyDescent="0.3">
      <c r="A141" s="43"/>
      <c r="B141" s="54">
        <v>46129</v>
      </c>
      <c r="C141" s="43" t="s">
        <v>438</v>
      </c>
      <c r="D141" s="11">
        <v>8</v>
      </c>
      <c r="E141" s="11"/>
    </row>
    <row r="142" spans="1:5" x14ac:dyDescent="0.3">
      <c r="A142" s="43"/>
      <c r="B142" s="54">
        <v>46130</v>
      </c>
      <c r="C142" s="43" t="s">
        <v>439</v>
      </c>
      <c r="D142" s="11">
        <v>9</v>
      </c>
      <c r="E142" s="11"/>
    </row>
    <row r="143" spans="1:5" x14ac:dyDescent="0.3">
      <c r="A143" s="43"/>
      <c r="B143" s="54">
        <v>46131</v>
      </c>
      <c r="C143" s="43" t="s">
        <v>440</v>
      </c>
      <c r="D143" s="11">
        <v>10</v>
      </c>
      <c r="E143" s="11"/>
    </row>
    <row r="144" spans="1:5" x14ac:dyDescent="0.3">
      <c r="A144" s="43"/>
      <c r="B144" s="54">
        <v>46132</v>
      </c>
      <c r="C144" s="43" t="s">
        <v>440</v>
      </c>
      <c r="D144" s="11">
        <v>10</v>
      </c>
      <c r="E144" s="11"/>
    </row>
    <row r="145" spans="1:5" x14ac:dyDescent="0.3">
      <c r="A145" s="43"/>
      <c r="B145" s="54">
        <v>46133</v>
      </c>
      <c r="C145" s="43" t="s">
        <v>442</v>
      </c>
      <c r="D145" s="11">
        <v>1</v>
      </c>
      <c r="E145" s="11"/>
    </row>
    <row r="146" spans="1:5" x14ac:dyDescent="0.3">
      <c r="A146" s="43"/>
      <c r="B146" s="54">
        <v>46134</v>
      </c>
      <c r="C146" s="43" t="s">
        <v>443</v>
      </c>
      <c r="D146" s="11">
        <v>11</v>
      </c>
      <c r="E146" s="11"/>
    </row>
    <row r="147" spans="1:5" x14ac:dyDescent="0.3">
      <c r="A147" s="43"/>
      <c r="B147" s="54">
        <v>46135</v>
      </c>
      <c r="C147" s="43" t="s">
        <v>439</v>
      </c>
      <c r="D147" s="11">
        <v>9</v>
      </c>
      <c r="E147" s="11"/>
    </row>
    <row r="148" spans="1:5" x14ac:dyDescent="0.3">
      <c r="A148" s="43"/>
      <c r="B148" s="54">
        <v>46136</v>
      </c>
      <c r="C148" s="43" t="s">
        <v>444</v>
      </c>
      <c r="D148" s="11">
        <v>7</v>
      </c>
      <c r="E148" s="11"/>
    </row>
    <row r="149" spans="1:5" x14ac:dyDescent="0.3">
      <c r="A149" s="43"/>
      <c r="B149" s="54">
        <v>46137</v>
      </c>
      <c r="C149" s="43" t="s">
        <v>445</v>
      </c>
      <c r="D149" s="11">
        <v>8</v>
      </c>
      <c r="E149" s="11"/>
    </row>
    <row r="150" spans="1:5" x14ac:dyDescent="0.3">
      <c r="A150" s="43"/>
      <c r="B150" s="54">
        <v>46138</v>
      </c>
      <c r="C150" s="43" t="s">
        <v>444</v>
      </c>
      <c r="D150" s="11">
        <v>7</v>
      </c>
      <c r="E150" s="11"/>
    </row>
    <row r="151" spans="1:5" x14ac:dyDescent="0.3">
      <c r="A151" s="43"/>
      <c r="B151" s="54">
        <v>46139</v>
      </c>
      <c r="C151" s="43" t="s">
        <v>446</v>
      </c>
      <c r="D151" s="11">
        <v>1</v>
      </c>
      <c r="E151" s="11"/>
    </row>
    <row r="152" spans="1:5" x14ac:dyDescent="0.3">
      <c r="A152" s="43"/>
      <c r="B152" s="54">
        <v>46140</v>
      </c>
      <c r="C152" s="43"/>
      <c r="D152" s="11"/>
      <c r="E152" s="11"/>
    </row>
    <row r="153" spans="1:5" x14ac:dyDescent="0.3">
      <c r="A153" s="43"/>
      <c r="B153" s="54">
        <v>46141</v>
      </c>
      <c r="C153" s="43"/>
      <c r="D153" s="11"/>
      <c r="E153" s="11"/>
    </row>
    <row r="154" spans="1:5" x14ac:dyDescent="0.3">
      <c r="A154" s="43"/>
      <c r="B154" s="54">
        <v>46142</v>
      </c>
      <c r="C154" s="43" t="s">
        <v>448</v>
      </c>
      <c r="D154" s="11">
        <v>1</v>
      </c>
      <c r="E154" s="11"/>
    </row>
    <row r="155" spans="1:5" x14ac:dyDescent="0.3">
      <c r="A155" s="43"/>
      <c r="B155" s="54">
        <v>46143</v>
      </c>
      <c r="C155" s="43" t="s">
        <v>449</v>
      </c>
      <c r="D155" s="11">
        <v>2</v>
      </c>
      <c r="E155" s="11"/>
    </row>
    <row r="156" spans="1:5" x14ac:dyDescent="0.3">
      <c r="A156" s="43"/>
      <c r="B156" s="54">
        <v>46144</v>
      </c>
      <c r="C156" s="43"/>
      <c r="D156" s="11"/>
      <c r="E156" s="11"/>
    </row>
    <row r="157" spans="1:5" x14ac:dyDescent="0.3">
      <c r="A157" s="43"/>
      <c r="B157" s="54">
        <v>46145</v>
      </c>
      <c r="C157" s="43"/>
      <c r="D157" s="11"/>
      <c r="E157" s="11"/>
    </row>
    <row r="158" spans="1:5" x14ac:dyDescent="0.3">
      <c r="A158" s="43"/>
      <c r="B158" s="54">
        <v>46146</v>
      </c>
      <c r="C158" s="43"/>
      <c r="D158" s="11"/>
      <c r="E158" s="11"/>
    </row>
    <row r="159" spans="1:5" x14ac:dyDescent="0.3">
      <c r="A159" s="43"/>
      <c r="B159" s="54">
        <v>46147</v>
      </c>
      <c r="C159" s="43"/>
      <c r="D159" s="11"/>
      <c r="E159" s="11"/>
    </row>
    <row r="160" spans="1:5" x14ac:dyDescent="0.3">
      <c r="A160" s="43"/>
      <c r="B160" s="54">
        <v>46148</v>
      </c>
      <c r="C160" s="43" t="s">
        <v>451</v>
      </c>
      <c r="D160" s="11">
        <v>3</v>
      </c>
      <c r="E160" s="11"/>
    </row>
    <row r="161" spans="1:5" x14ac:dyDescent="0.3">
      <c r="A161" s="43"/>
      <c r="B161" s="54">
        <v>46149</v>
      </c>
      <c r="C161" s="43" t="s">
        <v>451</v>
      </c>
      <c r="D161" s="11">
        <v>3</v>
      </c>
      <c r="E161" s="11"/>
    </row>
    <row r="162" spans="1:5" x14ac:dyDescent="0.3">
      <c r="A162" s="43"/>
      <c r="B162" s="54">
        <v>46150</v>
      </c>
      <c r="C162" s="43"/>
      <c r="D162" s="11"/>
      <c r="E162" s="11"/>
    </row>
    <row r="163" spans="1:5" x14ac:dyDescent="0.3">
      <c r="A163" s="43"/>
      <c r="B163" s="54">
        <v>46151</v>
      </c>
      <c r="C163" s="43"/>
      <c r="D163" s="11"/>
      <c r="E163" s="11"/>
    </row>
    <row r="164" spans="1:5" x14ac:dyDescent="0.3">
      <c r="A164" s="43"/>
      <c r="B164" s="54">
        <v>46152</v>
      </c>
      <c r="C164" s="43"/>
      <c r="D164" s="11"/>
      <c r="E164" s="11"/>
    </row>
    <row r="165" spans="1:5" x14ac:dyDescent="0.3">
      <c r="A165" s="43"/>
      <c r="B165" s="54">
        <v>46153</v>
      </c>
      <c r="C165" s="43"/>
      <c r="D165" s="11"/>
      <c r="E165" s="11"/>
    </row>
    <row r="166" spans="1:5" x14ac:dyDescent="0.3">
      <c r="A166" s="43"/>
      <c r="B166" s="54">
        <v>46154</v>
      </c>
      <c r="C166" s="43"/>
      <c r="D166" s="11"/>
      <c r="E166" s="11"/>
    </row>
    <row r="167" spans="1:5" x14ac:dyDescent="0.3">
      <c r="A167" s="43"/>
      <c r="B167" s="54">
        <v>46155</v>
      </c>
      <c r="C167" s="43"/>
      <c r="D167" s="11"/>
      <c r="E167" s="11"/>
    </row>
    <row r="168" spans="1:5" x14ac:dyDescent="0.3">
      <c r="A168" s="43"/>
      <c r="B168" s="54">
        <v>46156</v>
      </c>
      <c r="C168" s="43"/>
      <c r="D168" s="11"/>
      <c r="E168" s="11"/>
    </row>
    <row r="169" spans="1:5" x14ac:dyDescent="0.3">
      <c r="A169" s="43"/>
      <c r="B169" s="54">
        <v>46157</v>
      </c>
      <c r="C169" s="43"/>
      <c r="D169" s="11"/>
      <c r="E169" s="11"/>
    </row>
    <row r="170" spans="1:5" x14ac:dyDescent="0.3">
      <c r="A170" s="43"/>
      <c r="B170" s="54">
        <v>46158</v>
      </c>
      <c r="C170" s="43"/>
      <c r="D170" s="11"/>
      <c r="E170" s="11"/>
    </row>
    <row r="171" spans="1:5" x14ac:dyDescent="0.3">
      <c r="A171" s="43"/>
      <c r="B171" s="54">
        <v>46159</v>
      </c>
      <c r="C171" s="43"/>
      <c r="D171" s="11"/>
      <c r="E171" s="11"/>
    </row>
    <row r="172" spans="1:5" x14ac:dyDescent="0.3">
      <c r="A172" s="43"/>
      <c r="B172" s="54">
        <v>46160</v>
      </c>
      <c r="C172" s="43" t="s">
        <v>485</v>
      </c>
      <c r="D172" s="11">
        <v>1</v>
      </c>
      <c r="E172" s="11"/>
    </row>
    <row r="173" spans="1:5" x14ac:dyDescent="0.3">
      <c r="A173" s="43"/>
      <c r="B173" s="54">
        <v>46161</v>
      </c>
      <c r="C173" s="43" t="s">
        <v>486</v>
      </c>
      <c r="D173" s="11">
        <v>3</v>
      </c>
      <c r="E173" s="11"/>
    </row>
    <row r="174" spans="1:5" x14ac:dyDescent="0.3">
      <c r="A174" s="43"/>
      <c r="B174" s="54">
        <v>46162</v>
      </c>
      <c r="C174" s="43" t="s">
        <v>487</v>
      </c>
      <c r="D174" s="11">
        <v>3</v>
      </c>
      <c r="E174" s="11"/>
    </row>
    <row r="175" spans="1:5" x14ac:dyDescent="0.3">
      <c r="A175" s="43"/>
      <c r="B175" s="54">
        <v>46163</v>
      </c>
      <c r="C175" s="43"/>
      <c r="D175" s="11"/>
      <c r="E175" s="11"/>
    </row>
    <row r="176" spans="1:5" x14ac:dyDescent="0.3">
      <c r="A176" s="43"/>
      <c r="B176" s="54">
        <v>46164</v>
      </c>
      <c r="C176" s="43"/>
      <c r="D176" s="11"/>
      <c r="E176" s="11"/>
    </row>
    <row r="177" spans="1:5" x14ac:dyDescent="0.3">
      <c r="A177" s="43"/>
      <c r="B177" s="54">
        <v>46165</v>
      </c>
      <c r="C177" s="43"/>
      <c r="D177" s="11"/>
      <c r="E177" s="11"/>
    </row>
    <row r="178" spans="1:5" x14ac:dyDescent="0.3">
      <c r="A178" s="43"/>
      <c r="B178" s="54">
        <v>46166</v>
      </c>
      <c r="C178" s="43"/>
      <c r="D178" s="11"/>
      <c r="E178" s="11"/>
    </row>
    <row r="179" spans="1:5" x14ac:dyDescent="0.3">
      <c r="A179" s="43"/>
      <c r="B179" s="54">
        <v>46167</v>
      </c>
      <c r="C179" s="43"/>
      <c r="D179" s="11"/>
      <c r="E179" s="11"/>
    </row>
    <row r="180" spans="1:5" x14ac:dyDescent="0.3">
      <c r="A180" s="43"/>
      <c r="B180" s="54">
        <v>46168</v>
      </c>
      <c r="C180" s="43"/>
      <c r="D180" s="11"/>
      <c r="E180" s="11"/>
    </row>
    <row r="181" spans="1:5" x14ac:dyDescent="0.3">
      <c r="A181" s="43"/>
      <c r="B181" s="54">
        <v>46169</v>
      </c>
      <c r="C181" s="43"/>
      <c r="D181" s="11"/>
      <c r="E181" s="11"/>
    </row>
    <row r="182" spans="1:5" x14ac:dyDescent="0.3">
      <c r="A182" s="43"/>
      <c r="B182" s="54">
        <v>46170</v>
      </c>
      <c r="C182" s="43"/>
      <c r="D182" s="11"/>
      <c r="E182" s="11"/>
    </row>
    <row r="183" spans="1:5" x14ac:dyDescent="0.3">
      <c r="A183" s="43"/>
      <c r="B183" s="54">
        <v>46171</v>
      </c>
      <c r="C183" s="43"/>
      <c r="D183" s="11"/>
      <c r="E183" s="11"/>
    </row>
    <row r="184" spans="1:5" x14ac:dyDescent="0.3">
      <c r="A184" s="43"/>
      <c r="B184" s="54">
        <v>46172</v>
      </c>
      <c r="C184" s="43"/>
      <c r="D184" s="11"/>
      <c r="E184" s="11"/>
    </row>
    <row r="185" spans="1:5" x14ac:dyDescent="0.3">
      <c r="A185" s="43"/>
      <c r="B185" s="54">
        <v>46173</v>
      </c>
      <c r="C185" s="43" t="s">
        <v>491</v>
      </c>
      <c r="D185" s="11">
        <v>3</v>
      </c>
      <c r="E185" s="11"/>
    </row>
    <row r="186" spans="1:5" x14ac:dyDescent="0.3">
      <c r="A186" s="43"/>
      <c r="B186" s="54">
        <v>46174</v>
      </c>
      <c r="C186" s="43" t="s">
        <v>492</v>
      </c>
      <c r="D186" s="11">
        <v>8</v>
      </c>
      <c r="E186" s="11"/>
    </row>
    <row r="187" spans="1:5" x14ac:dyDescent="0.3">
      <c r="A187" s="43"/>
      <c r="B187" s="54">
        <v>46175</v>
      </c>
      <c r="C187" s="43" t="s">
        <v>493</v>
      </c>
      <c r="D187" s="11">
        <v>5</v>
      </c>
      <c r="E187" s="11"/>
    </row>
    <row r="188" spans="1:5" x14ac:dyDescent="0.3">
      <c r="A188" s="43"/>
      <c r="B188" s="54">
        <v>46176</v>
      </c>
      <c r="C188" s="43" t="s">
        <v>494</v>
      </c>
      <c r="D188" s="11">
        <v>7</v>
      </c>
      <c r="E188" s="11"/>
    </row>
    <row r="189" spans="1:5" x14ac:dyDescent="0.3">
      <c r="A189" s="43"/>
      <c r="B189" s="54">
        <v>46177</v>
      </c>
      <c r="C189" s="43" t="s">
        <v>495</v>
      </c>
      <c r="D189" s="11">
        <v>9</v>
      </c>
      <c r="E189" s="11"/>
    </row>
    <row r="190" spans="1:5" x14ac:dyDescent="0.3">
      <c r="A190" s="43"/>
      <c r="B190" s="54">
        <v>46178</v>
      </c>
      <c r="C190" s="43" t="s">
        <v>496</v>
      </c>
      <c r="D190" s="11">
        <v>8</v>
      </c>
      <c r="E190" s="11"/>
    </row>
    <row r="191" spans="1:5" x14ac:dyDescent="0.3">
      <c r="A191" s="43"/>
      <c r="B191" s="54">
        <v>46179</v>
      </c>
      <c r="C191" s="43" t="s">
        <v>497</v>
      </c>
      <c r="D191" s="11"/>
      <c r="E191" s="11"/>
    </row>
    <row r="192" spans="1:5" x14ac:dyDescent="0.3">
      <c r="A192" s="43"/>
      <c r="B192" s="54">
        <v>46180</v>
      </c>
      <c r="C192" s="43"/>
      <c r="D192" s="11"/>
      <c r="E192" s="11"/>
    </row>
    <row r="193" spans="1:5" x14ac:dyDescent="0.3">
      <c r="A193" s="43"/>
      <c r="B193" s="54">
        <v>46181</v>
      </c>
      <c r="C193" s="43"/>
      <c r="D193" s="11"/>
      <c r="E193" s="11"/>
    </row>
    <row r="194" spans="1:5" x14ac:dyDescent="0.3">
      <c r="A194" s="43"/>
      <c r="B194" s="54">
        <v>46182</v>
      </c>
      <c r="C194" s="43"/>
      <c r="D194" s="11"/>
      <c r="E194" s="11"/>
    </row>
    <row r="195" spans="1:5" x14ac:dyDescent="0.3">
      <c r="A195" s="43"/>
      <c r="B195" s="54">
        <v>46183</v>
      </c>
      <c r="C195" s="43"/>
      <c r="D195" s="11"/>
      <c r="E195" s="11"/>
    </row>
    <row r="196" spans="1:5" x14ac:dyDescent="0.3">
      <c r="A196" s="43"/>
      <c r="B196" s="54">
        <v>46184</v>
      </c>
      <c r="C196" s="43"/>
      <c r="D196" s="11"/>
      <c r="E196" s="11"/>
    </row>
    <row r="197" spans="1:5" x14ac:dyDescent="0.3">
      <c r="A197" s="43"/>
      <c r="B197" s="54">
        <v>46185</v>
      </c>
      <c r="C197" s="43"/>
      <c r="D197" s="11"/>
      <c r="E197" s="11"/>
    </row>
    <row r="198" spans="1:5" x14ac:dyDescent="0.3">
      <c r="A198" s="43"/>
      <c r="B198" s="54">
        <v>46186</v>
      </c>
      <c r="C198" s="43"/>
      <c r="D198" s="11"/>
      <c r="E198" s="11"/>
    </row>
    <row r="199" spans="1:5" x14ac:dyDescent="0.3">
      <c r="A199" s="43"/>
      <c r="B199" s="54">
        <v>46187</v>
      </c>
      <c r="C199" s="43"/>
      <c r="D199" s="11"/>
      <c r="E199" s="11"/>
    </row>
    <row r="200" spans="1:5" x14ac:dyDescent="0.3">
      <c r="A200" s="43"/>
      <c r="B200" s="54">
        <v>46188</v>
      </c>
      <c r="C200" s="43"/>
      <c r="D200" s="11"/>
      <c r="E200" s="11"/>
    </row>
    <row r="201" spans="1:5" x14ac:dyDescent="0.3">
      <c r="A201" s="43"/>
      <c r="B201" s="54">
        <v>46189</v>
      </c>
      <c r="C201" s="43"/>
      <c r="D201" s="11"/>
      <c r="E201" s="11"/>
    </row>
    <row r="202" spans="1:5" x14ac:dyDescent="0.3">
      <c r="A202" s="43"/>
      <c r="B202" s="54">
        <v>46190</v>
      </c>
      <c r="C202" s="43"/>
      <c r="D202" s="11"/>
      <c r="E202" s="11"/>
    </row>
    <row r="203" spans="1:5" x14ac:dyDescent="0.3">
      <c r="A203" s="43"/>
      <c r="B203" s="54">
        <v>46191</v>
      </c>
      <c r="C203" s="43"/>
      <c r="D203" s="11"/>
      <c r="E203" s="11"/>
    </row>
    <row r="204" spans="1:5" x14ac:dyDescent="0.3">
      <c r="A204" s="43"/>
      <c r="B204" s="54">
        <v>46192</v>
      </c>
      <c r="C204" s="43"/>
      <c r="D204" s="11"/>
      <c r="E204" s="11"/>
    </row>
    <row r="205" spans="1:5" x14ac:dyDescent="0.3">
      <c r="A205" s="43"/>
      <c r="B205" s="54">
        <v>46193</v>
      </c>
      <c r="C205" s="43"/>
      <c r="D205" s="11"/>
      <c r="E205" s="11"/>
    </row>
  </sheetData>
  <mergeCells count="2">
    <mergeCell ref="A1:E1"/>
    <mergeCell ref="A65:E65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3"/>
  <sheetViews>
    <sheetView topLeftCell="A175" workbookViewId="0">
      <selection activeCell="C195" sqref="C195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32.88671875" bestFit="1" customWidth="1"/>
    <col min="4" max="4" width="11.44140625" bestFit="1" customWidth="1"/>
    <col min="5" max="5" width="18.33203125" bestFit="1" customWidth="1"/>
    <col min="9" max="9" width="29.33203125" bestFit="1" customWidth="1"/>
    <col min="10" max="10" width="11.44140625" bestFit="1" customWidth="1"/>
    <col min="11" max="11" width="18.33203125" bestFit="1" customWidth="1"/>
  </cols>
  <sheetData>
    <row r="1" spans="1:5" ht="15" thickBot="1" x14ac:dyDescent="0.35"/>
    <row r="2" spans="1:5" ht="25.8" thickBot="1" x14ac:dyDescent="0.65">
      <c r="A2" s="74" t="s">
        <v>0</v>
      </c>
      <c r="B2" s="75"/>
      <c r="C2" s="75"/>
      <c r="D2" s="75"/>
      <c r="E2" s="77"/>
    </row>
    <row r="3" spans="1:5" ht="15" thickBot="1" x14ac:dyDescent="0.35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</row>
    <row r="4" spans="1:5" x14ac:dyDescent="0.3">
      <c r="A4" s="5">
        <v>1</v>
      </c>
      <c r="B4" s="6">
        <v>44679</v>
      </c>
      <c r="C4" s="7" t="s">
        <v>6</v>
      </c>
      <c r="D4" s="5" t="s">
        <v>7</v>
      </c>
      <c r="E4" s="5">
        <v>3</v>
      </c>
    </row>
    <row r="5" spans="1:5" x14ac:dyDescent="0.3">
      <c r="A5" s="8">
        <v>2</v>
      </c>
      <c r="B5" s="9">
        <v>44680</v>
      </c>
      <c r="C5" s="8" t="s">
        <v>8</v>
      </c>
      <c r="D5" s="8" t="s">
        <v>7</v>
      </c>
      <c r="E5" s="8">
        <v>3</v>
      </c>
    </row>
    <row r="6" spans="1:5" x14ac:dyDescent="0.3">
      <c r="A6" s="8">
        <v>3</v>
      </c>
      <c r="B6" s="9">
        <v>44681</v>
      </c>
      <c r="C6" s="8" t="s">
        <v>8</v>
      </c>
      <c r="D6" s="8" t="s">
        <v>9</v>
      </c>
      <c r="E6" s="8">
        <v>5</v>
      </c>
    </row>
    <row r="7" spans="1:5" ht="15" thickBot="1" x14ac:dyDescent="0.35"/>
    <row r="8" spans="1:5" ht="25.8" thickBot="1" x14ac:dyDescent="0.65">
      <c r="A8" s="74" t="s">
        <v>10</v>
      </c>
      <c r="B8" s="79"/>
      <c r="C8" s="79"/>
      <c r="D8" s="79"/>
      <c r="E8" s="80"/>
    </row>
    <row r="9" spans="1:5" x14ac:dyDescent="0.3">
      <c r="A9" s="1" t="s">
        <v>1</v>
      </c>
      <c r="B9" s="2" t="s">
        <v>2</v>
      </c>
      <c r="C9" s="2" t="s">
        <v>3</v>
      </c>
      <c r="D9" s="1" t="s">
        <v>4</v>
      </c>
      <c r="E9" s="1" t="s">
        <v>5</v>
      </c>
    </row>
    <row r="10" spans="1:5" x14ac:dyDescent="0.3">
      <c r="A10" s="8">
        <v>1</v>
      </c>
      <c r="B10" s="9">
        <v>44682</v>
      </c>
      <c r="C10" s="8" t="s">
        <v>11</v>
      </c>
      <c r="D10" s="8" t="s">
        <v>9</v>
      </c>
      <c r="E10" s="8">
        <v>25</v>
      </c>
    </row>
    <row r="11" spans="1:5" x14ac:dyDescent="0.3">
      <c r="A11" s="12">
        <v>2</v>
      </c>
      <c r="B11" s="13">
        <v>44695</v>
      </c>
      <c r="C11" s="12" t="s">
        <v>11</v>
      </c>
      <c r="D11" s="12" t="s">
        <v>7</v>
      </c>
      <c r="E11" s="12">
        <v>5</v>
      </c>
    </row>
    <row r="12" spans="1:5" x14ac:dyDescent="0.3">
      <c r="A12" s="12">
        <v>3</v>
      </c>
      <c r="B12" s="13">
        <v>44696</v>
      </c>
      <c r="C12" s="12" t="s">
        <v>11</v>
      </c>
      <c r="D12" s="12" t="s">
        <v>7</v>
      </c>
      <c r="E12" s="12">
        <v>20</v>
      </c>
    </row>
    <row r="13" spans="1:5" x14ac:dyDescent="0.3">
      <c r="A13" s="8">
        <v>4</v>
      </c>
      <c r="B13" s="9">
        <v>44702</v>
      </c>
      <c r="C13" s="8" t="s">
        <v>11</v>
      </c>
      <c r="D13" s="8" t="s">
        <v>7</v>
      </c>
      <c r="E13" s="8">
        <v>21</v>
      </c>
    </row>
    <row r="15" spans="1:5" ht="15" thickBot="1" x14ac:dyDescent="0.35"/>
    <row r="16" spans="1:5" ht="25.8" thickBot="1" x14ac:dyDescent="0.65">
      <c r="A16" s="74" t="s">
        <v>75</v>
      </c>
      <c r="B16" s="79"/>
      <c r="C16" s="79"/>
      <c r="D16" s="79"/>
      <c r="E16" s="80"/>
    </row>
    <row r="17" spans="1:7" x14ac:dyDescent="0.3">
      <c r="A17" s="1" t="s">
        <v>1</v>
      </c>
      <c r="B17" s="2" t="s">
        <v>2</v>
      </c>
      <c r="C17" s="2" t="s">
        <v>3</v>
      </c>
      <c r="D17" s="1" t="s">
        <v>4</v>
      </c>
      <c r="E17" s="1" t="s">
        <v>5</v>
      </c>
    </row>
    <row r="18" spans="1:7" x14ac:dyDescent="0.3">
      <c r="A18" s="11">
        <v>1</v>
      </c>
      <c r="B18" s="10">
        <v>44746</v>
      </c>
      <c r="C18" s="11" t="s">
        <v>8</v>
      </c>
      <c r="D18" s="11"/>
      <c r="E18" s="11">
        <v>3</v>
      </c>
    </row>
    <row r="19" spans="1:7" x14ac:dyDescent="0.3">
      <c r="A19" s="11">
        <v>2</v>
      </c>
      <c r="B19" s="10">
        <v>44752</v>
      </c>
      <c r="C19" s="11" t="s">
        <v>8</v>
      </c>
      <c r="D19" s="11"/>
      <c r="E19" s="11">
        <v>4</v>
      </c>
    </row>
    <row r="20" spans="1:7" x14ac:dyDescent="0.3">
      <c r="A20" s="11">
        <v>3</v>
      </c>
      <c r="B20" s="10">
        <v>44773</v>
      </c>
      <c r="C20" s="11" t="s">
        <v>8</v>
      </c>
      <c r="D20" s="11"/>
      <c r="E20" s="11">
        <v>3</v>
      </c>
    </row>
    <row r="21" spans="1:7" x14ac:dyDescent="0.3">
      <c r="A21" s="11"/>
      <c r="B21" s="11"/>
      <c r="C21" s="11"/>
      <c r="D21" s="11"/>
      <c r="E21" s="11"/>
    </row>
    <row r="22" spans="1:7" ht="15" thickBot="1" x14ac:dyDescent="0.35"/>
    <row r="23" spans="1:7" ht="25.8" thickBot="1" x14ac:dyDescent="0.65">
      <c r="A23" s="74" t="s">
        <v>76</v>
      </c>
      <c r="B23" s="79"/>
      <c r="C23" s="79"/>
      <c r="D23" s="79"/>
      <c r="E23" s="80"/>
    </row>
    <row r="24" spans="1:7" x14ac:dyDescent="0.3">
      <c r="A24" s="1" t="s">
        <v>1</v>
      </c>
      <c r="B24" s="2" t="s">
        <v>2</v>
      </c>
      <c r="C24" s="2" t="s">
        <v>3</v>
      </c>
      <c r="D24" s="1" t="s">
        <v>4</v>
      </c>
      <c r="E24" s="1" t="s">
        <v>5</v>
      </c>
    </row>
    <row r="25" spans="1:7" x14ac:dyDescent="0.3">
      <c r="A25" s="11">
        <v>1</v>
      </c>
      <c r="B25" s="10">
        <v>44788</v>
      </c>
      <c r="C25" s="11" t="s">
        <v>44</v>
      </c>
      <c r="D25" s="11"/>
      <c r="E25" s="11" t="s">
        <v>77</v>
      </c>
    </row>
    <row r="26" spans="1:7" x14ac:dyDescent="0.3">
      <c r="A26" s="11"/>
      <c r="B26" s="11"/>
      <c r="C26" s="11"/>
      <c r="D26" s="11"/>
      <c r="E26" s="11"/>
    </row>
    <row r="28" spans="1:7" ht="15" thickBot="1" x14ac:dyDescent="0.35"/>
    <row r="29" spans="1:7" ht="25.8" thickBot="1" x14ac:dyDescent="0.65">
      <c r="A29" s="74" t="s">
        <v>132</v>
      </c>
      <c r="B29" s="79"/>
      <c r="C29" s="79"/>
      <c r="D29" s="79"/>
      <c r="E29" s="80"/>
    </row>
    <row r="30" spans="1:7" x14ac:dyDescent="0.3">
      <c r="A30" s="1" t="s">
        <v>1</v>
      </c>
      <c r="B30" s="2" t="s">
        <v>2</v>
      </c>
      <c r="C30" s="2" t="s">
        <v>3</v>
      </c>
      <c r="D30" s="1" t="s">
        <v>4</v>
      </c>
      <c r="E30" s="1" t="s">
        <v>5</v>
      </c>
    </row>
    <row r="31" spans="1:7" x14ac:dyDescent="0.3">
      <c r="A31" s="11">
        <v>1</v>
      </c>
      <c r="B31" s="10">
        <v>44838</v>
      </c>
      <c r="C31" s="11" t="s">
        <v>46</v>
      </c>
      <c r="D31" s="11" t="s">
        <v>86</v>
      </c>
      <c r="E31" s="11">
        <v>3</v>
      </c>
    </row>
    <row r="32" spans="1:7" x14ac:dyDescent="0.3">
      <c r="A32" s="11">
        <v>2</v>
      </c>
      <c r="B32" s="10">
        <v>44845</v>
      </c>
      <c r="C32" s="11" t="s">
        <v>46</v>
      </c>
      <c r="D32" s="11" t="s">
        <v>95</v>
      </c>
      <c r="E32" s="11" t="s">
        <v>96</v>
      </c>
      <c r="F32" s="29" t="s">
        <v>97</v>
      </c>
      <c r="G32" s="29" t="s">
        <v>98</v>
      </c>
    </row>
    <row r="33" spans="1:5" x14ac:dyDescent="0.3">
      <c r="A33" s="11">
        <v>3</v>
      </c>
      <c r="B33" s="10">
        <v>44848</v>
      </c>
      <c r="C33" s="11" t="s">
        <v>105</v>
      </c>
      <c r="D33" s="11" t="s">
        <v>86</v>
      </c>
      <c r="E33" s="11" t="s">
        <v>106</v>
      </c>
    </row>
    <row r="34" spans="1:5" x14ac:dyDescent="0.3">
      <c r="A34" s="11">
        <v>4</v>
      </c>
      <c r="B34" s="10">
        <v>44850</v>
      </c>
      <c r="C34" s="11" t="s">
        <v>112</v>
      </c>
      <c r="D34" s="11" t="s">
        <v>86</v>
      </c>
      <c r="E34" s="11" t="s">
        <v>94</v>
      </c>
    </row>
    <row r="35" spans="1:5" x14ac:dyDescent="0.3">
      <c r="A35" s="11">
        <v>5</v>
      </c>
      <c r="B35" s="10">
        <v>44878</v>
      </c>
      <c r="C35" s="11" t="s">
        <v>112</v>
      </c>
      <c r="D35" s="11" t="s">
        <v>7</v>
      </c>
      <c r="E35" s="11" t="s">
        <v>122</v>
      </c>
    </row>
    <row r="36" spans="1:5" x14ac:dyDescent="0.3">
      <c r="A36" s="11">
        <v>6</v>
      </c>
      <c r="B36" s="10">
        <v>44882</v>
      </c>
      <c r="C36" s="11" t="s">
        <v>112</v>
      </c>
      <c r="D36" s="11" t="s">
        <v>7</v>
      </c>
      <c r="E36" s="11" t="s">
        <v>125</v>
      </c>
    </row>
    <row r="37" spans="1:5" x14ac:dyDescent="0.3">
      <c r="A37" s="11">
        <v>7</v>
      </c>
      <c r="B37" s="10">
        <v>44883</v>
      </c>
      <c r="C37" s="11" t="s">
        <v>112</v>
      </c>
      <c r="D37" s="11" t="s">
        <v>7</v>
      </c>
      <c r="E37" s="11" t="s">
        <v>94</v>
      </c>
    </row>
    <row r="38" spans="1:5" x14ac:dyDescent="0.3">
      <c r="A38" s="11">
        <v>8</v>
      </c>
      <c r="B38" s="10">
        <v>44884</v>
      </c>
      <c r="C38" s="11" t="s">
        <v>112</v>
      </c>
      <c r="D38" s="11" t="s">
        <v>7</v>
      </c>
      <c r="E38" s="11" t="s">
        <v>64</v>
      </c>
    </row>
    <row r="39" spans="1:5" x14ac:dyDescent="0.3">
      <c r="A39" s="11">
        <v>9</v>
      </c>
      <c r="B39" s="10">
        <v>44885</v>
      </c>
      <c r="C39" s="11" t="s">
        <v>112</v>
      </c>
      <c r="D39" s="11" t="s">
        <v>7</v>
      </c>
      <c r="E39" s="11" t="s">
        <v>64</v>
      </c>
    </row>
    <row r="40" spans="1:5" x14ac:dyDescent="0.3">
      <c r="A40" s="11"/>
      <c r="B40" s="11"/>
      <c r="C40" s="11"/>
      <c r="D40" s="11"/>
      <c r="E40" s="11"/>
    </row>
    <row r="41" spans="1:5" ht="15" thickBot="1" x14ac:dyDescent="0.35"/>
    <row r="42" spans="1:5" ht="25.8" thickBot="1" x14ac:dyDescent="0.65">
      <c r="A42" s="74" t="s">
        <v>133</v>
      </c>
      <c r="B42" s="79"/>
      <c r="C42" s="79"/>
      <c r="D42" s="79"/>
      <c r="E42" s="80"/>
    </row>
    <row r="43" spans="1:5" x14ac:dyDescent="0.3">
      <c r="A43" s="1" t="s">
        <v>1</v>
      </c>
      <c r="B43" s="2" t="s">
        <v>2</v>
      </c>
      <c r="C43" s="2" t="s">
        <v>3</v>
      </c>
      <c r="D43" s="1" t="s">
        <v>4</v>
      </c>
      <c r="E43" s="1" t="s">
        <v>5</v>
      </c>
    </row>
    <row r="44" spans="1:5" x14ac:dyDescent="0.3">
      <c r="A44" s="11">
        <v>1</v>
      </c>
      <c r="B44" s="10">
        <v>44911</v>
      </c>
      <c r="C44" s="11" t="s">
        <v>118</v>
      </c>
      <c r="D44" s="11" t="s">
        <v>7</v>
      </c>
      <c r="E44" s="11" t="s">
        <v>96</v>
      </c>
    </row>
    <row r="45" spans="1:5" x14ac:dyDescent="0.3">
      <c r="A45" s="11">
        <v>2</v>
      </c>
      <c r="B45" s="10">
        <v>44919</v>
      </c>
      <c r="C45" s="11" t="s">
        <v>118</v>
      </c>
      <c r="D45" s="11" t="s">
        <v>7</v>
      </c>
      <c r="E45" s="11" t="s">
        <v>109</v>
      </c>
    </row>
    <row r="46" spans="1:5" x14ac:dyDescent="0.3">
      <c r="A46" s="11">
        <v>3</v>
      </c>
      <c r="B46" s="10">
        <v>44925</v>
      </c>
      <c r="C46" s="11" t="s">
        <v>118</v>
      </c>
      <c r="D46" s="11" t="s">
        <v>148</v>
      </c>
      <c r="E46" s="11" t="s">
        <v>122</v>
      </c>
    </row>
    <row r="47" spans="1:5" x14ac:dyDescent="0.3">
      <c r="A47" s="11">
        <v>4</v>
      </c>
      <c r="B47" s="10">
        <v>44926</v>
      </c>
      <c r="C47" s="11" t="s">
        <v>118</v>
      </c>
      <c r="D47" s="11" t="s">
        <v>148</v>
      </c>
      <c r="E47" s="11" t="s">
        <v>122</v>
      </c>
    </row>
    <row r="48" spans="1:5" ht="15" thickBot="1" x14ac:dyDescent="0.35"/>
    <row r="49" spans="1:5" ht="25.8" thickBot="1" x14ac:dyDescent="0.65">
      <c r="A49" s="74" t="s">
        <v>155</v>
      </c>
      <c r="B49" s="79"/>
      <c r="C49" s="79"/>
      <c r="D49" s="79"/>
      <c r="E49" s="80"/>
    </row>
    <row r="50" spans="1:5" x14ac:dyDescent="0.3">
      <c r="A50" s="1" t="s">
        <v>1</v>
      </c>
      <c r="B50" s="2" t="s">
        <v>2</v>
      </c>
      <c r="C50" s="2" t="s">
        <v>3</v>
      </c>
      <c r="D50" s="1" t="s">
        <v>4</v>
      </c>
      <c r="E50" s="1" t="s">
        <v>5</v>
      </c>
    </row>
    <row r="51" spans="1:5" x14ac:dyDescent="0.3">
      <c r="A51" s="11">
        <v>1</v>
      </c>
      <c r="B51" s="10">
        <v>44927</v>
      </c>
      <c r="C51" s="11" t="s">
        <v>118</v>
      </c>
      <c r="D51" s="11"/>
      <c r="E51" s="11" t="s">
        <v>96</v>
      </c>
    </row>
    <row r="52" spans="1:5" x14ac:dyDescent="0.3">
      <c r="A52" s="11">
        <v>2</v>
      </c>
      <c r="B52" s="10">
        <v>44934</v>
      </c>
      <c r="C52" s="11" t="s">
        <v>118</v>
      </c>
      <c r="D52" s="11"/>
      <c r="E52" s="11" t="s">
        <v>96</v>
      </c>
    </row>
    <row r="53" spans="1:5" x14ac:dyDescent="0.3">
      <c r="A53" s="11">
        <v>3</v>
      </c>
      <c r="B53" s="10">
        <v>44948</v>
      </c>
      <c r="C53" s="11" t="s">
        <v>118</v>
      </c>
      <c r="D53" s="11" t="s">
        <v>7</v>
      </c>
      <c r="E53" s="11" t="s">
        <v>64</v>
      </c>
    </row>
    <row r="54" spans="1:5" x14ac:dyDescent="0.3">
      <c r="A54" s="11">
        <v>4</v>
      </c>
      <c r="B54" s="10">
        <v>44952</v>
      </c>
      <c r="C54" s="11" t="s">
        <v>118</v>
      </c>
      <c r="D54" s="11" t="s">
        <v>7</v>
      </c>
      <c r="E54" s="11" t="s">
        <v>164</v>
      </c>
    </row>
    <row r="55" spans="1:5" ht="15" thickBot="1" x14ac:dyDescent="0.35"/>
    <row r="56" spans="1:5" ht="25.8" thickBot="1" x14ac:dyDescent="0.65">
      <c r="A56" s="74" t="s">
        <v>177</v>
      </c>
      <c r="B56" s="79"/>
      <c r="C56" s="79"/>
      <c r="D56" s="79"/>
      <c r="E56" s="80"/>
    </row>
    <row r="57" spans="1:5" x14ac:dyDescent="0.3">
      <c r="A57" s="1" t="s">
        <v>1</v>
      </c>
      <c r="B57" s="2" t="s">
        <v>2</v>
      </c>
      <c r="C57" s="2" t="s">
        <v>3</v>
      </c>
      <c r="D57" s="1" t="s">
        <v>4</v>
      </c>
      <c r="E57" s="1" t="s">
        <v>5</v>
      </c>
    </row>
    <row r="58" spans="1:5" x14ac:dyDescent="0.3">
      <c r="A58" s="11">
        <v>1</v>
      </c>
      <c r="B58" s="10">
        <v>44983</v>
      </c>
      <c r="C58" s="11" t="s">
        <v>118</v>
      </c>
      <c r="D58" s="11" t="s">
        <v>7</v>
      </c>
      <c r="E58" s="11" t="s">
        <v>178</v>
      </c>
    </row>
    <row r="59" spans="1:5" x14ac:dyDescent="0.3">
      <c r="A59" s="11">
        <v>2</v>
      </c>
      <c r="B59" s="10"/>
      <c r="C59" s="11"/>
      <c r="D59" s="11"/>
      <c r="E59" s="11"/>
    </row>
    <row r="60" spans="1:5" x14ac:dyDescent="0.3">
      <c r="A60" s="11">
        <v>3</v>
      </c>
      <c r="B60" s="10"/>
      <c r="C60" s="11"/>
      <c r="D60" s="11"/>
      <c r="E60" s="11"/>
    </row>
    <row r="61" spans="1:5" x14ac:dyDescent="0.3">
      <c r="A61" s="11">
        <v>4</v>
      </c>
      <c r="B61" s="10"/>
      <c r="C61" s="11"/>
      <c r="D61" s="11"/>
      <c r="E61" s="11"/>
    </row>
    <row r="62" spans="1:5" ht="15" thickBot="1" x14ac:dyDescent="0.35"/>
    <row r="63" spans="1:5" ht="25.8" thickBot="1" x14ac:dyDescent="0.65">
      <c r="A63" s="74" t="s">
        <v>183</v>
      </c>
      <c r="B63" s="79"/>
      <c r="C63" s="79"/>
      <c r="D63" s="79"/>
      <c r="E63" s="80"/>
    </row>
    <row r="64" spans="1:5" x14ac:dyDescent="0.3">
      <c r="A64" s="1" t="s">
        <v>1</v>
      </c>
      <c r="B64" s="2" t="s">
        <v>2</v>
      </c>
      <c r="C64" s="2" t="s">
        <v>3</v>
      </c>
      <c r="D64" s="1" t="s">
        <v>4</v>
      </c>
      <c r="E64" s="1" t="s">
        <v>5</v>
      </c>
    </row>
    <row r="65" spans="1:5" x14ac:dyDescent="0.3">
      <c r="A65" s="11">
        <v>1</v>
      </c>
      <c r="B65" s="10">
        <v>44997</v>
      </c>
      <c r="C65" s="11" t="s">
        <v>127</v>
      </c>
      <c r="D65" s="11"/>
      <c r="E65" s="11" t="s">
        <v>64</v>
      </c>
    </row>
    <row r="66" spans="1:5" x14ac:dyDescent="0.3">
      <c r="A66" s="11">
        <v>2</v>
      </c>
      <c r="B66" s="10">
        <v>45000</v>
      </c>
      <c r="C66" s="11" t="s">
        <v>127</v>
      </c>
      <c r="D66" s="11"/>
      <c r="E66" s="11" t="s">
        <v>64</v>
      </c>
    </row>
    <row r="67" spans="1:5" x14ac:dyDescent="0.3">
      <c r="A67" s="11">
        <v>3</v>
      </c>
      <c r="B67" s="10">
        <v>45004</v>
      </c>
      <c r="C67" s="11" t="s">
        <v>127</v>
      </c>
      <c r="D67" s="11"/>
      <c r="E67" s="11" t="s">
        <v>64</v>
      </c>
    </row>
    <row r="68" spans="1:5" x14ac:dyDescent="0.3">
      <c r="A68" s="11">
        <v>4</v>
      </c>
      <c r="B68" s="10"/>
      <c r="C68" s="11"/>
      <c r="D68" s="11"/>
      <c r="E68" s="11"/>
    </row>
    <row r="69" spans="1:5" ht="15" thickBot="1" x14ac:dyDescent="0.35"/>
    <row r="70" spans="1:5" ht="25.8" thickBot="1" x14ac:dyDescent="0.65">
      <c r="A70" s="74" t="s">
        <v>194</v>
      </c>
      <c r="B70" s="79"/>
      <c r="C70" s="79"/>
      <c r="D70" s="79"/>
      <c r="E70" s="80"/>
    </row>
    <row r="71" spans="1:5" x14ac:dyDescent="0.3">
      <c r="A71" s="1" t="s">
        <v>1</v>
      </c>
      <c r="B71" s="2" t="s">
        <v>2</v>
      </c>
      <c r="C71" s="2" t="s">
        <v>3</v>
      </c>
      <c r="D71" s="1" t="s">
        <v>4</v>
      </c>
      <c r="E71" s="1" t="s">
        <v>5</v>
      </c>
    </row>
    <row r="72" spans="1:5" x14ac:dyDescent="0.3">
      <c r="A72" s="11">
        <v>1</v>
      </c>
      <c r="B72" s="10">
        <v>45025</v>
      </c>
      <c r="C72" s="11" t="s">
        <v>184</v>
      </c>
      <c r="D72" s="11" t="s">
        <v>7</v>
      </c>
      <c r="E72" s="11" t="s">
        <v>111</v>
      </c>
    </row>
    <row r="73" spans="1:5" x14ac:dyDescent="0.3">
      <c r="A73" s="11">
        <v>2</v>
      </c>
      <c r="B73" s="10">
        <v>45032</v>
      </c>
      <c r="C73" s="11" t="s">
        <v>127</v>
      </c>
      <c r="D73" s="11" t="s">
        <v>7</v>
      </c>
      <c r="E73" s="11" t="s">
        <v>64</v>
      </c>
    </row>
    <row r="74" spans="1:5" x14ac:dyDescent="0.3">
      <c r="A74" s="11">
        <v>3</v>
      </c>
      <c r="B74" s="10">
        <v>45042</v>
      </c>
      <c r="C74" s="11" t="s">
        <v>184</v>
      </c>
      <c r="D74" s="11" t="s">
        <v>7</v>
      </c>
      <c r="E74" s="11" t="s">
        <v>125</v>
      </c>
    </row>
    <row r="75" spans="1:5" x14ac:dyDescent="0.3">
      <c r="A75" s="11">
        <v>4</v>
      </c>
      <c r="B75" s="10"/>
      <c r="C75" s="11"/>
      <c r="D75" s="11"/>
      <c r="E75" s="11"/>
    </row>
    <row r="76" spans="1:5" ht="15" thickBot="1" x14ac:dyDescent="0.35"/>
    <row r="77" spans="1:5" ht="25.8" thickBot="1" x14ac:dyDescent="0.65">
      <c r="A77" s="74" t="s">
        <v>194</v>
      </c>
      <c r="B77" s="79"/>
      <c r="C77" s="79"/>
      <c r="D77" s="79"/>
      <c r="E77" s="80"/>
    </row>
    <row r="78" spans="1:5" x14ac:dyDescent="0.3">
      <c r="A78" s="1" t="s">
        <v>1</v>
      </c>
      <c r="B78" s="2" t="s">
        <v>2</v>
      </c>
      <c r="C78" s="2" t="s">
        <v>3</v>
      </c>
      <c r="D78" s="1" t="s">
        <v>4</v>
      </c>
      <c r="E78" s="1" t="s">
        <v>5</v>
      </c>
    </row>
    <row r="79" spans="1:5" x14ac:dyDescent="0.3">
      <c r="A79" s="11">
        <v>1</v>
      </c>
      <c r="B79" s="10">
        <v>45047</v>
      </c>
      <c r="C79" s="11" t="s">
        <v>203</v>
      </c>
      <c r="D79" s="11" t="s">
        <v>205</v>
      </c>
      <c r="E79" s="11" t="s">
        <v>93</v>
      </c>
    </row>
    <row r="80" spans="1:5" x14ac:dyDescent="0.3">
      <c r="A80" s="11"/>
      <c r="B80" s="10"/>
      <c r="C80" s="11"/>
      <c r="D80" s="11"/>
      <c r="E80" s="11"/>
    </row>
    <row r="81" spans="1:5" ht="15" thickBot="1" x14ac:dyDescent="0.35">
      <c r="A81" s="11"/>
      <c r="B81" s="10"/>
      <c r="C81" s="11"/>
      <c r="D81" s="11"/>
      <c r="E81" s="11"/>
    </row>
    <row r="82" spans="1:5" ht="25.8" thickBot="1" x14ac:dyDescent="0.65">
      <c r="A82" s="74" t="s">
        <v>209</v>
      </c>
      <c r="B82" s="79"/>
      <c r="C82" s="79"/>
      <c r="D82" s="79"/>
      <c r="E82" s="80"/>
    </row>
    <row r="83" spans="1:5" x14ac:dyDescent="0.3">
      <c r="A83" s="1" t="s">
        <v>1</v>
      </c>
      <c r="B83" s="2" t="s">
        <v>2</v>
      </c>
      <c r="C83" s="2" t="s">
        <v>3</v>
      </c>
      <c r="D83" s="1" t="s">
        <v>4</v>
      </c>
      <c r="E83" s="1" t="s">
        <v>5</v>
      </c>
    </row>
    <row r="84" spans="1:5" x14ac:dyDescent="0.3">
      <c r="A84" s="11">
        <v>1</v>
      </c>
      <c r="B84" s="10">
        <v>45070</v>
      </c>
      <c r="C84" s="11" t="s">
        <v>203</v>
      </c>
      <c r="D84" s="11" t="s">
        <v>86</v>
      </c>
      <c r="E84" s="11" t="s">
        <v>94</v>
      </c>
    </row>
    <row r="85" spans="1:5" x14ac:dyDescent="0.3">
      <c r="A85" s="11">
        <v>2</v>
      </c>
      <c r="B85" s="10">
        <v>45071</v>
      </c>
      <c r="C85" s="11" t="s">
        <v>127</v>
      </c>
      <c r="D85" s="11" t="s">
        <v>86</v>
      </c>
      <c r="E85" s="11" t="s">
        <v>94</v>
      </c>
    </row>
    <row r="86" spans="1:5" x14ac:dyDescent="0.3">
      <c r="A86" s="11">
        <v>3</v>
      </c>
      <c r="B86" s="10">
        <v>45074</v>
      </c>
      <c r="C86" s="11" t="s">
        <v>203</v>
      </c>
      <c r="D86" s="11" t="s">
        <v>86</v>
      </c>
      <c r="E86" s="11" t="s">
        <v>122</v>
      </c>
    </row>
    <row r="87" spans="1:5" x14ac:dyDescent="0.3">
      <c r="A87" s="11"/>
      <c r="B87" s="10"/>
      <c r="C87" s="11"/>
      <c r="D87" s="11"/>
      <c r="E87" s="11"/>
    </row>
    <row r="88" spans="1:5" ht="15" thickBot="1" x14ac:dyDescent="0.35"/>
    <row r="89" spans="1:5" ht="25.8" thickBot="1" x14ac:dyDescent="0.65">
      <c r="A89" s="74" t="s">
        <v>216</v>
      </c>
      <c r="B89" s="79"/>
      <c r="C89" s="79"/>
      <c r="D89" s="79"/>
      <c r="E89" s="80"/>
    </row>
    <row r="90" spans="1:5" x14ac:dyDescent="0.3">
      <c r="A90" s="1" t="s">
        <v>1</v>
      </c>
      <c r="B90" s="2" t="s">
        <v>2</v>
      </c>
      <c r="C90" s="2" t="s">
        <v>3</v>
      </c>
      <c r="D90" s="1" t="s">
        <v>4</v>
      </c>
      <c r="E90" s="1" t="s">
        <v>5</v>
      </c>
    </row>
    <row r="91" spans="1:5" x14ac:dyDescent="0.3">
      <c r="A91" s="11">
        <v>1</v>
      </c>
      <c r="B91" s="10">
        <v>45081</v>
      </c>
      <c r="C91" s="11" t="s">
        <v>203</v>
      </c>
      <c r="D91" s="11" t="s">
        <v>86</v>
      </c>
      <c r="E91" s="11" t="s">
        <v>106</v>
      </c>
    </row>
    <row r="92" spans="1:5" x14ac:dyDescent="0.3">
      <c r="A92" s="11">
        <v>2</v>
      </c>
      <c r="B92" s="10">
        <v>45089</v>
      </c>
      <c r="C92" s="11" t="s">
        <v>203</v>
      </c>
      <c r="D92" s="11" t="s">
        <v>86</v>
      </c>
      <c r="E92" s="11" t="s">
        <v>64</v>
      </c>
    </row>
    <row r="93" spans="1:5" x14ac:dyDescent="0.3">
      <c r="A93" s="11">
        <v>3</v>
      </c>
      <c r="B93" s="10">
        <v>45092</v>
      </c>
      <c r="C93" s="11" t="s">
        <v>203</v>
      </c>
      <c r="D93" s="11" t="s">
        <v>86</v>
      </c>
      <c r="E93" s="11" t="s">
        <v>163</v>
      </c>
    </row>
    <row r="94" spans="1:5" x14ac:dyDescent="0.3">
      <c r="A94" s="11">
        <v>4</v>
      </c>
      <c r="B94" s="10">
        <v>45094</v>
      </c>
      <c r="C94" s="11" t="s">
        <v>203</v>
      </c>
      <c r="D94" s="11" t="s">
        <v>86</v>
      </c>
      <c r="E94" s="11" t="s">
        <v>163</v>
      </c>
    </row>
    <row r="95" spans="1:5" x14ac:dyDescent="0.3">
      <c r="A95" s="11">
        <v>5</v>
      </c>
      <c r="B95" s="10">
        <v>45095</v>
      </c>
      <c r="C95" s="11" t="s">
        <v>203</v>
      </c>
      <c r="D95" s="11" t="s">
        <v>86</v>
      </c>
      <c r="E95" s="11" t="s">
        <v>72</v>
      </c>
    </row>
    <row r="96" spans="1:5" x14ac:dyDescent="0.3">
      <c r="A96" s="11">
        <v>6</v>
      </c>
      <c r="B96" s="10">
        <v>45102</v>
      </c>
      <c r="C96" s="11" t="s">
        <v>203</v>
      </c>
      <c r="D96" s="11" t="s">
        <v>86</v>
      </c>
      <c r="E96" s="11" t="s">
        <v>109</v>
      </c>
    </row>
    <row r="97" spans="1:11" ht="15" thickBot="1" x14ac:dyDescent="0.35"/>
    <row r="98" spans="1:11" ht="25.8" thickBot="1" x14ac:dyDescent="0.65">
      <c r="A98" s="74" t="s">
        <v>262</v>
      </c>
      <c r="B98" s="79"/>
      <c r="C98" s="79"/>
      <c r="D98" s="79"/>
      <c r="E98" s="80"/>
      <c r="G98" s="74" t="s">
        <v>262</v>
      </c>
      <c r="H98" s="79"/>
      <c r="I98" s="79"/>
      <c r="J98" s="79"/>
      <c r="K98" s="80"/>
    </row>
    <row r="99" spans="1:11" x14ac:dyDescent="0.3">
      <c r="A99" s="1" t="s">
        <v>1</v>
      </c>
      <c r="B99" s="2" t="s">
        <v>2</v>
      </c>
      <c r="C99" s="2" t="s">
        <v>3</v>
      </c>
      <c r="D99" s="1" t="s">
        <v>4</v>
      </c>
      <c r="E99" s="1" t="s">
        <v>5</v>
      </c>
      <c r="G99" s="1" t="s">
        <v>1</v>
      </c>
      <c r="H99" s="2" t="s">
        <v>2</v>
      </c>
      <c r="I99" s="2" t="s">
        <v>3</v>
      </c>
      <c r="J99" s="1" t="s">
        <v>4</v>
      </c>
      <c r="K99" s="1" t="s">
        <v>5</v>
      </c>
    </row>
    <row r="100" spans="1:11" x14ac:dyDescent="0.3">
      <c r="A100" s="11">
        <v>1</v>
      </c>
      <c r="B100" s="10">
        <v>45109</v>
      </c>
      <c r="C100" s="11" t="s">
        <v>203</v>
      </c>
      <c r="D100" s="11" t="s">
        <v>86</v>
      </c>
      <c r="E100" s="11" t="s">
        <v>109</v>
      </c>
      <c r="G100" s="11">
        <v>1</v>
      </c>
      <c r="H100" s="10">
        <v>45113</v>
      </c>
      <c r="I100" s="11" t="s">
        <v>266</v>
      </c>
      <c r="J100" s="11" t="s">
        <v>86</v>
      </c>
      <c r="K100" s="11" t="s">
        <v>109</v>
      </c>
    </row>
    <row r="101" spans="1:11" x14ac:dyDescent="0.3">
      <c r="A101" s="11">
        <v>2</v>
      </c>
      <c r="B101" s="10">
        <v>45121</v>
      </c>
      <c r="C101" s="11" t="s">
        <v>203</v>
      </c>
      <c r="D101" s="11" t="s">
        <v>86</v>
      </c>
      <c r="E101" s="11" t="s">
        <v>96</v>
      </c>
    </row>
    <row r="102" spans="1:11" x14ac:dyDescent="0.3">
      <c r="A102" s="11">
        <v>3</v>
      </c>
      <c r="B102" s="10">
        <v>45136</v>
      </c>
      <c r="C102" s="11" t="s">
        <v>203</v>
      </c>
      <c r="D102" s="11" t="s">
        <v>86</v>
      </c>
      <c r="E102" s="11" t="s">
        <v>64</v>
      </c>
    </row>
    <row r="103" spans="1:11" x14ac:dyDescent="0.3">
      <c r="A103" s="11">
        <v>4</v>
      </c>
      <c r="B103" s="10">
        <v>45138</v>
      </c>
      <c r="C103" s="11" t="s">
        <v>203</v>
      </c>
      <c r="D103" s="11" t="s">
        <v>86</v>
      </c>
      <c r="E103" s="11" t="s">
        <v>96</v>
      </c>
    </row>
    <row r="104" spans="1:11" x14ac:dyDescent="0.3">
      <c r="A104" s="11"/>
      <c r="B104" s="11"/>
      <c r="C104" s="11"/>
      <c r="D104" s="11"/>
      <c r="E104" s="11"/>
    </row>
    <row r="105" spans="1:11" ht="15" thickBot="1" x14ac:dyDescent="0.35"/>
    <row r="106" spans="1:11" ht="25.8" thickBot="1" x14ac:dyDescent="0.65">
      <c r="A106" s="74" t="s">
        <v>287</v>
      </c>
      <c r="B106" s="75"/>
      <c r="C106" s="75"/>
      <c r="D106" s="76"/>
      <c r="E106" s="77"/>
    </row>
    <row r="107" spans="1:11" x14ac:dyDescent="0.3">
      <c r="A107" s="1" t="s">
        <v>1</v>
      </c>
      <c r="B107" s="1" t="s">
        <v>2</v>
      </c>
      <c r="C107" s="2" t="s">
        <v>3</v>
      </c>
      <c r="D107" s="1" t="s">
        <v>4</v>
      </c>
      <c r="E107" s="27" t="s">
        <v>22</v>
      </c>
    </row>
    <row r="108" spans="1:11" x14ac:dyDescent="0.3">
      <c r="A108" s="11">
        <v>1</v>
      </c>
      <c r="B108" s="10">
        <v>45153</v>
      </c>
      <c r="C108" s="11" t="s">
        <v>193</v>
      </c>
      <c r="D108" s="11"/>
      <c r="E108" s="11" t="s">
        <v>94</v>
      </c>
    </row>
    <row r="109" spans="1:11" x14ac:dyDescent="0.3">
      <c r="A109" s="11">
        <v>2</v>
      </c>
      <c r="B109" s="10">
        <v>45158</v>
      </c>
      <c r="C109" s="11" t="s">
        <v>279</v>
      </c>
      <c r="D109" s="11"/>
      <c r="E109" s="11" t="s">
        <v>281</v>
      </c>
    </row>
    <row r="110" spans="1:11" x14ac:dyDescent="0.3">
      <c r="A110" s="11">
        <v>3</v>
      </c>
      <c r="B110" s="10"/>
      <c r="C110" s="11"/>
      <c r="D110" s="11"/>
      <c r="E110" s="11"/>
    </row>
    <row r="111" spans="1:11" ht="15" thickBot="1" x14ac:dyDescent="0.35"/>
    <row r="112" spans="1:11" ht="25.8" thickBot="1" x14ac:dyDescent="0.65">
      <c r="A112" s="74" t="s">
        <v>288</v>
      </c>
      <c r="B112" s="75"/>
      <c r="C112" s="75"/>
      <c r="D112" s="76"/>
      <c r="E112" s="77"/>
    </row>
    <row r="113" spans="1:5" x14ac:dyDescent="0.3">
      <c r="A113" s="1" t="s">
        <v>1</v>
      </c>
      <c r="B113" s="1" t="s">
        <v>2</v>
      </c>
      <c r="C113" s="2" t="s">
        <v>3</v>
      </c>
      <c r="D113" s="1" t="s">
        <v>4</v>
      </c>
      <c r="E113" s="27" t="s">
        <v>5</v>
      </c>
    </row>
    <row r="114" spans="1:5" x14ac:dyDescent="0.3">
      <c r="A114" s="11">
        <v>1</v>
      </c>
      <c r="B114" s="10">
        <v>45174</v>
      </c>
      <c r="C114" s="11" t="s">
        <v>193</v>
      </c>
      <c r="D114" s="11"/>
      <c r="E114" s="11" t="s">
        <v>281</v>
      </c>
    </row>
    <row r="115" spans="1:5" x14ac:dyDescent="0.3">
      <c r="A115" s="11">
        <v>2</v>
      </c>
      <c r="B115" s="10">
        <v>45182</v>
      </c>
      <c r="C115" s="11" t="s">
        <v>193</v>
      </c>
      <c r="D115" s="11"/>
      <c r="E115" s="11" t="s">
        <v>96</v>
      </c>
    </row>
    <row r="116" spans="1:5" x14ac:dyDescent="0.3">
      <c r="A116" s="11">
        <v>3</v>
      </c>
      <c r="B116" s="10">
        <v>45183</v>
      </c>
      <c r="C116" s="11" t="s">
        <v>193</v>
      </c>
      <c r="D116" s="11"/>
      <c r="E116" s="11" t="s">
        <v>281</v>
      </c>
    </row>
    <row r="117" spans="1:5" x14ac:dyDescent="0.3">
      <c r="A117" s="11">
        <v>4</v>
      </c>
      <c r="B117" s="10">
        <v>45184</v>
      </c>
      <c r="C117" s="11" t="s">
        <v>279</v>
      </c>
      <c r="D117" s="11"/>
      <c r="E117" s="11" t="s">
        <v>122</v>
      </c>
    </row>
    <row r="118" spans="1:5" x14ac:dyDescent="0.3">
      <c r="A118" s="11">
        <v>5</v>
      </c>
      <c r="B118" s="10">
        <v>45185</v>
      </c>
      <c r="C118" s="11" t="s">
        <v>279</v>
      </c>
      <c r="D118" s="11"/>
      <c r="E118" s="11" t="s">
        <v>94</v>
      </c>
    </row>
    <row r="119" spans="1:5" x14ac:dyDescent="0.3">
      <c r="A119" s="11">
        <v>6</v>
      </c>
      <c r="B119" s="10">
        <v>45189</v>
      </c>
      <c r="C119" s="11" t="s">
        <v>279</v>
      </c>
      <c r="D119" s="11"/>
      <c r="E119" s="11" t="s">
        <v>94</v>
      </c>
    </row>
    <row r="120" spans="1:5" x14ac:dyDescent="0.3">
      <c r="A120" s="11">
        <v>7</v>
      </c>
      <c r="B120" s="10">
        <v>45190</v>
      </c>
      <c r="C120" s="11" t="s">
        <v>279</v>
      </c>
      <c r="D120" s="11"/>
      <c r="E120" s="11" t="s">
        <v>64</v>
      </c>
    </row>
    <row r="121" spans="1:5" x14ac:dyDescent="0.3">
      <c r="A121" s="11">
        <v>8</v>
      </c>
      <c r="B121" s="10">
        <v>45191</v>
      </c>
      <c r="C121" s="11" t="s">
        <v>279</v>
      </c>
      <c r="D121" s="11"/>
      <c r="E121" s="11" t="s">
        <v>64</v>
      </c>
    </row>
    <row r="122" spans="1:5" x14ac:dyDescent="0.3">
      <c r="A122" s="11">
        <v>9</v>
      </c>
      <c r="B122" s="10">
        <v>45193</v>
      </c>
      <c r="C122" s="11" t="s">
        <v>279</v>
      </c>
      <c r="D122" s="11"/>
      <c r="E122" s="11" t="s">
        <v>64</v>
      </c>
    </row>
    <row r="123" spans="1:5" x14ac:dyDescent="0.3">
      <c r="A123" s="11">
        <v>10</v>
      </c>
      <c r="B123" s="10">
        <v>45194</v>
      </c>
      <c r="C123" s="11" t="s">
        <v>279</v>
      </c>
      <c r="D123" s="11"/>
      <c r="E123" s="11" t="s">
        <v>109</v>
      </c>
    </row>
    <row r="124" spans="1:5" x14ac:dyDescent="0.3">
      <c r="A124" s="11">
        <v>11</v>
      </c>
      <c r="B124" s="10">
        <v>45195</v>
      </c>
      <c r="C124" s="11" t="s">
        <v>279</v>
      </c>
      <c r="D124" s="11"/>
      <c r="E124" s="11" t="s">
        <v>106</v>
      </c>
    </row>
    <row r="125" spans="1:5" x14ac:dyDescent="0.3">
      <c r="A125" s="11">
        <v>12</v>
      </c>
      <c r="B125" s="10">
        <v>45198</v>
      </c>
      <c r="C125" s="11" t="s">
        <v>279</v>
      </c>
      <c r="D125" s="11"/>
      <c r="E125" s="11" t="s">
        <v>106</v>
      </c>
    </row>
    <row r="126" spans="1:5" ht="15" thickBot="1" x14ac:dyDescent="0.35"/>
    <row r="127" spans="1:5" ht="25.8" thickBot="1" x14ac:dyDescent="0.65">
      <c r="A127" s="74" t="s">
        <v>298</v>
      </c>
      <c r="B127" s="75"/>
      <c r="C127" s="75"/>
      <c r="D127" s="76"/>
      <c r="E127" s="77"/>
    </row>
    <row r="128" spans="1:5" x14ac:dyDescent="0.3">
      <c r="A128" s="1" t="s">
        <v>1</v>
      </c>
      <c r="B128" s="1" t="s">
        <v>2</v>
      </c>
      <c r="C128" s="2" t="s">
        <v>3</v>
      </c>
      <c r="D128" s="1" t="s">
        <v>4</v>
      </c>
      <c r="E128" s="27" t="s">
        <v>5</v>
      </c>
    </row>
    <row r="129" spans="1:5" x14ac:dyDescent="0.3">
      <c r="A129" s="11">
        <v>1</v>
      </c>
      <c r="B129" s="10">
        <v>45204</v>
      </c>
      <c r="C129" s="11" t="s">
        <v>279</v>
      </c>
      <c r="D129" s="11"/>
      <c r="E129" s="11" t="s">
        <v>64</v>
      </c>
    </row>
    <row r="130" spans="1:5" x14ac:dyDescent="0.3">
      <c r="A130" s="11">
        <v>2</v>
      </c>
      <c r="B130" s="10">
        <v>45205</v>
      </c>
      <c r="C130" s="11" t="s">
        <v>279</v>
      </c>
      <c r="D130" s="11"/>
      <c r="E130" s="11" t="s">
        <v>64</v>
      </c>
    </row>
    <row r="131" spans="1:5" x14ac:dyDescent="0.3">
      <c r="A131" s="11">
        <v>3</v>
      </c>
      <c r="B131" s="10">
        <v>45217</v>
      </c>
      <c r="C131" s="11" t="s">
        <v>279</v>
      </c>
      <c r="D131" s="11"/>
      <c r="E131" s="11" t="s">
        <v>109</v>
      </c>
    </row>
    <row r="132" spans="1:5" x14ac:dyDescent="0.3">
      <c r="A132" s="11">
        <v>4</v>
      </c>
      <c r="B132" s="10">
        <v>45220</v>
      </c>
      <c r="C132" s="11" t="s">
        <v>193</v>
      </c>
      <c r="D132" s="11"/>
      <c r="E132" s="11" t="s">
        <v>109</v>
      </c>
    </row>
    <row r="133" spans="1:5" x14ac:dyDescent="0.3">
      <c r="A133" s="11">
        <v>5</v>
      </c>
      <c r="B133" s="10">
        <v>45221</v>
      </c>
      <c r="C133" s="11" t="s">
        <v>184</v>
      </c>
      <c r="D133" s="11"/>
      <c r="E133" s="11" t="s">
        <v>106</v>
      </c>
    </row>
    <row r="134" spans="1:5" x14ac:dyDescent="0.3">
      <c r="A134" s="11">
        <v>6</v>
      </c>
      <c r="B134" s="10">
        <v>45224</v>
      </c>
      <c r="C134" s="11" t="s">
        <v>184</v>
      </c>
      <c r="D134" s="11"/>
      <c r="E134" s="11">
        <v>5</v>
      </c>
    </row>
    <row r="135" spans="1:5" x14ac:dyDescent="0.3">
      <c r="A135" s="11"/>
      <c r="B135" s="10"/>
      <c r="C135" s="11"/>
      <c r="D135" s="11"/>
      <c r="E135" s="11"/>
    </row>
    <row r="136" spans="1:5" ht="15" thickBot="1" x14ac:dyDescent="0.35"/>
    <row r="137" spans="1:5" ht="25.8" thickBot="1" x14ac:dyDescent="0.65">
      <c r="A137" s="74" t="s">
        <v>324</v>
      </c>
      <c r="B137" s="75"/>
      <c r="C137" s="75"/>
      <c r="D137" s="76"/>
      <c r="E137" s="77"/>
    </row>
    <row r="138" spans="1:5" x14ac:dyDescent="0.3">
      <c r="A138" s="1" t="s">
        <v>1</v>
      </c>
      <c r="B138" s="1" t="s">
        <v>2</v>
      </c>
      <c r="C138" s="2" t="s">
        <v>3</v>
      </c>
      <c r="D138" s="1" t="s">
        <v>4</v>
      </c>
      <c r="E138" s="27" t="s">
        <v>5</v>
      </c>
    </row>
    <row r="139" spans="1:5" x14ac:dyDescent="0.3">
      <c r="A139" s="11">
        <v>1</v>
      </c>
      <c r="B139" s="10">
        <v>45240</v>
      </c>
      <c r="C139" s="11" t="s">
        <v>325</v>
      </c>
      <c r="D139" s="11"/>
      <c r="E139" s="11" t="s">
        <v>106</v>
      </c>
    </row>
    <row r="140" spans="1:5" x14ac:dyDescent="0.3">
      <c r="A140" s="11">
        <v>2</v>
      </c>
      <c r="B140" s="10">
        <v>45243</v>
      </c>
      <c r="C140" s="11" t="s">
        <v>325</v>
      </c>
      <c r="D140" s="11"/>
      <c r="E140" s="11" t="s">
        <v>106</v>
      </c>
    </row>
    <row r="141" spans="1:5" x14ac:dyDescent="0.3">
      <c r="A141" s="11">
        <v>3</v>
      </c>
      <c r="B141" s="10">
        <v>45247</v>
      </c>
      <c r="C141" s="11" t="s">
        <v>325</v>
      </c>
      <c r="D141" s="11"/>
      <c r="E141" s="11" t="s">
        <v>281</v>
      </c>
    </row>
    <row r="142" spans="1:5" ht="15" thickBot="1" x14ac:dyDescent="0.35">
      <c r="A142" s="11"/>
      <c r="B142" s="10"/>
      <c r="C142" s="11"/>
      <c r="D142" s="11"/>
      <c r="E142" s="11"/>
    </row>
    <row r="143" spans="1:5" ht="25.8" thickBot="1" x14ac:dyDescent="0.65">
      <c r="A143" s="74" t="s">
        <v>326</v>
      </c>
      <c r="B143" s="75"/>
      <c r="C143" s="75"/>
      <c r="D143" s="76"/>
      <c r="E143" s="77"/>
    </row>
    <row r="144" spans="1:5" x14ac:dyDescent="0.3">
      <c r="A144" s="1" t="s">
        <v>1</v>
      </c>
      <c r="B144" s="1" t="s">
        <v>2</v>
      </c>
      <c r="C144" s="2" t="s">
        <v>3</v>
      </c>
      <c r="D144" s="1" t="s">
        <v>4</v>
      </c>
      <c r="E144" s="27" t="s">
        <v>5</v>
      </c>
    </row>
    <row r="145" spans="1:5" x14ac:dyDescent="0.3">
      <c r="A145" s="11">
        <v>1</v>
      </c>
      <c r="B145" s="10">
        <v>45277</v>
      </c>
      <c r="C145" s="11" t="s">
        <v>327</v>
      </c>
      <c r="D145" s="11" t="s">
        <v>86</v>
      </c>
      <c r="E145" s="11">
        <v>1</v>
      </c>
    </row>
    <row r="146" spans="1:5" x14ac:dyDescent="0.3">
      <c r="A146" s="11"/>
      <c r="B146" s="10"/>
      <c r="C146" s="11"/>
      <c r="D146" s="11"/>
      <c r="E146" s="11"/>
    </row>
    <row r="147" spans="1:5" x14ac:dyDescent="0.3">
      <c r="A147" s="11"/>
      <c r="B147" s="10"/>
      <c r="C147" s="11"/>
      <c r="D147" s="11"/>
      <c r="E147" s="11"/>
    </row>
    <row r="148" spans="1:5" ht="15" thickBot="1" x14ac:dyDescent="0.35">
      <c r="A148" s="11"/>
      <c r="B148" s="10"/>
      <c r="C148" s="11"/>
      <c r="D148" s="11"/>
      <c r="E148" s="11"/>
    </row>
    <row r="149" spans="1:5" ht="25.8" thickBot="1" x14ac:dyDescent="0.65">
      <c r="A149" s="74" t="s">
        <v>329</v>
      </c>
      <c r="B149" s="75"/>
      <c r="C149" s="75"/>
      <c r="D149" s="76"/>
      <c r="E149" s="77"/>
    </row>
    <row r="150" spans="1:5" x14ac:dyDescent="0.3">
      <c r="A150" s="1" t="s">
        <v>1</v>
      </c>
      <c r="B150" s="1" t="s">
        <v>2</v>
      </c>
      <c r="C150" s="2" t="s">
        <v>3</v>
      </c>
      <c r="D150" s="1" t="s">
        <v>4</v>
      </c>
      <c r="E150" s="27" t="s">
        <v>5</v>
      </c>
    </row>
    <row r="151" spans="1:5" x14ac:dyDescent="0.3">
      <c r="A151" s="11">
        <v>1</v>
      </c>
      <c r="B151" s="10">
        <v>45333</v>
      </c>
      <c r="C151" s="11" t="s">
        <v>330</v>
      </c>
      <c r="D151" s="11" t="s">
        <v>86</v>
      </c>
      <c r="E151" s="11">
        <v>2</v>
      </c>
    </row>
    <row r="153" spans="1:5" ht="15" thickBot="1" x14ac:dyDescent="0.35"/>
    <row r="154" spans="1:5" ht="25.8" thickBot="1" x14ac:dyDescent="0.65">
      <c r="A154" s="74" t="s">
        <v>331</v>
      </c>
      <c r="B154" s="75"/>
      <c r="C154" s="75"/>
      <c r="D154" s="76"/>
      <c r="E154" s="77"/>
    </row>
    <row r="155" spans="1:5" x14ac:dyDescent="0.3">
      <c r="A155" s="1" t="s">
        <v>1</v>
      </c>
      <c r="B155" s="1" t="s">
        <v>2</v>
      </c>
      <c r="C155" s="2" t="s">
        <v>3</v>
      </c>
      <c r="D155" s="1" t="s">
        <v>4</v>
      </c>
      <c r="E155" s="27" t="s">
        <v>5</v>
      </c>
    </row>
    <row r="156" spans="1:5" x14ac:dyDescent="0.3">
      <c r="A156" s="11">
        <v>1</v>
      </c>
      <c r="B156" s="10">
        <v>45375</v>
      </c>
      <c r="C156" s="11" t="s">
        <v>332</v>
      </c>
      <c r="D156" s="11" t="s">
        <v>86</v>
      </c>
      <c r="E156" s="11">
        <v>25</v>
      </c>
    </row>
    <row r="158" spans="1:5" ht="15" thickBot="1" x14ac:dyDescent="0.35"/>
    <row r="159" spans="1:5" ht="25.8" thickBot="1" x14ac:dyDescent="0.65">
      <c r="A159" s="74" t="s">
        <v>338</v>
      </c>
      <c r="B159" s="75"/>
      <c r="C159" s="75"/>
      <c r="D159" s="76"/>
      <c r="E159" s="77"/>
    </row>
    <row r="160" spans="1:5" x14ac:dyDescent="0.3">
      <c r="A160" s="1" t="s">
        <v>1</v>
      </c>
      <c r="B160" s="1" t="s">
        <v>2</v>
      </c>
      <c r="C160" s="2" t="s">
        <v>3</v>
      </c>
      <c r="D160" s="1" t="s">
        <v>4</v>
      </c>
      <c r="E160" s="27" t="s">
        <v>5</v>
      </c>
    </row>
    <row r="161" spans="1:15" x14ac:dyDescent="0.3">
      <c r="A161" s="11">
        <v>1</v>
      </c>
      <c r="B161" s="10">
        <v>45515</v>
      </c>
      <c r="C161" s="11" t="s">
        <v>312</v>
      </c>
      <c r="D161" s="11" t="s">
        <v>86</v>
      </c>
      <c r="E161" s="11">
        <v>2</v>
      </c>
    </row>
    <row r="162" spans="1:15" x14ac:dyDescent="0.3">
      <c r="A162" s="11">
        <v>2</v>
      </c>
      <c r="B162" s="10">
        <v>45519</v>
      </c>
      <c r="C162" s="11" t="s">
        <v>339</v>
      </c>
      <c r="D162" s="11" t="s">
        <v>340</v>
      </c>
      <c r="E162" s="11">
        <v>3</v>
      </c>
      <c r="J162" s="26"/>
    </row>
    <row r="163" spans="1:15" x14ac:dyDescent="0.3">
      <c r="A163" s="11">
        <v>3</v>
      </c>
      <c r="B163" s="10">
        <v>45525</v>
      </c>
      <c r="C163" s="11" t="s">
        <v>339</v>
      </c>
      <c r="D163" s="11" t="s">
        <v>340</v>
      </c>
      <c r="E163" s="11">
        <v>3</v>
      </c>
    </row>
    <row r="164" spans="1:15" x14ac:dyDescent="0.3">
      <c r="A164" s="11">
        <v>4</v>
      </c>
      <c r="B164" s="10">
        <v>45527</v>
      </c>
      <c r="C164" s="11" t="s">
        <v>339</v>
      </c>
      <c r="D164" s="11"/>
      <c r="E164" s="11">
        <v>5</v>
      </c>
    </row>
    <row r="165" spans="1:15" x14ac:dyDescent="0.3">
      <c r="A165" s="11">
        <v>6</v>
      </c>
      <c r="B165" s="10">
        <v>45532</v>
      </c>
      <c r="C165" s="11" t="s">
        <v>342</v>
      </c>
      <c r="D165" s="11" t="s">
        <v>340</v>
      </c>
      <c r="E165" s="11">
        <v>2</v>
      </c>
    </row>
    <row r="166" spans="1:15" ht="15" thickBot="1" x14ac:dyDescent="0.35"/>
    <row r="167" spans="1:15" ht="25.8" thickBot="1" x14ac:dyDescent="0.65">
      <c r="A167" s="74" t="s">
        <v>338</v>
      </c>
      <c r="B167" s="75"/>
      <c r="C167" s="75"/>
      <c r="D167" s="76"/>
      <c r="E167" s="77"/>
    </row>
    <row r="168" spans="1:15" x14ac:dyDescent="0.3">
      <c r="A168" s="1" t="s">
        <v>1</v>
      </c>
      <c r="B168" s="1" t="s">
        <v>2</v>
      </c>
      <c r="C168" s="2" t="s">
        <v>3</v>
      </c>
      <c r="D168" s="1" t="s">
        <v>4</v>
      </c>
      <c r="E168" s="27" t="s">
        <v>5</v>
      </c>
    </row>
    <row r="169" spans="1:15" x14ac:dyDescent="0.3">
      <c r="A169" s="11">
        <v>1</v>
      </c>
      <c r="B169" s="10">
        <v>45543</v>
      </c>
      <c r="C169" s="11" t="s">
        <v>312</v>
      </c>
      <c r="D169" s="11" t="s">
        <v>340</v>
      </c>
      <c r="E169" s="11">
        <v>5</v>
      </c>
    </row>
    <row r="170" spans="1:15" x14ac:dyDescent="0.3">
      <c r="A170" s="11"/>
      <c r="B170" s="10"/>
      <c r="C170" s="11"/>
      <c r="D170" s="11"/>
      <c r="E170" s="11"/>
    </row>
    <row r="171" spans="1:15" x14ac:dyDescent="0.3">
      <c r="A171" s="11"/>
      <c r="B171" s="10"/>
      <c r="C171" s="11"/>
      <c r="D171" s="11"/>
      <c r="E171" s="11"/>
    </row>
    <row r="172" spans="1:15" x14ac:dyDescent="0.3">
      <c r="A172" s="11"/>
      <c r="B172" s="10"/>
      <c r="C172" s="11"/>
      <c r="D172" s="11"/>
      <c r="E172" s="11"/>
    </row>
    <row r="173" spans="1:15" x14ac:dyDescent="0.3">
      <c r="A173" s="11"/>
      <c r="B173" s="10"/>
      <c r="C173" s="11"/>
      <c r="D173" s="11"/>
      <c r="E173" s="11"/>
    </row>
    <row r="175" spans="1:15" x14ac:dyDescent="0.3">
      <c r="A175" s="78" t="s">
        <v>351</v>
      </c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</row>
    <row r="176" spans="1:15" ht="15" thickBot="1" x14ac:dyDescent="0.35"/>
    <row r="177" spans="1:5" ht="25.8" thickBot="1" x14ac:dyDescent="0.65">
      <c r="A177" s="74" t="s">
        <v>95</v>
      </c>
      <c r="B177" s="75"/>
      <c r="C177" s="75"/>
      <c r="D177" s="76"/>
      <c r="E177" s="77"/>
    </row>
    <row r="178" spans="1:5" x14ac:dyDescent="0.3">
      <c r="A178" s="1" t="s">
        <v>1</v>
      </c>
      <c r="B178" s="1" t="s">
        <v>2</v>
      </c>
      <c r="C178" s="2" t="s">
        <v>3</v>
      </c>
      <c r="D178" s="1" t="s">
        <v>4</v>
      </c>
      <c r="E178" s="27" t="s">
        <v>5</v>
      </c>
    </row>
    <row r="179" spans="1:5" x14ac:dyDescent="0.3">
      <c r="A179" s="11">
        <v>1</v>
      </c>
      <c r="B179" s="10">
        <v>45967</v>
      </c>
      <c r="C179" s="11" t="s">
        <v>358</v>
      </c>
      <c r="D179" s="11" t="s">
        <v>148</v>
      </c>
      <c r="E179" s="11">
        <v>25</v>
      </c>
    </row>
    <row r="180" spans="1:5" x14ac:dyDescent="0.3">
      <c r="A180" s="11">
        <v>2</v>
      </c>
      <c r="B180" s="10">
        <v>45970</v>
      </c>
      <c r="C180" s="11" t="s">
        <v>359</v>
      </c>
      <c r="D180" s="11" t="s">
        <v>148</v>
      </c>
      <c r="E180" s="11">
        <v>12</v>
      </c>
    </row>
    <row r="181" spans="1:5" x14ac:dyDescent="0.3">
      <c r="A181" s="11"/>
      <c r="B181" s="10">
        <v>45976</v>
      </c>
      <c r="C181" s="11" t="s">
        <v>359</v>
      </c>
      <c r="D181" s="11" t="s">
        <v>148</v>
      </c>
      <c r="E181" s="11">
        <v>2</v>
      </c>
    </row>
    <row r="182" spans="1:5" x14ac:dyDescent="0.3">
      <c r="A182" s="11"/>
      <c r="B182" s="10">
        <v>45978</v>
      </c>
      <c r="C182" s="11" t="s">
        <v>359</v>
      </c>
      <c r="D182" s="11" t="s">
        <v>148</v>
      </c>
      <c r="E182" s="11">
        <v>4</v>
      </c>
    </row>
    <row r="183" spans="1:5" x14ac:dyDescent="0.3">
      <c r="A183" s="11"/>
      <c r="B183" s="10"/>
      <c r="C183" s="11"/>
      <c r="D183" s="11"/>
      <c r="E183" s="11"/>
    </row>
    <row r="186" spans="1:5" ht="15" thickBot="1" x14ac:dyDescent="0.35"/>
    <row r="187" spans="1:5" ht="25.8" thickBot="1" x14ac:dyDescent="0.65">
      <c r="A187" s="74" t="s">
        <v>95</v>
      </c>
      <c r="B187" s="75"/>
      <c r="C187" s="75"/>
      <c r="D187" s="76"/>
      <c r="E187" s="77"/>
    </row>
    <row r="188" spans="1:5" x14ac:dyDescent="0.3">
      <c r="A188" s="1" t="s">
        <v>1</v>
      </c>
      <c r="B188" s="1" t="s">
        <v>2</v>
      </c>
      <c r="C188" s="2" t="s">
        <v>3</v>
      </c>
      <c r="D188" s="1" t="s">
        <v>4</v>
      </c>
      <c r="E188" s="27" t="s">
        <v>5</v>
      </c>
    </row>
    <row r="189" spans="1:5" x14ac:dyDescent="0.3">
      <c r="A189" s="11">
        <v>1</v>
      </c>
      <c r="B189" s="10">
        <v>46061</v>
      </c>
      <c r="C189" s="11" t="s">
        <v>385</v>
      </c>
      <c r="D189" s="11"/>
      <c r="E189" s="11">
        <v>3</v>
      </c>
    </row>
    <row r="190" spans="1:5" x14ac:dyDescent="0.3">
      <c r="A190" s="11">
        <v>2</v>
      </c>
      <c r="B190" s="10">
        <v>46065</v>
      </c>
      <c r="C190" s="11" t="s">
        <v>385</v>
      </c>
      <c r="D190" s="11"/>
      <c r="E190" s="11">
        <v>3</v>
      </c>
    </row>
    <row r="191" spans="1:5" x14ac:dyDescent="0.3">
      <c r="A191" s="11"/>
      <c r="B191" s="10">
        <v>46066</v>
      </c>
      <c r="C191" s="11" t="s">
        <v>385</v>
      </c>
      <c r="D191" s="11"/>
      <c r="E191" s="11">
        <v>10</v>
      </c>
    </row>
    <row r="192" spans="1:5" x14ac:dyDescent="0.3">
      <c r="A192" s="11"/>
      <c r="B192" s="10">
        <v>46106</v>
      </c>
      <c r="C192" s="11" t="s">
        <v>385</v>
      </c>
      <c r="D192" s="11"/>
      <c r="E192" s="11">
        <v>21</v>
      </c>
    </row>
    <row r="193" spans="1:5" x14ac:dyDescent="0.3">
      <c r="A193" s="11"/>
      <c r="B193" s="10"/>
      <c r="C193" s="11"/>
      <c r="D193" s="11"/>
      <c r="E193" s="11"/>
    </row>
  </sheetData>
  <mergeCells count="27">
    <mergeCell ref="G98:K98"/>
    <mergeCell ref="A89:E89"/>
    <mergeCell ref="A154:E154"/>
    <mergeCell ref="A42:E42"/>
    <mergeCell ref="A149:E149"/>
    <mergeCell ref="A70:E70"/>
    <mergeCell ref="A63:E63"/>
    <mergeCell ref="A56:E56"/>
    <mergeCell ref="A49:E49"/>
    <mergeCell ref="A82:E82"/>
    <mergeCell ref="A112:E112"/>
    <mergeCell ref="A77:E77"/>
    <mergeCell ref="A106:E106"/>
    <mergeCell ref="A98:E98"/>
    <mergeCell ref="A143:E143"/>
    <mergeCell ref="A137:E137"/>
    <mergeCell ref="A2:E2"/>
    <mergeCell ref="A8:E8"/>
    <mergeCell ref="A16:E16"/>
    <mergeCell ref="A23:E23"/>
    <mergeCell ref="A29:E29"/>
    <mergeCell ref="A187:E187"/>
    <mergeCell ref="A127:E127"/>
    <mergeCell ref="A177:E177"/>
    <mergeCell ref="A175:O175"/>
    <mergeCell ref="A167:E167"/>
    <mergeCell ref="A159:E159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8"/>
  <sheetViews>
    <sheetView topLeftCell="A109" workbookViewId="0">
      <selection activeCell="E125" sqref="E125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29.88671875" bestFit="1" customWidth="1"/>
    <col min="4" max="4" width="17.44140625" bestFit="1" customWidth="1"/>
    <col min="5" max="5" width="19.109375" bestFit="1" customWidth="1"/>
    <col min="6" max="6" width="22.109375" bestFit="1" customWidth="1"/>
  </cols>
  <sheetData>
    <row r="1" spans="1:8" ht="15" thickBot="1" x14ac:dyDescent="0.35"/>
    <row r="2" spans="1:8" ht="25.8" thickBot="1" x14ac:dyDescent="0.65">
      <c r="A2" s="74" t="s">
        <v>12</v>
      </c>
      <c r="B2" s="75"/>
      <c r="C2" s="75"/>
      <c r="D2" s="75"/>
      <c r="E2" s="75"/>
    </row>
    <row r="3" spans="1:8" ht="15" thickBot="1" x14ac:dyDescent="0.35">
      <c r="A3" s="3" t="s">
        <v>1</v>
      </c>
      <c r="B3" s="3" t="s">
        <v>2</v>
      </c>
      <c r="C3" s="3" t="s">
        <v>3</v>
      </c>
      <c r="D3" s="1" t="s">
        <v>13</v>
      </c>
      <c r="E3" s="4" t="s">
        <v>14</v>
      </c>
    </row>
    <row r="4" spans="1:8" x14ac:dyDescent="0.3">
      <c r="A4" s="91">
        <v>1</v>
      </c>
      <c r="B4" s="93">
        <v>44685</v>
      </c>
      <c r="C4" s="91" t="s">
        <v>15</v>
      </c>
      <c r="D4" s="14" t="s">
        <v>16</v>
      </c>
      <c r="E4" s="15">
        <v>11</v>
      </c>
    </row>
    <row r="5" spans="1:8" x14ac:dyDescent="0.3">
      <c r="A5" s="92"/>
      <c r="B5" s="94"/>
      <c r="C5" s="92"/>
      <c r="D5" s="8" t="s">
        <v>17</v>
      </c>
      <c r="E5" s="8">
        <v>20</v>
      </c>
    </row>
    <row r="6" spans="1:8" x14ac:dyDescent="0.3">
      <c r="A6" s="16">
        <v>2</v>
      </c>
      <c r="B6" s="17">
        <v>44688</v>
      </c>
      <c r="C6" s="16" t="s">
        <v>18</v>
      </c>
      <c r="D6" s="8" t="s">
        <v>19</v>
      </c>
      <c r="E6" s="8">
        <v>32</v>
      </c>
    </row>
    <row r="7" spans="1:8" x14ac:dyDescent="0.3">
      <c r="A7" s="11">
        <v>3</v>
      </c>
      <c r="B7" s="10">
        <v>44704</v>
      </c>
      <c r="C7" s="11" t="s">
        <v>8</v>
      </c>
      <c r="D7" s="11" t="s">
        <v>20</v>
      </c>
      <c r="E7" s="11">
        <v>1</v>
      </c>
      <c r="G7" t="s">
        <v>99</v>
      </c>
      <c r="H7">
        <v>63</v>
      </c>
    </row>
    <row r="8" spans="1:8" x14ac:dyDescent="0.3">
      <c r="G8" t="s">
        <v>20</v>
      </c>
      <c r="H8">
        <v>3</v>
      </c>
    </row>
    <row r="9" spans="1:8" ht="15" thickBot="1" x14ac:dyDescent="0.35"/>
    <row r="10" spans="1:8" ht="25.8" thickBot="1" x14ac:dyDescent="0.65">
      <c r="A10" s="74" t="s">
        <v>61</v>
      </c>
      <c r="B10" s="75"/>
      <c r="C10" s="75"/>
      <c r="D10" s="75"/>
      <c r="E10" s="75"/>
    </row>
    <row r="11" spans="1:8" x14ac:dyDescent="0.3">
      <c r="A11" s="1" t="s">
        <v>1</v>
      </c>
      <c r="B11" s="1" t="s">
        <v>2</v>
      </c>
      <c r="C11" s="1" t="s">
        <v>3</v>
      </c>
      <c r="D11" s="1" t="s">
        <v>13</v>
      </c>
      <c r="E11" s="2" t="s">
        <v>14</v>
      </c>
    </row>
    <row r="12" spans="1:8" x14ac:dyDescent="0.3">
      <c r="A12" s="11">
        <v>1</v>
      </c>
      <c r="B12" s="10">
        <v>44746</v>
      </c>
      <c r="C12" s="11" t="s">
        <v>8</v>
      </c>
      <c r="D12" s="11" t="s">
        <v>20</v>
      </c>
      <c r="E12" s="11" t="s">
        <v>62</v>
      </c>
    </row>
    <row r="13" spans="1:8" x14ac:dyDescent="0.3">
      <c r="A13" s="11">
        <v>2</v>
      </c>
      <c r="B13" s="10">
        <v>44773</v>
      </c>
      <c r="C13" s="11" t="s">
        <v>8</v>
      </c>
      <c r="D13" s="11" t="s">
        <v>73</v>
      </c>
      <c r="E13" s="11" t="s">
        <v>62</v>
      </c>
      <c r="F13" s="29" t="s">
        <v>97</v>
      </c>
    </row>
    <row r="14" spans="1:8" x14ac:dyDescent="0.3">
      <c r="A14" s="11"/>
      <c r="B14" s="11"/>
      <c r="C14" s="11"/>
      <c r="D14" s="11"/>
      <c r="E14" s="11"/>
    </row>
    <row r="15" spans="1:8" x14ac:dyDescent="0.3">
      <c r="A15" s="11"/>
      <c r="B15" s="11"/>
      <c r="C15" s="11"/>
      <c r="D15" s="11"/>
      <c r="E15" s="11"/>
    </row>
    <row r="16" spans="1:8" x14ac:dyDescent="0.3">
      <c r="A16" s="11"/>
      <c r="B16" s="11"/>
      <c r="C16" s="11"/>
      <c r="D16" s="11"/>
      <c r="E16" s="11"/>
    </row>
    <row r="17" spans="1:6" x14ac:dyDescent="0.3">
      <c r="A17" s="11"/>
      <c r="B17" s="11"/>
      <c r="C17" s="11"/>
      <c r="D17" s="11"/>
      <c r="E17" s="11"/>
    </row>
    <row r="18" spans="1:6" x14ac:dyDescent="0.3">
      <c r="A18" s="11"/>
      <c r="B18" s="11"/>
      <c r="C18" s="11"/>
      <c r="D18" s="11"/>
      <c r="E18" s="11"/>
    </row>
    <row r="19" spans="1:6" ht="15" thickBot="1" x14ac:dyDescent="0.35"/>
    <row r="20" spans="1:6" ht="25.8" thickBot="1" x14ac:dyDescent="0.65">
      <c r="A20" s="74" t="s">
        <v>119</v>
      </c>
      <c r="B20" s="75"/>
      <c r="C20" s="75"/>
      <c r="D20" s="75"/>
      <c r="E20" s="75"/>
    </row>
    <row r="21" spans="1:6" x14ac:dyDescent="0.3">
      <c r="A21" s="1" t="s">
        <v>1</v>
      </c>
      <c r="B21" s="1" t="s">
        <v>2</v>
      </c>
      <c r="C21" s="1" t="s">
        <v>3</v>
      </c>
      <c r="D21" s="1" t="s">
        <v>13</v>
      </c>
      <c r="E21" s="2" t="s">
        <v>14</v>
      </c>
    </row>
    <row r="22" spans="1:6" x14ac:dyDescent="0.3">
      <c r="A22" s="11">
        <v>1</v>
      </c>
      <c r="B22" s="10">
        <v>44871</v>
      </c>
      <c r="C22" s="11" t="s">
        <v>112</v>
      </c>
      <c r="D22" s="11" t="s">
        <v>120</v>
      </c>
      <c r="E22" s="11" t="s">
        <v>121</v>
      </c>
    </row>
    <row r="23" spans="1:6" x14ac:dyDescent="0.3">
      <c r="A23" s="11">
        <v>2</v>
      </c>
      <c r="B23" s="10">
        <v>44882</v>
      </c>
      <c r="C23" s="11" t="s">
        <v>112</v>
      </c>
      <c r="D23" s="11" t="s">
        <v>99</v>
      </c>
      <c r="E23" s="11" t="s">
        <v>124</v>
      </c>
    </row>
    <row r="24" spans="1:6" x14ac:dyDescent="0.3">
      <c r="A24" s="11"/>
      <c r="B24" s="11"/>
      <c r="C24" s="11"/>
      <c r="D24" s="11"/>
      <c r="E24" s="11"/>
    </row>
    <row r="25" spans="1:6" x14ac:dyDescent="0.3">
      <c r="A25" s="11"/>
      <c r="B25" s="11"/>
      <c r="C25" s="11"/>
      <c r="D25" s="11"/>
      <c r="E25" s="11"/>
    </row>
    <row r="26" spans="1:6" x14ac:dyDescent="0.3">
      <c r="A26" s="11"/>
      <c r="B26" s="11"/>
      <c r="C26" s="11"/>
      <c r="D26" s="11"/>
      <c r="E26" s="11"/>
    </row>
    <row r="27" spans="1:6" ht="15" thickBot="1" x14ac:dyDescent="0.35"/>
    <row r="28" spans="1:6" ht="25.8" thickBot="1" x14ac:dyDescent="0.65">
      <c r="A28" s="74" t="s">
        <v>140</v>
      </c>
      <c r="B28" s="79"/>
      <c r="C28" s="79"/>
      <c r="D28" s="79"/>
      <c r="E28" s="79"/>
      <c r="F28" s="90"/>
    </row>
    <row r="29" spans="1:6" x14ac:dyDescent="0.3">
      <c r="A29" s="33" t="s">
        <v>1</v>
      </c>
      <c r="B29" s="34" t="s">
        <v>2</v>
      </c>
      <c r="C29" s="33" t="s">
        <v>3</v>
      </c>
      <c r="D29" s="33" t="s">
        <v>4</v>
      </c>
      <c r="E29" s="34" t="s">
        <v>14</v>
      </c>
      <c r="F29" s="35" t="s">
        <v>141</v>
      </c>
    </row>
    <row r="30" spans="1:6" x14ac:dyDescent="0.3">
      <c r="A30" s="81">
        <v>1</v>
      </c>
      <c r="B30" s="83">
        <v>44919</v>
      </c>
      <c r="C30" s="81" t="s">
        <v>129</v>
      </c>
      <c r="D30" s="23" t="s">
        <v>142</v>
      </c>
      <c r="E30" s="23" t="s">
        <v>143</v>
      </c>
      <c r="F30" s="23"/>
    </row>
    <row r="31" spans="1:6" x14ac:dyDescent="0.3">
      <c r="A31" s="82"/>
      <c r="B31" s="84"/>
      <c r="C31" s="82"/>
      <c r="D31" s="23" t="s">
        <v>144</v>
      </c>
      <c r="E31" s="23" t="s">
        <v>145</v>
      </c>
      <c r="F31" s="23"/>
    </row>
    <row r="32" spans="1:6" ht="28.8" x14ac:dyDescent="0.3">
      <c r="A32" s="23">
        <v>2</v>
      </c>
      <c r="B32" s="24">
        <v>44925</v>
      </c>
      <c r="C32" s="23" t="s">
        <v>129</v>
      </c>
      <c r="D32" s="23" t="s">
        <v>99</v>
      </c>
      <c r="E32" s="36" t="s">
        <v>154</v>
      </c>
      <c r="F32" s="23"/>
    </row>
    <row r="33" spans="1:6" x14ac:dyDescent="0.3">
      <c r="A33" s="23"/>
      <c r="B33" s="23"/>
      <c r="C33" s="23"/>
      <c r="D33" s="23"/>
      <c r="E33" s="23"/>
      <c r="F33" s="23"/>
    </row>
    <row r="34" spans="1:6" x14ac:dyDescent="0.3">
      <c r="A34" s="23"/>
      <c r="B34" s="23"/>
      <c r="C34" s="23"/>
      <c r="D34" s="23"/>
      <c r="E34" s="23"/>
      <c r="F34" s="23"/>
    </row>
    <row r="35" spans="1:6" ht="15" thickBot="1" x14ac:dyDescent="0.35"/>
    <row r="36" spans="1:6" ht="25.8" thickBot="1" x14ac:dyDescent="0.65">
      <c r="A36" s="87" t="s">
        <v>166</v>
      </c>
      <c r="B36" s="88"/>
      <c r="C36" s="88"/>
      <c r="D36" s="88"/>
      <c r="E36" s="89"/>
    </row>
    <row r="37" spans="1:6" x14ac:dyDescent="0.3">
      <c r="A37" s="37" t="s">
        <v>1</v>
      </c>
      <c r="B37" s="37" t="s">
        <v>2</v>
      </c>
      <c r="C37" s="37" t="s">
        <v>3</v>
      </c>
      <c r="D37" s="37" t="s">
        <v>13</v>
      </c>
      <c r="E37" s="37" t="s">
        <v>14</v>
      </c>
    </row>
    <row r="38" spans="1:6" s="38" customFormat="1" ht="29.4" thickBot="1" x14ac:dyDescent="0.35">
      <c r="A38" s="23">
        <v>1</v>
      </c>
      <c r="B38" s="24">
        <v>44952</v>
      </c>
      <c r="C38" s="23" t="s">
        <v>112</v>
      </c>
      <c r="D38" s="23" t="s">
        <v>120</v>
      </c>
      <c r="E38" s="36" t="s">
        <v>167</v>
      </c>
    </row>
    <row r="39" spans="1:6" ht="25.8" thickBot="1" x14ac:dyDescent="0.65">
      <c r="A39" s="87" t="s">
        <v>175</v>
      </c>
      <c r="B39" s="88"/>
      <c r="C39" s="88"/>
      <c r="D39" s="88"/>
      <c r="E39" s="89"/>
    </row>
    <row r="40" spans="1:6" x14ac:dyDescent="0.3">
      <c r="A40" s="37" t="s">
        <v>1</v>
      </c>
      <c r="B40" s="37" t="s">
        <v>2</v>
      </c>
      <c r="C40" s="37" t="s">
        <v>3</v>
      </c>
      <c r="D40" s="37" t="s">
        <v>13</v>
      </c>
      <c r="E40" s="37" t="s">
        <v>14</v>
      </c>
    </row>
    <row r="41" spans="1:6" x14ac:dyDescent="0.3">
      <c r="A41" s="11">
        <v>1</v>
      </c>
      <c r="B41" s="10">
        <v>44983</v>
      </c>
      <c r="C41" s="11" t="s">
        <v>112</v>
      </c>
      <c r="D41" s="11" t="s">
        <v>99</v>
      </c>
      <c r="E41" s="11" t="s">
        <v>176</v>
      </c>
    </row>
    <row r="42" spans="1:6" x14ac:dyDescent="0.3">
      <c r="A42" s="11"/>
      <c r="B42" s="11"/>
      <c r="C42" s="11"/>
      <c r="D42" s="11"/>
      <c r="E42" s="11"/>
    </row>
    <row r="43" spans="1:6" ht="15" thickBot="1" x14ac:dyDescent="0.35"/>
    <row r="44" spans="1:6" ht="25.8" thickBot="1" x14ac:dyDescent="0.65">
      <c r="A44" s="87" t="s">
        <v>186</v>
      </c>
      <c r="B44" s="88"/>
      <c r="C44" s="88"/>
      <c r="D44" s="88"/>
      <c r="E44" s="89"/>
    </row>
    <row r="45" spans="1:6" x14ac:dyDescent="0.3">
      <c r="A45" s="37" t="s">
        <v>1</v>
      </c>
      <c r="B45" s="37" t="s">
        <v>2</v>
      </c>
      <c r="C45" s="37" t="s">
        <v>3</v>
      </c>
      <c r="D45" s="37" t="s">
        <v>13</v>
      </c>
      <c r="E45" s="37" t="s">
        <v>14</v>
      </c>
    </row>
    <row r="46" spans="1:6" x14ac:dyDescent="0.3">
      <c r="A46" s="11">
        <v>1</v>
      </c>
      <c r="B46" s="10">
        <v>45000</v>
      </c>
      <c r="C46" s="11" t="s">
        <v>184</v>
      </c>
      <c r="D46" s="11" t="s">
        <v>99</v>
      </c>
      <c r="E46" s="11" t="s">
        <v>185</v>
      </c>
    </row>
    <row r="47" spans="1:6" x14ac:dyDescent="0.3">
      <c r="A47" s="11"/>
      <c r="B47" s="11"/>
      <c r="C47" s="11"/>
      <c r="D47" s="11"/>
      <c r="E47" s="11"/>
    </row>
    <row r="48" spans="1:6" ht="15" thickBot="1" x14ac:dyDescent="0.35"/>
    <row r="49" spans="1:5" ht="25.8" thickBot="1" x14ac:dyDescent="0.65">
      <c r="A49" s="87" t="s">
        <v>190</v>
      </c>
      <c r="B49" s="88"/>
      <c r="C49" s="88"/>
      <c r="D49" s="88"/>
      <c r="E49" s="89"/>
    </row>
    <row r="50" spans="1:5" x14ac:dyDescent="0.3">
      <c r="A50" s="37" t="s">
        <v>1</v>
      </c>
      <c r="B50" s="37" t="s">
        <v>2</v>
      </c>
      <c r="C50" s="37" t="s">
        <v>3</v>
      </c>
      <c r="D50" s="37" t="s">
        <v>13</v>
      </c>
      <c r="E50" s="37" t="s">
        <v>14</v>
      </c>
    </row>
    <row r="51" spans="1:5" x14ac:dyDescent="0.3">
      <c r="A51" s="11">
        <v>1</v>
      </c>
      <c r="B51" s="10">
        <v>45025</v>
      </c>
      <c r="C51" s="11" t="s">
        <v>184</v>
      </c>
      <c r="D51" s="11" t="s">
        <v>99</v>
      </c>
      <c r="E51" s="11" t="s">
        <v>191</v>
      </c>
    </row>
    <row r="52" spans="1:5" x14ac:dyDescent="0.3">
      <c r="A52" s="20">
        <v>2</v>
      </c>
      <c r="B52" s="39">
        <v>45031</v>
      </c>
      <c r="C52" s="20" t="s">
        <v>184</v>
      </c>
      <c r="D52" s="20" t="s">
        <v>99</v>
      </c>
      <c r="E52" s="20" t="s">
        <v>200</v>
      </c>
    </row>
    <row r="53" spans="1:5" x14ac:dyDescent="0.3">
      <c r="A53" s="11"/>
      <c r="B53" s="11"/>
      <c r="C53" s="11"/>
      <c r="D53" s="11"/>
      <c r="E53" s="11"/>
    </row>
    <row r="54" spans="1:5" x14ac:dyDescent="0.3">
      <c r="A54" s="11"/>
      <c r="B54" s="11"/>
      <c r="C54" s="11"/>
      <c r="D54" s="11"/>
      <c r="E54" s="11"/>
    </row>
    <row r="55" spans="1:5" ht="15" thickBot="1" x14ac:dyDescent="0.35">
      <c r="A55" s="11"/>
      <c r="B55" s="11"/>
      <c r="C55" s="11"/>
      <c r="D55" s="11"/>
      <c r="E55" s="11"/>
    </row>
    <row r="56" spans="1:5" ht="25.8" thickBot="1" x14ac:dyDescent="0.65">
      <c r="A56" s="87" t="s">
        <v>202</v>
      </c>
      <c r="B56" s="88"/>
      <c r="C56" s="88"/>
      <c r="D56" s="88"/>
      <c r="E56" s="89"/>
    </row>
    <row r="57" spans="1:5" x14ac:dyDescent="0.3">
      <c r="A57" s="37" t="s">
        <v>1</v>
      </c>
      <c r="B57" s="37" t="s">
        <v>2</v>
      </c>
      <c r="C57" s="37" t="s">
        <v>3</v>
      </c>
      <c r="D57" s="37" t="s">
        <v>13</v>
      </c>
      <c r="E57" s="37" t="s">
        <v>14</v>
      </c>
    </row>
    <row r="58" spans="1:5" x14ac:dyDescent="0.3">
      <c r="A58" s="11">
        <v>1</v>
      </c>
      <c r="B58" s="10">
        <v>45047</v>
      </c>
      <c r="C58" s="11" t="s">
        <v>184</v>
      </c>
      <c r="D58" s="11" t="s">
        <v>99</v>
      </c>
      <c r="E58" s="11" t="s">
        <v>200</v>
      </c>
    </row>
    <row r="59" spans="1:5" x14ac:dyDescent="0.3">
      <c r="A59" s="11">
        <v>2</v>
      </c>
      <c r="B59" s="10">
        <v>45072</v>
      </c>
      <c r="C59" s="11" t="s">
        <v>129</v>
      </c>
      <c r="D59" s="11" t="s">
        <v>211</v>
      </c>
      <c r="E59" s="11" t="s">
        <v>212</v>
      </c>
    </row>
    <row r="60" spans="1:5" x14ac:dyDescent="0.3">
      <c r="A60" s="11"/>
      <c r="B60" s="11"/>
      <c r="C60" s="11"/>
      <c r="D60" s="11"/>
      <c r="E60" s="11"/>
    </row>
    <row r="61" spans="1:5" ht="15" thickBot="1" x14ac:dyDescent="0.35"/>
    <row r="62" spans="1:5" ht="25.8" thickBot="1" x14ac:dyDescent="0.65">
      <c r="A62" s="74" t="s">
        <v>218</v>
      </c>
      <c r="B62" s="75"/>
      <c r="C62" s="75"/>
      <c r="D62" s="75"/>
      <c r="E62" s="77"/>
    </row>
    <row r="63" spans="1:5" x14ac:dyDescent="0.3">
      <c r="A63" s="1" t="s">
        <v>1</v>
      </c>
      <c r="B63" s="2" t="s">
        <v>2</v>
      </c>
      <c r="C63" s="1" t="s">
        <v>3</v>
      </c>
      <c r="D63" s="1" t="s">
        <v>4</v>
      </c>
      <c r="E63" s="1" t="s">
        <v>14</v>
      </c>
    </row>
    <row r="64" spans="1:5" x14ac:dyDescent="0.3">
      <c r="A64" s="81">
        <v>1</v>
      </c>
      <c r="B64" s="83">
        <v>45090</v>
      </c>
      <c r="C64" s="81" t="s">
        <v>196</v>
      </c>
      <c r="D64" s="11" t="s">
        <v>219</v>
      </c>
      <c r="E64" s="11">
        <v>10</v>
      </c>
    </row>
    <row r="65" spans="1:6" x14ac:dyDescent="0.3">
      <c r="A65" s="86"/>
      <c r="B65" s="85"/>
      <c r="C65" s="86"/>
      <c r="D65" s="11" t="s">
        <v>220</v>
      </c>
      <c r="E65" s="11">
        <v>27</v>
      </c>
    </row>
    <row r="66" spans="1:6" x14ac:dyDescent="0.3">
      <c r="A66" s="86"/>
      <c r="B66" s="85"/>
      <c r="C66" s="86"/>
      <c r="D66" s="11" t="s">
        <v>221</v>
      </c>
      <c r="E66" s="11">
        <v>74</v>
      </c>
    </row>
    <row r="67" spans="1:6" x14ac:dyDescent="0.3">
      <c r="A67" s="86"/>
      <c r="B67" s="85"/>
      <c r="C67" s="86"/>
      <c r="D67" s="11" t="s">
        <v>222</v>
      </c>
      <c r="E67" s="11">
        <v>22</v>
      </c>
    </row>
    <row r="68" spans="1:6" x14ac:dyDescent="0.3">
      <c r="A68" s="82"/>
      <c r="B68" s="84"/>
      <c r="C68" s="82"/>
      <c r="D68" s="11" t="s">
        <v>223</v>
      </c>
      <c r="E68" s="11">
        <v>22</v>
      </c>
    </row>
    <row r="69" spans="1:6" x14ac:dyDescent="0.3">
      <c r="A69" s="81">
        <v>2</v>
      </c>
      <c r="B69" s="83">
        <v>45101</v>
      </c>
      <c r="C69" s="81" t="s">
        <v>196</v>
      </c>
      <c r="D69" s="81" t="s">
        <v>253</v>
      </c>
      <c r="E69" s="11" t="s">
        <v>254</v>
      </c>
      <c r="F69" t="s">
        <v>255</v>
      </c>
    </row>
    <row r="70" spans="1:6" x14ac:dyDescent="0.3">
      <c r="A70" s="82"/>
      <c r="B70" s="84"/>
      <c r="C70" s="82"/>
      <c r="D70" s="82"/>
      <c r="E70" s="11" t="s">
        <v>256</v>
      </c>
      <c r="F70" t="s">
        <v>255</v>
      </c>
    </row>
    <row r="71" spans="1:6" x14ac:dyDescent="0.3">
      <c r="A71" s="81">
        <v>3</v>
      </c>
      <c r="B71" s="83">
        <v>45104</v>
      </c>
      <c r="C71" s="81" t="s">
        <v>196</v>
      </c>
      <c r="D71" s="11" t="s">
        <v>253</v>
      </c>
      <c r="E71" s="11" t="s">
        <v>259</v>
      </c>
      <c r="F71" s="29" t="s">
        <v>258</v>
      </c>
    </row>
    <row r="72" spans="1:6" x14ac:dyDescent="0.3">
      <c r="A72" s="86"/>
      <c r="B72" s="85"/>
      <c r="C72" s="86"/>
      <c r="D72" s="11" t="s">
        <v>253</v>
      </c>
      <c r="E72" s="11" t="s">
        <v>257</v>
      </c>
      <c r="F72" s="29" t="s">
        <v>258</v>
      </c>
    </row>
    <row r="73" spans="1:6" x14ac:dyDescent="0.3">
      <c r="A73" s="82"/>
      <c r="B73" s="84"/>
      <c r="C73" s="82"/>
      <c r="D73" s="11" t="s">
        <v>253</v>
      </c>
      <c r="E73" s="11" t="s">
        <v>260</v>
      </c>
      <c r="F73" s="29" t="s">
        <v>258</v>
      </c>
    </row>
    <row r="74" spans="1:6" x14ac:dyDescent="0.3">
      <c r="A74" s="11"/>
      <c r="B74" s="11"/>
      <c r="C74" s="11"/>
      <c r="D74" s="11"/>
      <c r="E74" s="11"/>
    </row>
    <row r="75" spans="1:6" ht="15" thickBot="1" x14ac:dyDescent="0.35"/>
    <row r="76" spans="1:6" ht="25.8" thickBot="1" x14ac:dyDescent="0.65">
      <c r="A76" s="74" t="s">
        <v>263</v>
      </c>
      <c r="B76" s="75"/>
      <c r="C76" s="75"/>
      <c r="D76" s="75"/>
      <c r="E76" s="77"/>
    </row>
    <row r="77" spans="1:6" x14ac:dyDescent="0.3">
      <c r="A77" s="1" t="s">
        <v>1</v>
      </c>
      <c r="B77" s="2" t="s">
        <v>2</v>
      </c>
      <c r="C77" s="1" t="s">
        <v>3</v>
      </c>
      <c r="D77" s="1" t="s">
        <v>4</v>
      </c>
      <c r="E77" s="1" t="s">
        <v>14</v>
      </c>
    </row>
    <row r="78" spans="1:6" x14ac:dyDescent="0.3">
      <c r="A78" s="81">
        <v>1</v>
      </c>
      <c r="B78" s="83">
        <v>45110</v>
      </c>
      <c r="C78" s="81" t="s">
        <v>196</v>
      </c>
      <c r="D78" s="11" t="s">
        <v>264</v>
      </c>
      <c r="E78" s="11" t="s">
        <v>265</v>
      </c>
      <c r="F78" s="29" t="s">
        <v>258</v>
      </c>
    </row>
    <row r="79" spans="1:6" x14ac:dyDescent="0.3">
      <c r="A79" s="86"/>
      <c r="B79" s="85"/>
      <c r="C79" s="86"/>
      <c r="D79" s="11" t="s">
        <v>264</v>
      </c>
      <c r="E79" s="11" t="s">
        <v>265</v>
      </c>
      <c r="F79" s="29" t="s">
        <v>258</v>
      </c>
    </row>
    <row r="80" spans="1:6" x14ac:dyDescent="0.3">
      <c r="A80" s="82"/>
      <c r="B80" s="84"/>
      <c r="C80" s="82"/>
      <c r="D80" s="11" t="s">
        <v>264</v>
      </c>
      <c r="E80" s="11" t="s">
        <v>265</v>
      </c>
      <c r="F80" s="29" t="s">
        <v>255</v>
      </c>
    </row>
    <row r="81" spans="1:6" x14ac:dyDescent="0.3">
      <c r="A81" s="81">
        <v>2</v>
      </c>
      <c r="B81" s="83">
        <v>45111</v>
      </c>
      <c r="C81" s="81" t="s">
        <v>196</v>
      </c>
      <c r="D81" s="11" t="s">
        <v>264</v>
      </c>
      <c r="E81" s="11" t="s">
        <v>265</v>
      </c>
      <c r="F81" s="29" t="s">
        <v>255</v>
      </c>
    </row>
    <row r="82" spans="1:6" x14ac:dyDescent="0.3">
      <c r="A82" s="86"/>
      <c r="B82" s="85"/>
      <c r="C82" s="86"/>
      <c r="D82" s="11" t="s">
        <v>264</v>
      </c>
      <c r="E82" s="11" t="s">
        <v>265</v>
      </c>
      <c r="F82" s="29" t="s">
        <v>255</v>
      </c>
    </row>
    <row r="83" spans="1:6" x14ac:dyDescent="0.3">
      <c r="A83" s="82"/>
      <c r="B83" s="84"/>
      <c r="C83" s="82"/>
      <c r="D83" s="11" t="s">
        <v>264</v>
      </c>
      <c r="E83" s="11" t="s">
        <v>265</v>
      </c>
      <c r="F83" s="29" t="s">
        <v>255</v>
      </c>
    </row>
    <row r="84" spans="1:6" x14ac:dyDescent="0.3">
      <c r="A84" s="95">
        <v>3</v>
      </c>
      <c r="B84" s="96">
        <v>45126</v>
      </c>
      <c r="C84" s="95" t="s">
        <v>196</v>
      </c>
      <c r="D84" s="11" t="s">
        <v>264</v>
      </c>
      <c r="E84" s="11" t="s">
        <v>265</v>
      </c>
      <c r="F84" s="29" t="s">
        <v>258</v>
      </c>
    </row>
    <row r="85" spans="1:6" x14ac:dyDescent="0.3">
      <c r="A85" s="95"/>
      <c r="B85" s="96"/>
      <c r="C85" s="95"/>
      <c r="D85" s="11" t="s">
        <v>264</v>
      </c>
      <c r="E85" s="11" t="s">
        <v>265</v>
      </c>
      <c r="F85" s="29" t="s">
        <v>258</v>
      </c>
    </row>
    <row r="86" spans="1:6" x14ac:dyDescent="0.3">
      <c r="A86" s="95"/>
      <c r="B86" s="96"/>
      <c r="C86" s="95"/>
      <c r="D86" s="11" t="s">
        <v>264</v>
      </c>
      <c r="E86" s="11" t="s">
        <v>265</v>
      </c>
      <c r="F86" s="29" t="s">
        <v>258</v>
      </c>
    </row>
    <row r="87" spans="1:6" x14ac:dyDescent="0.3">
      <c r="A87" s="81">
        <v>4</v>
      </c>
      <c r="B87" s="83">
        <v>45127</v>
      </c>
      <c r="C87" s="81" t="s">
        <v>196</v>
      </c>
      <c r="D87" s="11" t="s">
        <v>264</v>
      </c>
      <c r="E87" s="11" t="s">
        <v>265</v>
      </c>
      <c r="F87" s="29" t="s">
        <v>258</v>
      </c>
    </row>
    <row r="88" spans="1:6" x14ac:dyDescent="0.3">
      <c r="A88" s="82"/>
      <c r="B88" s="84"/>
      <c r="C88" s="82"/>
      <c r="D88" s="11" t="s">
        <v>264</v>
      </c>
      <c r="E88" s="11" t="s">
        <v>265</v>
      </c>
      <c r="F88" s="29" t="s">
        <v>258</v>
      </c>
    </row>
    <row r="89" spans="1:6" x14ac:dyDescent="0.3">
      <c r="A89" s="81">
        <v>5</v>
      </c>
      <c r="B89" s="83">
        <v>45135</v>
      </c>
      <c r="C89" s="81" t="s">
        <v>196</v>
      </c>
      <c r="D89" s="11" t="s">
        <v>264</v>
      </c>
      <c r="E89" s="11" t="s">
        <v>265</v>
      </c>
      <c r="F89" s="29" t="s">
        <v>258</v>
      </c>
    </row>
    <row r="90" spans="1:6" x14ac:dyDescent="0.3">
      <c r="A90" s="82"/>
      <c r="B90" s="84"/>
      <c r="C90" s="82"/>
      <c r="D90" s="11" t="s">
        <v>264</v>
      </c>
      <c r="E90" s="11" t="s">
        <v>265</v>
      </c>
      <c r="F90" s="29" t="s">
        <v>258</v>
      </c>
    </row>
    <row r="91" spans="1:6" x14ac:dyDescent="0.3">
      <c r="A91" s="11"/>
      <c r="B91" s="11"/>
      <c r="C91" s="11"/>
      <c r="D91" s="11"/>
      <c r="E91" s="11"/>
    </row>
    <row r="92" spans="1:6" x14ac:dyDescent="0.3">
      <c r="A92" s="11"/>
      <c r="B92" s="11"/>
      <c r="C92" s="11"/>
      <c r="D92" s="11"/>
      <c r="E92" s="11"/>
    </row>
    <row r="94" spans="1:6" ht="15" thickBot="1" x14ac:dyDescent="0.35">
      <c r="D94" t="s">
        <v>267</v>
      </c>
    </row>
    <row r="95" spans="1:6" ht="25.8" thickBot="1" x14ac:dyDescent="0.65">
      <c r="A95" s="74" t="s">
        <v>301</v>
      </c>
      <c r="B95" s="75"/>
      <c r="C95" s="75"/>
      <c r="D95" s="75"/>
      <c r="E95" s="77"/>
    </row>
    <row r="96" spans="1:6" x14ac:dyDescent="0.3">
      <c r="A96" s="1" t="s">
        <v>1</v>
      </c>
      <c r="B96" s="2" t="s">
        <v>2</v>
      </c>
      <c r="C96" s="1" t="s">
        <v>3</v>
      </c>
      <c r="D96" s="1" t="s">
        <v>4</v>
      </c>
      <c r="E96" s="1" t="s">
        <v>14</v>
      </c>
    </row>
    <row r="97" spans="1:11" x14ac:dyDescent="0.3">
      <c r="A97" s="81">
        <v>1</v>
      </c>
      <c r="B97" s="83">
        <v>45205</v>
      </c>
      <c r="C97" s="11" t="s">
        <v>302</v>
      </c>
      <c r="D97" s="11"/>
      <c r="E97" s="11">
        <v>13</v>
      </c>
    </row>
    <row r="98" spans="1:11" x14ac:dyDescent="0.3">
      <c r="A98" s="86"/>
      <c r="B98" s="85"/>
      <c r="C98" s="11" t="s">
        <v>303</v>
      </c>
      <c r="D98" s="11"/>
      <c r="E98" s="11">
        <v>8</v>
      </c>
    </row>
    <row r="99" spans="1:11" x14ac:dyDescent="0.3">
      <c r="A99" s="82"/>
      <c r="B99" s="84"/>
      <c r="C99" s="11" t="s">
        <v>304</v>
      </c>
      <c r="D99" s="11"/>
      <c r="E99" s="11">
        <v>250</v>
      </c>
    </row>
    <row r="100" spans="1:11" x14ac:dyDescent="0.3">
      <c r="A100" s="81">
        <v>2</v>
      </c>
      <c r="B100" s="83">
        <v>45219</v>
      </c>
      <c r="C100" s="81" t="s">
        <v>196</v>
      </c>
      <c r="D100" s="81" t="s">
        <v>20</v>
      </c>
      <c r="E100" s="11" t="s">
        <v>310</v>
      </c>
    </row>
    <row r="101" spans="1:11" x14ac:dyDescent="0.3">
      <c r="A101" s="82"/>
      <c r="B101" s="84"/>
      <c r="C101" s="82"/>
      <c r="D101" s="82"/>
      <c r="E101" s="11" t="s">
        <v>311</v>
      </c>
    </row>
    <row r="102" spans="1:11" x14ac:dyDescent="0.3">
      <c r="A102" s="81">
        <v>3</v>
      </c>
      <c r="B102" s="83">
        <v>45221</v>
      </c>
      <c r="C102" s="81" t="s">
        <v>312</v>
      </c>
      <c r="D102" s="11" t="s">
        <v>73</v>
      </c>
      <c r="E102" s="11" t="s">
        <v>313</v>
      </c>
    </row>
    <row r="103" spans="1:11" x14ac:dyDescent="0.3">
      <c r="A103" s="82"/>
      <c r="B103" s="84"/>
      <c r="C103" s="82"/>
      <c r="D103" s="11" t="s">
        <v>314</v>
      </c>
      <c r="E103" s="11" t="s">
        <v>315</v>
      </c>
    </row>
    <row r="104" spans="1:11" ht="15" thickBot="1" x14ac:dyDescent="0.35"/>
    <row r="105" spans="1:11" ht="25.8" thickBot="1" x14ac:dyDescent="0.65">
      <c r="A105" s="74" t="s">
        <v>319</v>
      </c>
      <c r="B105" s="75"/>
      <c r="C105" s="75"/>
      <c r="D105" s="75"/>
      <c r="E105" s="77"/>
    </row>
    <row r="106" spans="1:11" x14ac:dyDescent="0.3">
      <c r="A106" s="1" t="s">
        <v>1</v>
      </c>
      <c r="B106" s="2" t="s">
        <v>2</v>
      </c>
      <c r="C106" s="1" t="s">
        <v>3</v>
      </c>
      <c r="D106" s="1" t="s">
        <v>4</v>
      </c>
      <c r="E106" s="1" t="s">
        <v>14</v>
      </c>
    </row>
    <row r="107" spans="1:11" x14ac:dyDescent="0.3">
      <c r="A107" s="23">
        <v>1</v>
      </c>
      <c r="B107" s="24">
        <v>45231</v>
      </c>
      <c r="C107" s="11" t="s">
        <v>320</v>
      </c>
      <c r="D107" s="11" t="s">
        <v>321</v>
      </c>
      <c r="E107" s="11">
        <v>16</v>
      </c>
      <c r="K107" t="s">
        <v>348</v>
      </c>
    </row>
    <row r="108" spans="1:11" x14ac:dyDescent="0.3">
      <c r="A108" s="23"/>
      <c r="B108" s="24"/>
      <c r="C108" s="11"/>
      <c r="D108" s="11"/>
      <c r="E108" s="11"/>
    </row>
    <row r="109" spans="1:11" x14ac:dyDescent="0.3">
      <c r="A109" s="23"/>
      <c r="B109" s="24"/>
      <c r="C109" s="11"/>
      <c r="D109" s="11"/>
      <c r="E109" s="11"/>
    </row>
    <row r="110" spans="1:11" ht="15" thickBot="1" x14ac:dyDescent="0.35"/>
    <row r="111" spans="1:11" ht="25.8" thickBot="1" x14ac:dyDescent="0.65">
      <c r="A111" s="74" t="s">
        <v>347</v>
      </c>
      <c r="B111" s="75"/>
      <c r="C111" s="75"/>
      <c r="D111" s="75"/>
      <c r="E111" s="77"/>
    </row>
    <row r="112" spans="1:11" x14ac:dyDescent="0.3">
      <c r="A112" s="1" t="s">
        <v>1</v>
      </c>
      <c r="B112" s="2" t="s">
        <v>2</v>
      </c>
      <c r="C112" s="1" t="s">
        <v>3</v>
      </c>
      <c r="D112" s="1" t="s">
        <v>4</v>
      </c>
      <c r="E112" s="1" t="s">
        <v>14</v>
      </c>
    </row>
    <row r="113" spans="1:17" x14ac:dyDescent="0.3">
      <c r="A113" s="81">
        <v>1</v>
      </c>
      <c r="B113" s="83">
        <v>45231</v>
      </c>
      <c r="C113" s="81" t="s">
        <v>337</v>
      </c>
      <c r="D113" s="11" t="s">
        <v>99</v>
      </c>
      <c r="E113" s="11">
        <f>13*8</f>
        <v>104</v>
      </c>
      <c r="F113" t="s">
        <v>349</v>
      </c>
    </row>
    <row r="114" spans="1:17" x14ac:dyDescent="0.3">
      <c r="A114" s="82"/>
      <c r="B114" s="84"/>
      <c r="C114" s="82"/>
      <c r="D114" s="11" t="s">
        <v>99</v>
      </c>
      <c r="E114" s="11">
        <f>6*17</f>
        <v>102</v>
      </c>
      <c r="F114" t="s">
        <v>350</v>
      </c>
    </row>
    <row r="115" spans="1:17" x14ac:dyDescent="0.3">
      <c r="A115" s="23"/>
      <c r="B115" s="24"/>
      <c r="C115" s="11"/>
      <c r="D115" s="11"/>
      <c r="E115" s="11"/>
    </row>
    <row r="117" spans="1:17" x14ac:dyDescent="0.3">
      <c r="A117" s="78" t="s">
        <v>352</v>
      </c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</row>
    <row r="118" spans="1:17" ht="15" thickBot="1" x14ac:dyDescent="0.35"/>
    <row r="119" spans="1:17" ht="25.8" thickBot="1" x14ac:dyDescent="0.65">
      <c r="A119" s="74" t="s">
        <v>225</v>
      </c>
      <c r="B119" s="75"/>
      <c r="C119" s="75"/>
      <c r="D119" s="75"/>
      <c r="E119" s="77"/>
    </row>
    <row r="120" spans="1:17" x14ac:dyDescent="0.3">
      <c r="A120" s="1" t="s">
        <v>1</v>
      </c>
      <c r="B120" s="2" t="s">
        <v>2</v>
      </c>
      <c r="C120" s="1" t="s">
        <v>3</v>
      </c>
      <c r="D120" s="1" t="s">
        <v>4</v>
      </c>
      <c r="E120" s="1" t="s">
        <v>14</v>
      </c>
    </row>
    <row r="121" spans="1:17" x14ac:dyDescent="0.3">
      <c r="A121" s="81">
        <v>1</v>
      </c>
      <c r="B121" s="83">
        <v>45964</v>
      </c>
      <c r="C121" s="81" t="s">
        <v>353</v>
      </c>
      <c r="D121" s="11" t="s">
        <v>20</v>
      </c>
      <c r="E121" s="11">
        <v>17</v>
      </c>
    </row>
    <row r="122" spans="1:17" x14ac:dyDescent="0.3">
      <c r="A122" s="86"/>
      <c r="B122" s="85"/>
      <c r="C122" s="86"/>
      <c r="D122" s="11" t="s">
        <v>321</v>
      </c>
      <c r="E122" s="11">
        <v>6</v>
      </c>
    </row>
    <row r="123" spans="1:17" x14ac:dyDescent="0.3">
      <c r="A123" s="82"/>
      <c r="B123" s="84"/>
      <c r="C123" s="82"/>
      <c r="D123" s="11" t="s">
        <v>354</v>
      </c>
      <c r="E123" s="11">
        <v>3</v>
      </c>
    </row>
    <row r="124" spans="1:17" x14ac:dyDescent="0.3">
      <c r="A124" s="43">
        <v>2</v>
      </c>
      <c r="B124" s="54">
        <v>46066</v>
      </c>
      <c r="C124" s="43" t="s">
        <v>390</v>
      </c>
      <c r="D124" s="43" t="s">
        <v>20</v>
      </c>
      <c r="E124" s="43">
        <v>10</v>
      </c>
    </row>
    <row r="125" spans="1:17" x14ac:dyDescent="0.3">
      <c r="A125" s="43"/>
      <c r="B125" s="54">
        <v>46106</v>
      </c>
      <c r="C125" s="43" t="s">
        <v>390</v>
      </c>
      <c r="D125" s="43" t="s">
        <v>402</v>
      </c>
      <c r="E125" s="43"/>
    </row>
    <row r="126" spans="1:17" x14ac:dyDescent="0.3">
      <c r="A126" s="43"/>
      <c r="B126" s="43"/>
      <c r="C126" s="43"/>
      <c r="D126" s="43"/>
      <c r="E126" s="43"/>
    </row>
    <row r="127" spans="1:17" x14ac:dyDescent="0.3">
      <c r="A127" s="43"/>
      <c r="B127" s="43"/>
      <c r="C127" s="43"/>
      <c r="D127" s="43"/>
      <c r="E127" s="43"/>
    </row>
    <row r="128" spans="1:17" x14ac:dyDescent="0.3">
      <c r="A128" s="43"/>
      <c r="B128" s="43"/>
      <c r="C128" s="43"/>
      <c r="D128" s="43"/>
      <c r="E128" s="43"/>
    </row>
  </sheetData>
  <autoFilter ref="A1:H60" xr:uid="{00000000-0009-0000-0000-000001000000}"/>
  <mergeCells count="62">
    <mergeCell ref="A119:E119"/>
    <mergeCell ref="A117:Q117"/>
    <mergeCell ref="B121:B123"/>
    <mergeCell ref="A121:A123"/>
    <mergeCell ref="C121:C123"/>
    <mergeCell ref="A111:E111"/>
    <mergeCell ref="C113:C114"/>
    <mergeCell ref="B113:B114"/>
    <mergeCell ref="A113:A114"/>
    <mergeCell ref="A105:E105"/>
    <mergeCell ref="B81:B83"/>
    <mergeCell ref="A81:A83"/>
    <mergeCell ref="A95:E95"/>
    <mergeCell ref="C89:C90"/>
    <mergeCell ref="B89:B90"/>
    <mergeCell ref="A89:A90"/>
    <mergeCell ref="A84:A86"/>
    <mergeCell ref="B84:B86"/>
    <mergeCell ref="C84:C86"/>
    <mergeCell ref="C87:C88"/>
    <mergeCell ref="B87:B88"/>
    <mergeCell ref="A87:A88"/>
    <mergeCell ref="D100:D101"/>
    <mergeCell ref="C100:C101"/>
    <mergeCell ref="B100:B101"/>
    <mergeCell ref="A49:E49"/>
    <mergeCell ref="A44:E44"/>
    <mergeCell ref="A62:E62"/>
    <mergeCell ref="A64:A68"/>
    <mergeCell ref="B64:B68"/>
    <mergeCell ref="C64:C68"/>
    <mergeCell ref="A56:E56"/>
    <mergeCell ref="A76:E76"/>
    <mergeCell ref="C78:C80"/>
    <mergeCell ref="B78:B80"/>
    <mergeCell ref="A78:A80"/>
    <mergeCell ref="C81:C83"/>
    <mergeCell ref="D69:D70"/>
    <mergeCell ref="A20:E20"/>
    <mergeCell ref="A2:E2"/>
    <mergeCell ref="A4:A5"/>
    <mergeCell ref="B4:B5"/>
    <mergeCell ref="C4:C5"/>
    <mergeCell ref="A10:E10"/>
    <mergeCell ref="A39:E39"/>
    <mergeCell ref="A36:E36"/>
    <mergeCell ref="A28:F28"/>
    <mergeCell ref="A30:A31"/>
    <mergeCell ref="B30:B31"/>
    <mergeCell ref="C30:C31"/>
    <mergeCell ref="C69:C70"/>
    <mergeCell ref="B69:B70"/>
    <mergeCell ref="A69:A70"/>
    <mergeCell ref="C71:C73"/>
    <mergeCell ref="B71:B73"/>
    <mergeCell ref="A71:A73"/>
    <mergeCell ref="C102:C103"/>
    <mergeCell ref="B102:B103"/>
    <mergeCell ref="A102:A103"/>
    <mergeCell ref="B97:B99"/>
    <mergeCell ref="A97:A99"/>
    <mergeCell ref="A100:A1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2"/>
  <sheetViews>
    <sheetView topLeftCell="A191" workbookViewId="0">
      <selection activeCell="C212" sqref="C212:E212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32.88671875" bestFit="1" customWidth="1"/>
    <col min="4" max="4" width="12.33203125" bestFit="1" customWidth="1"/>
    <col min="5" max="5" width="17.33203125" bestFit="1" customWidth="1"/>
    <col min="10" max="10" width="29.33203125" bestFit="1" customWidth="1"/>
    <col min="11" max="11" width="9.44140625" bestFit="1" customWidth="1"/>
    <col min="12" max="12" width="17.88671875" bestFit="1" customWidth="1"/>
  </cols>
  <sheetData>
    <row r="1" spans="1:5" ht="15" thickBot="1" x14ac:dyDescent="0.35"/>
    <row r="2" spans="1:5" ht="25.8" thickBot="1" x14ac:dyDescent="0.65">
      <c r="A2" s="74" t="s">
        <v>21</v>
      </c>
      <c r="B2" s="75"/>
      <c r="C2" s="75"/>
      <c r="D2" s="75"/>
      <c r="E2" s="77"/>
    </row>
    <row r="3" spans="1:5" ht="15" thickBot="1" x14ac:dyDescent="0.35">
      <c r="A3" s="1" t="s">
        <v>1</v>
      </c>
      <c r="B3" s="2" t="s">
        <v>2</v>
      </c>
      <c r="C3" s="3" t="s">
        <v>3</v>
      </c>
      <c r="D3" s="1" t="s">
        <v>4</v>
      </c>
      <c r="E3" s="3" t="s">
        <v>22</v>
      </c>
    </row>
    <row r="4" spans="1:5" x14ac:dyDescent="0.3">
      <c r="A4" s="11">
        <v>1</v>
      </c>
      <c r="B4" s="10">
        <v>44679</v>
      </c>
      <c r="C4" s="11" t="s">
        <v>24</v>
      </c>
      <c r="D4" s="11" t="s">
        <v>25</v>
      </c>
      <c r="E4" s="11" t="s">
        <v>26</v>
      </c>
    </row>
    <row r="5" spans="1:5" x14ac:dyDescent="0.3">
      <c r="A5" s="11">
        <v>2</v>
      </c>
      <c r="B5" s="10">
        <v>44680</v>
      </c>
      <c r="C5" s="11" t="s">
        <v>27</v>
      </c>
      <c r="D5" s="11" t="s">
        <v>23</v>
      </c>
      <c r="E5" s="11" t="s">
        <v>26</v>
      </c>
    </row>
    <row r="6" spans="1:5" ht="15" thickBot="1" x14ac:dyDescent="0.35"/>
    <row r="7" spans="1:5" ht="25.8" thickBot="1" x14ac:dyDescent="0.65">
      <c r="A7" s="74" t="s">
        <v>28</v>
      </c>
      <c r="B7" s="75"/>
      <c r="C7" s="75"/>
      <c r="D7" s="75"/>
      <c r="E7" s="77"/>
    </row>
    <row r="8" spans="1:5" ht="15" thickBot="1" x14ac:dyDescent="0.35">
      <c r="A8" s="3" t="s">
        <v>1</v>
      </c>
      <c r="B8" s="3" t="s">
        <v>2</v>
      </c>
      <c r="C8" s="3" t="s">
        <v>3</v>
      </c>
      <c r="D8" s="1" t="s">
        <v>4</v>
      </c>
      <c r="E8" s="3" t="s">
        <v>22</v>
      </c>
    </row>
    <row r="9" spans="1:5" x14ac:dyDescent="0.3">
      <c r="A9" s="11">
        <v>1</v>
      </c>
      <c r="B9" s="10">
        <v>44682</v>
      </c>
      <c r="C9" s="11" t="s">
        <v>29</v>
      </c>
      <c r="D9" s="11" t="s">
        <v>23</v>
      </c>
      <c r="E9" s="11" t="s">
        <v>30</v>
      </c>
    </row>
    <row r="10" spans="1:5" x14ac:dyDescent="0.3">
      <c r="A10" s="11">
        <v>2</v>
      </c>
      <c r="B10" s="10">
        <v>44683</v>
      </c>
      <c r="C10" s="11" t="s">
        <v>29</v>
      </c>
      <c r="D10" s="11" t="s">
        <v>23</v>
      </c>
      <c r="E10" s="11" t="s">
        <v>26</v>
      </c>
    </row>
    <row r="11" spans="1:5" x14ac:dyDescent="0.3">
      <c r="A11" s="11">
        <v>3</v>
      </c>
      <c r="B11" s="10">
        <v>44686</v>
      </c>
      <c r="C11" s="11" t="s">
        <v>29</v>
      </c>
      <c r="D11" s="11" t="s">
        <v>23</v>
      </c>
      <c r="E11" s="11" t="s">
        <v>31</v>
      </c>
    </row>
    <row r="12" spans="1:5" x14ac:dyDescent="0.3">
      <c r="A12" s="11">
        <v>4</v>
      </c>
      <c r="B12" s="10">
        <v>44688</v>
      </c>
      <c r="C12" s="11" t="s">
        <v>8</v>
      </c>
      <c r="D12" s="11" t="s">
        <v>32</v>
      </c>
      <c r="E12" s="11" t="s">
        <v>33</v>
      </c>
    </row>
    <row r="13" spans="1:5" x14ac:dyDescent="0.3">
      <c r="A13" s="11">
        <v>5</v>
      </c>
      <c r="B13" s="10">
        <v>44692</v>
      </c>
      <c r="C13" s="11" t="s">
        <v>34</v>
      </c>
      <c r="D13" s="11" t="s">
        <v>35</v>
      </c>
      <c r="E13" s="11" t="s">
        <v>36</v>
      </c>
    </row>
    <row r="14" spans="1:5" x14ac:dyDescent="0.3">
      <c r="A14" s="11">
        <v>6</v>
      </c>
      <c r="B14" s="10">
        <v>44699</v>
      </c>
      <c r="C14" s="11" t="s">
        <v>8</v>
      </c>
      <c r="D14" s="11" t="s">
        <v>23</v>
      </c>
      <c r="E14" s="11" t="s">
        <v>37</v>
      </c>
    </row>
    <row r="15" spans="1:5" x14ac:dyDescent="0.3">
      <c r="A15" s="11">
        <v>7</v>
      </c>
      <c r="B15" s="10">
        <v>44700</v>
      </c>
      <c r="C15" s="11" t="s">
        <v>38</v>
      </c>
      <c r="D15" s="11" t="s">
        <v>35</v>
      </c>
      <c r="E15" s="11" t="s">
        <v>36</v>
      </c>
    </row>
    <row r="16" spans="1:5" x14ac:dyDescent="0.3">
      <c r="A16" s="11">
        <v>8</v>
      </c>
      <c r="B16" s="10">
        <v>44700</v>
      </c>
      <c r="C16" s="11" t="s">
        <v>8</v>
      </c>
      <c r="D16" s="11" t="s">
        <v>39</v>
      </c>
      <c r="E16" s="11" t="s">
        <v>40</v>
      </c>
    </row>
    <row r="17" spans="1:5" x14ac:dyDescent="0.3">
      <c r="A17" s="11">
        <v>9</v>
      </c>
      <c r="B17" s="10">
        <v>44702</v>
      </c>
      <c r="C17" s="11" t="s">
        <v>8</v>
      </c>
      <c r="D17" s="11" t="s">
        <v>23</v>
      </c>
      <c r="E17" s="11" t="s">
        <v>26</v>
      </c>
    </row>
    <row r="19" spans="1:5" ht="15" thickBot="1" x14ac:dyDescent="0.35"/>
    <row r="20" spans="1:5" ht="25.8" thickBot="1" x14ac:dyDescent="0.65">
      <c r="A20" s="74" t="s">
        <v>57</v>
      </c>
      <c r="B20" s="75"/>
      <c r="C20" s="75"/>
      <c r="D20" s="76"/>
      <c r="E20" s="77"/>
    </row>
    <row r="21" spans="1:5" x14ac:dyDescent="0.3">
      <c r="A21" s="1" t="s">
        <v>1</v>
      </c>
      <c r="B21" s="1" t="s">
        <v>2</v>
      </c>
      <c r="C21" s="2" t="s">
        <v>3</v>
      </c>
      <c r="D21" s="1" t="s">
        <v>4</v>
      </c>
      <c r="E21" s="27" t="s">
        <v>22</v>
      </c>
    </row>
    <row r="22" spans="1:5" x14ac:dyDescent="0.3">
      <c r="A22" s="11">
        <v>1</v>
      </c>
      <c r="B22" s="10">
        <v>44736</v>
      </c>
      <c r="C22" s="11" t="s">
        <v>58</v>
      </c>
      <c r="D22" s="11" t="s">
        <v>59</v>
      </c>
      <c r="E22" s="11" t="s">
        <v>60</v>
      </c>
    </row>
    <row r="23" spans="1:5" x14ac:dyDescent="0.3">
      <c r="A23" s="11">
        <v>2</v>
      </c>
      <c r="B23" s="11"/>
      <c r="C23" s="11"/>
      <c r="D23" s="11"/>
      <c r="E23" s="11"/>
    </row>
    <row r="24" spans="1:5" x14ac:dyDescent="0.3">
      <c r="A24" s="11"/>
      <c r="B24" s="11"/>
      <c r="C24" s="11"/>
      <c r="D24" s="11"/>
      <c r="E24" s="11"/>
    </row>
    <row r="25" spans="1:5" ht="15" thickBot="1" x14ac:dyDescent="0.35"/>
    <row r="26" spans="1:5" ht="25.8" thickBot="1" x14ac:dyDescent="0.65">
      <c r="A26" s="74" t="s">
        <v>65</v>
      </c>
      <c r="B26" s="75"/>
      <c r="C26" s="75"/>
      <c r="D26" s="76"/>
      <c r="E26" s="77"/>
    </row>
    <row r="27" spans="1:5" x14ac:dyDescent="0.3">
      <c r="A27" s="1" t="s">
        <v>1</v>
      </c>
      <c r="B27" s="1" t="s">
        <v>2</v>
      </c>
      <c r="C27" s="2" t="s">
        <v>3</v>
      </c>
      <c r="D27" s="1" t="s">
        <v>4</v>
      </c>
      <c r="E27" s="27" t="s">
        <v>22</v>
      </c>
    </row>
    <row r="28" spans="1:5" x14ac:dyDescent="0.3">
      <c r="A28" s="11">
        <v>1</v>
      </c>
      <c r="B28" s="10">
        <v>44746</v>
      </c>
      <c r="C28" s="11" t="s">
        <v>44</v>
      </c>
      <c r="D28" s="11"/>
      <c r="E28" s="11" t="s">
        <v>64</v>
      </c>
    </row>
    <row r="29" spans="1:5" x14ac:dyDescent="0.3">
      <c r="A29" s="11">
        <v>2</v>
      </c>
      <c r="B29" s="10">
        <v>44752</v>
      </c>
      <c r="C29" s="11" t="s">
        <v>44</v>
      </c>
      <c r="D29" s="11"/>
      <c r="E29" s="11" t="s">
        <v>69</v>
      </c>
    </row>
    <row r="30" spans="1:5" x14ac:dyDescent="0.3">
      <c r="A30" s="11">
        <v>3</v>
      </c>
      <c r="B30" s="10">
        <v>44761</v>
      </c>
      <c r="C30" s="11" t="s">
        <v>71</v>
      </c>
      <c r="D30" s="11"/>
      <c r="E30" s="11" t="s">
        <v>72</v>
      </c>
    </row>
    <row r="31" spans="1:5" x14ac:dyDescent="0.3">
      <c r="A31" s="11">
        <v>4</v>
      </c>
      <c r="B31" s="10">
        <v>44773</v>
      </c>
      <c r="C31" s="11" t="s">
        <v>44</v>
      </c>
      <c r="D31" s="11"/>
      <c r="E31" s="11" t="s">
        <v>26</v>
      </c>
    </row>
    <row r="32" spans="1:5" x14ac:dyDescent="0.3">
      <c r="A32" s="11"/>
      <c r="B32" s="11"/>
      <c r="C32" s="11"/>
      <c r="D32" s="11"/>
      <c r="E32" s="11"/>
    </row>
    <row r="33" spans="1:12" ht="15" thickBot="1" x14ac:dyDescent="0.35"/>
    <row r="34" spans="1:12" ht="25.8" thickBot="1" x14ac:dyDescent="0.65">
      <c r="A34" s="74" t="s">
        <v>74</v>
      </c>
      <c r="B34" s="75"/>
      <c r="C34" s="75"/>
      <c r="D34" s="76"/>
      <c r="E34" s="77"/>
    </row>
    <row r="35" spans="1:12" x14ac:dyDescent="0.3">
      <c r="A35" s="1" t="s">
        <v>1</v>
      </c>
      <c r="B35" s="1" t="s">
        <v>2</v>
      </c>
      <c r="C35" s="2" t="s">
        <v>3</v>
      </c>
      <c r="D35" s="1" t="s">
        <v>4</v>
      </c>
      <c r="E35" s="27" t="s">
        <v>22</v>
      </c>
    </row>
    <row r="36" spans="1:12" x14ac:dyDescent="0.3">
      <c r="A36" s="11">
        <v>1</v>
      </c>
      <c r="B36" s="10">
        <v>44788</v>
      </c>
      <c r="C36" s="11" t="s">
        <v>44</v>
      </c>
      <c r="D36" s="11" t="s">
        <v>23</v>
      </c>
      <c r="E36" s="11" t="s">
        <v>70</v>
      </c>
    </row>
    <row r="37" spans="1:12" x14ac:dyDescent="0.3">
      <c r="A37" s="11"/>
      <c r="B37" s="11"/>
      <c r="C37" s="11"/>
      <c r="D37" s="11"/>
      <c r="E37" s="11"/>
    </row>
    <row r="38" spans="1:12" x14ac:dyDescent="0.3">
      <c r="A38" s="11"/>
      <c r="B38" s="11"/>
      <c r="C38" s="11"/>
      <c r="D38" s="11"/>
      <c r="E38" s="11"/>
    </row>
    <row r="40" spans="1:12" ht="15" thickBot="1" x14ac:dyDescent="0.35"/>
    <row r="41" spans="1:12" ht="25.8" thickBot="1" x14ac:dyDescent="0.65">
      <c r="A41" s="74" t="s">
        <v>83</v>
      </c>
      <c r="B41" s="75"/>
      <c r="C41" s="75"/>
      <c r="D41" s="76"/>
      <c r="E41" s="77"/>
      <c r="H41" s="74" t="s">
        <v>83</v>
      </c>
      <c r="I41" s="79"/>
      <c r="J41" s="79"/>
      <c r="K41" s="79"/>
      <c r="L41" s="80"/>
    </row>
    <row r="42" spans="1:12" x14ac:dyDescent="0.3">
      <c r="A42" s="1" t="s">
        <v>1</v>
      </c>
      <c r="B42" s="1" t="s">
        <v>2</v>
      </c>
      <c r="C42" s="2" t="s">
        <v>3</v>
      </c>
      <c r="D42" s="1" t="s">
        <v>4</v>
      </c>
      <c r="E42" s="27" t="s">
        <v>22</v>
      </c>
      <c r="H42" s="1" t="s">
        <v>1</v>
      </c>
      <c r="I42" s="28" t="s">
        <v>2</v>
      </c>
      <c r="J42" s="1" t="s">
        <v>3</v>
      </c>
      <c r="K42" s="1" t="s">
        <v>4</v>
      </c>
      <c r="L42" s="1" t="s">
        <v>14</v>
      </c>
    </row>
    <row r="43" spans="1:12" x14ac:dyDescent="0.3">
      <c r="A43" s="11">
        <v>1</v>
      </c>
      <c r="B43" s="10">
        <v>44837</v>
      </c>
      <c r="C43" s="11" t="s">
        <v>58</v>
      </c>
      <c r="D43" s="11" t="s">
        <v>23</v>
      </c>
      <c r="E43" s="11" t="s">
        <v>84</v>
      </c>
      <c r="H43" s="11">
        <v>1</v>
      </c>
      <c r="I43" s="10">
        <v>44842</v>
      </c>
      <c r="J43" s="11" t="s">
        <v>89</v>
      </c>
      <c r="K43" s="11" t="s">
        <v>23</v>
      </c>
      <c r="L43" s="11" t="s">
        <v>90</v>
      </c>
    </row>
    <row r="44" spans="1:12" x14ac:dyDescent="0.3">
      <c r="A44" s="11">
        <v>2</v>
      </c>
      <c r="B44" s="10">
        <v>44838</v>
      </c>
      <c r="C44" s="11" t="s">
        <v>58</v>
      </c>
      <c r="D44" s="11" t="s">
        <v>23</v>
      </c>
      <c r="E44" s="11" t="s">
        <v>37</v>
      </c>
      <c r="H44" s="11"/>
      <c r="I44" s="11"/>
      <c r="J44" s="11"/>
      <c r="K44" s="11"/>
      <c r="L44" s="11"/>
    </row>
    <row r="45" spans="1:12" x14ac:dyDescent="0.3">
      <c r="A45" s="11">
        <v>3</v>
      </c>
      <c r="B45" s="10">
        <v>44839</v>
      </c>
      <c r="C45" s="11" t="s">
        <v>87</v>
      </c>
      <c r="D45" s="11" t="s">
        <v>23</v>
      </c>
      <c r="E45" s="11" t="s">
        <v>88</v>
      </c>
      <c r="H45" s="11"/>
      <c r="I45" s="11"/>
      <c r="J45" s="11"/>
      <c r="K45" s="11"/>
      <c r="L45" s="11"/>
    </row>
    <row r="46" spans="1:12" x14ac:dyDescent="0.3">
      <c r="A46" s="11">
        <v>4</v>
      </c>
      <c r="B46" s="10">
        <v>44845</v>
      </c>
      <c r="C46" s="11" t="s">
        <v>58</v>
      </c>
      <c r="D46" s="11" t="s">
        <v>23</v>
      </c>
      <c r="E46" s="11" t="s">
        <v>72</v>
      </c>
      <c r="F46" s="29" t="s">
        <v>97</v>
      </c>
      <c r="G46" s="29" t="s">
        <v>100</v>
      </c>
      <c r="H46" s="11"/>
      <c r="I46" s="11"/>
      <c r="J46" s="11"/>
      <c r="K46" s="11"/>
      <c r="L46" s="11"/>
    </row>
    <row r="47" spans="1:12" x14ac:dyDescent="0.3">
      <c r="A47" s="11">
        <v>5</v>
      </c>
      <c r="B47" s="10">
        <v>44849</v>
      </c>
      <c r="C47" s="11" t="s">
        <v>107</v>
      </c>
      <c r="D47" s="11" t="s">
        <v>23</v>
      </c>
      <c r="E47" s="11" t="s">
        <v>72</v>
      </c>
      <c r="G47" t="s">
        <v>101</v>
      </c>
      <c r="H47" s="11"/>
      <c r="I47" s="11"/>
      <c r="J47" s="11"/>
      <c r="K47" s="11"/>
      <c r="L47" s="11"/>
    </row>
    <row r="48" spans="1:12" x14ac:dyDescent="0.3">
      <c r="A48" s="11">
        <v>6</v>
      </c>
      <c r="B48" s="10">
        <v>44849</v>
      </c>
      <c r="C48" s="11" t="s">
        <v>87</v>
      </c>
      <c r="D48" s="11" t="s">
        <v>23</v>
      </c>
      <c r="E48" s="11" t="s">
        <v>72</v>
      </c>
    </row>
    <row r="49" spans="1:12" x14ac:dyDescent="0.3">
      <c r="A49" s="11">
        <v>7</v>
      </c>
      <c r="B49" s="10">
        <v>44850</v>
      </c>
      <c r="C49" s="11" t="s">
        <v>87</v>
      </c>
      <c r="D49" s="11" t="s">
        <v>23</v>
      </c>
      <c r="E49" s="11" t="s">
        <v>111</v>
      </c>
    </row>
    <row r="50" spans="1:12" ht="15" thickBot="1" x14ac:dyDescent="0.35"/>
    <row r="51" spans="1:12" ht="25.8" thickBot="1" x14ac:dyDescent="0.65">
      <c r="A51" s="74" t="s">
        <v>117</v>
      </c>
      <c r="B51" s="75"/>
      <c r="C51" s="75"/>
      <c r="D51" s="76"/>
      <c r="E51" s="77"/>
      <c r="H51" s="32"/>
    </row>
    <row r="52" spans="1:12" x14ac:dyDescent="0.3">
      <c r="A52" s="1" t="s">
        <v>1</v>
      </c>
      <c r="B52" s="1" t="s">
        <v>2</v>
      </c>
      <c r="C52" s="2" t="s">
        <v>3</v>
      </c>
      <c r="D52" s="1" t="s">
        <v>4</v>
      </c>
      <c r="E52" s="27" t="s">
        <v>22</v>
      </c>
      <c r="H52" s="30"/>
      <c r="I52" s="30"/>
      <c r="J52" s="30"/>
      <c r="K52" s="30"/>
      <c r="L52" s="30"/>
    </row>
    <row r="53" spans="1:12" x14ac:dyDescent="0.3">
      <c r="A53" s="11">
        <v>1</v>
      </c>
      <c r="B53" s="10">
        <v>44871</v>
      </c>
      <c r="C53" s="11" t="s">
        <v>118</v>
      </c>
      <c r="D53" s="11"/>
      <c r="E53" s="11" t="s">
        <v>116</v>
      </c>
      <c r="H53" s="26"/>
      <c r="I53" s="31"/>
      <c r="J53" s="26"/>
      <c r="K53" s="26"/>
      <c r="L53" s="26"/>
    </row>
    <row r="54" spans="1:12" x14ac:dyDescent="0.3">
      <c r="A54" s="11">
        <v>2</v>
      </c>
      <c r="B54" s="10">
        <v>44877</v>
      </c>
      <c r="C54" s="11" t="s">
        <v>118</v>
      </c>
      <c r="D54" s="11"/>
      <c r="E54" s="11" t="s">
        <v>26</v>
      </c>
      <c r="H54" s="26"/>
      <c r="I54" s="31"/>
      <c r="J54" s="26"/>
      <c r="K54" s="26"/>
      <c r="L54" s="26"/>
    </row>
    <row r="55" spans="1:12" x14ac:dyDescent="0.3">
      <c r="A55" s="11">
        <v>3</v>
      </c>
      <c r="B55" s="10">
        <v>44882</v>
      </c>
      <c r="C55" s="11" t="s">
        <v>118</v>
      </c>
      <c r="D55" s="11"/>
      <c r="E55" s="11" t="s">
        <v>26</v>
      </c>
      <c r="H55" s="26"/>
      <c r="I55" s="31"/>
      <c r="J55" s="26"/>
      <c r="K55" s="26"/>
      <c r="L55" s="26"/>
    </row>
    <row r="56" spans="1:12" x14ac:dyDescent="0.3">
      <c r="A56" s="11">
        <v>4</v>
      </c>
      <c r="B56" s="10">
        <v>44882</v>
      </c>
      <c r="C56" s="11" t="s">
        <v>118</v>
      </c>
      <c r="D56" s="11"/>
      <c r="E56" s="11" t="s">
        <v>123</v>
      </c>
      <c r="H56" s="26"/>
    </row>
    <row r="57" spans="1:12" x14ac:dyDescent="0.3">
      <c r="A57" s="11">
        <v>5</v>
      </c>
      <c r="B57" s="10">
        <v>44883</v>
      </c>
      <c r="C57" s="11" t="s">
        <v>118</v>
      </c>
      <c r="D57" s="11"/>
      <c r="E57" s="11" t="s">
        <v>123</v>
      </c>
      <c r="H57" s="26"/>
      <c r="I57" s="26"/>
      <c r="J57" s="26"/>
      <c r="K57" s="26"/>
      <c r="L57" s="26"/>
    </row>
    <row r="58" spans="1:12" x14ac:dyDescent="0.3">
      <c r="A58" s="11">
        <v>6</v>
      </c>
      <c r="B58" s="10">
        <v>44884</v>
      </c>
      <c r="C58" s="11" t="s">
        <v>118</v>
      </c>
      <c r="D58" s="11"/>
      <c r="E58" s="11" t="s">
        <v>26</v>
      </c>
      <c r="H58" s="26"/>
      <c r="I58" s="26"/>
      <c r="J58" s="26"/>
      <c r="K58" s="26"/>
      <c r="L58" s="26"/>
    </row>
    <row r="59" spans="1:12" x14ac:dyDescent="0.3">
      <c r="A59" s="11">
        <v>7</v>
      </c>
      <c r="B59" s="10">
        <v>44885</v>
      </c>
      <c r="C59" s="11" t="s">
        <v>118</v>
      </c>
      <c r="D59" s="11"/>
      <c r="E59" s="11" t="s">
        <v>26</v>
      </c>
    </row>
    <row r="60" spans="1:12" ht="15" thickBot="1" x14ac:dyDescent="0.35"/>
    <row r="61" spans="1:12" ht="25.8" thickBot="1" x14ac:dyDescent="0.65">
      <c r="A61" s="74" t="s">
        <v>156</v>
      </c>
      <c r="B61" s="75"/>
      <c r="C61" s="75"/>
      <c r="D61" s="76"/>
      <c r="E61" s="77"/>
    </row>
    <row r="62" spans="1:12" x14ac:dyDescent="0.3">
      <c r="A62" s="1" t="s">
        <v>1</v>
      </c>
      <c r="B62" s="1" t="s">
        <v>2</v>
      </c>
      <c r="C62" s="2" t="s">
        <v>3</v>
      </c>
      <c r="D62" s="1" t="s">
        <v>4</v>
      </c>
      <c r="E62" s="27" t="s">
        <v>22</v>
      </c>
    </row>
    <row r="63" spans="1:12" x14ac:dyDescent="0.3">
      <c r="A63" s="11">
        <v>1</v>
      </c>
      <c r="B63" s="10">
        <v>44919</v>
      </c>
      <c r="C63" s="11" t="s">
        <v>118</v>
      </c>
      <c r="D63" s="11"/>
      <c r="E63" s="11" t="s">
        <v>69</v>
      </c>
    </row>
    <row r="64" spans="1:12" x14ac:dyDescent="0.3">
      <c r="A64" s="11">
        <v>2</v>
      </c>
      <c r="B64" s="10">
        <v>44925</v>
      </c>
      <c r="C64" s="11" t="s">
        <v>118</v>
      </c>
      <c r="D64" s="11"/>
      <c r="E64" s="11" t="s">
        <v>72</v>
      </c>
    </row>
    <row r="65" spans="1:5" x14ac:dyDescent="0.3">
      <c r="A65" s="11">
        <v>3</v>
      </c>
      <c r="B65" s="10">
        <v>44926</v>
      </c>
      <c r="C65" s="11" t="s">
        <v>118</v>
      </c>
      <c r="D65" s="11"/>
      <c r="E65" s="11" t="s">
        <v>69</v>
      </c>
    </row>
    <row r="66" spans="1:5" ht="15" thickBot="1" x14ac:dyDescent="0.35"/>
    <row r="67" spans="1:5" ht="25.8" thickBot="1" x14ac:dyDescent="0.65">
      <c r="A67" s="74" t="s">
        <v>157</v>
      </c>
      <c r="B67" s="75"/>
      <c r="C67" s="75"/>
      <c r="D67" s="76"/>
      <c r="E67" s="77"/>
    </row>
    <row r="68" spans="1:5" x14ac:dyDescent="0.3">
      <c r="A68" s="1" t="s">
        <v>1</v>
      </c>
      <c r="B68" s="1" t="s">
        <v>2</v>
      </c>
      <c r="C68" s="2" t="s">
        <v>3</v>
      </c>
      <c r="D68" s="1" t="s">
        <v>4</v>
      </c>
      <c r="E68" s="27" t="s">
        <v>22</v>
      </c>
    </row>
    <row r="69" spans="1:5" x14ac:dyDescent="0.3">
      <c r="A69" s="11">
        <v>1</v>
      </c>
      <c r="B69" s="10">
        <v>44927</v>
      </c>
      <c r="C69" s="11" t="s">
        <v>118</v>
      </c>
      <c r="D69" s="11"/>
      <c r="E69" s="11" t="s">
        <v>106</v>
      </c>
    </row>
    <row r="70" spans="1:5" x14ac:dyDescent="0.3">
      <c r="A70" s="11">
        <v>2</v>
      </c>
      <c r="B70" s="10">
        <v>44934</v>
      </c>
      <c r="C70" s="11" t="s">
        <v>118</v>
      </c>
      <c r="D70" s="11"/>
      <c r="E70" s="11" t="s">
        <v>160</v>
      </c>
    </row>
    <row r="71" spans="1:5" x14ac:dyDescent="0.3">
      <c r="A71" s="11">
        <v>3</v>
      </c>
      <c r="B71" s="10">
        <v>44942</v>
      </c>
      <c r="C71" s="11" t="s">
        <v>118</v>
      </c>
      <c r="D71" s="11"/>
      <c r="E71" s="11" t="s">
        <v>72</v>
      </c>
    </row>
    <row r="72" spans="1:5" x14ac:dyDescent="0.3">
      <c r="A72" s="11">
        <v>4</v>
      </c>
      <c r="B72" s="10">
        <v>44948</v>
      </c>
      <c r="C72" s="11" t="s">
        <v>118</v>
      </c>
      <c r="D72" s="11"/>
      <c r="E72" s="11" t="s">
        <v>72</v>
      </c>
    </row>
    <row r="73" spans="1:5" x14ac:dyDescent="0.3">
      <c r="A73" s="11">
        <v>5</v>
      </c>
      <c r="B73" s="10">
        <v>44952</v>
      </c>
      <c r="C73" s="11" t="s">
        <v>118</v>
      </c>
      <c r="D73" s="11"/>
      <c r="E73" s="11" t="s">
        <v>165</v>
      </c>
    </row>
    <row r="74" spans="1:5" ht="15" thickBot="1" x14ac:dyDescent="0.35">
      <c r="A74" s="11"/>
      <c r="B74" s="11"/>
      <c r="C74" s="11"/>
      <c r="D74" s="11"/>
      <c r="E74" s="11"/>
    </row>
    <row r="75" spans="1:5" ht="25.8" thickBot="1" x14ac:dyDescent="0.65">
      <c r="A75" s="74" t="s">
        <v>180</v>
      </c>
      <c r="B75" s="75"/>
      <c r="C75" s="75"/>
      <c r="D75" s="76"/>
      <c r="E75" s="77"/>
    </row>
    <row r="76" spans="1:5" x14ac:dyDescent="0.3">
      <c r="A76" s="1" t="s">
        <v>1</v>
      </c>
      <c r="B76" s="1" t="s">
        <v>2</v>
      </c>
      <c r="C76" s="2" t="s">
        <v>3</v>
      </c>
      <c r="D76" s="1" t="s">
        <v>4</v>
      </c>
      <c r="E76" s="27" t="s">
        <v>22</v>
      </c>
    </row>
    <row r="77" spans="1:5" x14ac:dyDescent="0.3">
      <c r="A77" s="11">
        <v>1</v>
      </c>
      <c r="B77" s="10">
        <v>44983</v>
      </c>
      <c r="C77" s="11" t="s">
        <v>181</v>
      </c>
      <c r="D77" s="11"/>
      <c r="E77" s="11" t="s">
        <v>165</v>
      </c>
    </row>
    <row r="78" spans="1:5" ht="15" thickBot="1" x14ac:dyDescent="0.35">
      <c r="A78" s="11"/>
      <c r="B78" s="11"/>
      <c r="C78" s="11"/>
      <c r="D78" s="11"/>
      <c r="E78" s="11"/>
    </row>
    <row r="79" spans="1:5" ht="25.8" thickBot="1" x14ac:dyDescent="0.65">
      <c r="A79" s="74" t="s">
        <v>182</v>
      </c>
      <c r="B79" s="75"/>
      <c r="C79" s="75"/>
      <c r="D79" s="76"/>
      <c r="E79" s="77"/>
    </row>
    <row r="80" spans="1:5" x14ac:dyDescent="0.3">
      <c r="A80" s="1" t="s">
        <v>1</v>
      </c>
      <c r="B80" s="1" t="s">
        <v>2</v>
      </c>
      <c r="C80" s="2" t="s">
        <v>3</v>
      </c>
      <c r="D80" s="1" t="s">
        <v>4</v>
      </c>
      <c r="E80" s="27" t="s">
        <v>22</v>
      </c>
    </row>
    <row r="81" spans="1:5" x14ac:dyDescent="0.3">
      <c r="A81" s="11">
        <v>1</v>
      </c>
      <c r="B81" s="10">
        <v>44997</v>
      </c>
      <c r="C81" s="11" t="s">
        <v>129</v>
      </c>
      <c r="D81" s="11"/>
      <c r="E81" s="11" t="s">
        <v>26</v>
      </c>
    </row>
    <row r="82" spans="1:5" x14ac:dyDescent="0.3">
      <c r="A82" s="11">
        <v>2</v>
      </c>
      <c r="B82" s="10">
        <v>45000</v>
      </c>
      <c r="C82" s="11" t="s">
        <v>129</v>
      </c>
      <c r="D82" s="11"/>
      <c r="E82" s="11" t="s">
        <v>163</v>
      </c>
    </row>
    <row r="83" spans="1:5" x14ac:dyDescent="0.3">
      <c r="A83" s="11"/>
      <c r="B83" s="11"/>
      <c r="C83" s="11"/>
      <c r="D83" s="11"/>
      <c r="E83" s="11"/>
    </row>
    <row r="84" spans="1:5" ht="15" thickBot="1" x14ac:dyDescent="0.35"/>
    <row r="85" spans="1:5" ht="25.8" thickBot="1" x14ac:dyDescent="0.65">
      <c r="A85" s="74" t="s">
        <v>192</v>
      </c>
      <c r="B85" s="75"/>
      <c r="C85" s="75"/>
      <c r="D85" s="76"/>
      <c r="E85" s="77"/>
    </row>
    <row r="86" spans="1:5" x14ac:dyDescent="0.3">
      <c r="A86" s="1" t="s">
        <v>1</v>
      </c>
      <c r="B86" s="1" t="s">
        <v>2</v>
      </c>
      <c r="C86" s="2" t="s">
        <v>3</v>
      </c>
      <c r="D86" s="1" t="s">
        <v>4</v>
      </c>
      <c r="E86" s="27" t="s">
        <v>22</v>
      </c>
    </row>
    <row r="87" spans="1:5" x14ac:dyDescent="0.3">
      <c r="A87" s="11">
        <v>1</v>
      </c>
      <c r="B87" s="10">
        <v>45025</v>
      </c>
      <c r="C87" s="11" t="s">
        <v>193</v>
      </c>
      <c r="D87" s="11"/>
      <c r="E87" s="11" t="s">
        <v>165</v>
      </c>
    </row>
    <row r="88" spans="1:5" x14ac:dyDescent="0.3">
      <c r="A88" s="11">
        <v>2</v>
      </c>
      <c r="B88" s="10">
        <v>45032</v>
      </c>
      <c r="C88" s="11" t="s">
        <v>129</v>
      </c>
      <c r="D88" s="11"/>
      <c r="E88" s="11" t="s">
        <v>201</v>
      </c>
    </row>
    <row r="89" spans="1:5" x14ac:dyDescent="0.3">
      <c r="A89" s="11"/>
      <c r="B89" s="11"/>
      <c r="C89" s="11"/>
      <c r="D89" s="11"/>
      <c r="E89" s="11"/>
    </row>
    <row r="90" spans="1:5" ht="15" thickBot="1" x14ac:dyDescent="0.35"/>
    <row r="91" spans="1:5" ht="25.8" thickBot="1" x14ac:dyDescent="0.65">
      <c r="A91" s="74" t="s">
        <v>204</v>
      </c>
      <c r="B91" s="75"/>
      <c r="C91" s="75"/>
      <c r="D91" s="76"/>
      <c r="E91" s="77"/>
    </row>
    <row r="92" spans="1:5" x14ac:dyDescent="0.3">
      <c r="A92" s="1" t="s">
        <v>1</v>
      </c>
      <c r="B92" s="1" t="s">
        <v>2</v>
      </c>
      <c r="C92" s="2" t="s">
        <v>3</v>
      </c>
      <c r="D92" s="1" t="s">
        <v>4</v>
      </c>
      <c r="E92" s="27" t="s">
        <v>22</v>
      </c>
    </row>
    <row r="93" spans="1:5" x14ac:dyDescent="0.3">
      <c r="A93" s="11">
        <v>1</v>
      </c>
      <c r="B93" s="10">
        <v>45047</v>
      </c>
      <c r="C93" s="11" t="s">
        <v>193</v>
      </c>
      <c r="D93" s="11"/>
      <c r="E93" s="11" t="s">
        <v>165</v>
      </c>
    </row>
    <row r="94" spans="1:5" x14ac:dyDescent="0.3">
      <c r="A94" s="11">
        <v>2</v>
      </c>
      <c r="B94" s="10">
        <v>45071</v>
      </c>
      <c r="C94" s="11" t="s">
        <v>129</v>
      </c>
      <c r="D94" s="11"/>
      <c r="E94" s="11" t="s">
        <v>163</v>
      </c>
    </row>
    <row r="95" spans="1:5" x14ac:dyDescent="0.3">
      <c r="A95" s="11">
        <v>3</v>
      </c>
      <c r="B95" s="10">
        <v>45073</v>
      </c>
      <c r="C95" s="11" t="s">
        <v>129</v>
      </c>
      <c r="D95" s="11"/>
      <c r="E95" s="11" t="s">
        <v>165</v>
      </c>
    </row>
    <row r="96" spans="1:5" ht="15" thickBot="1" x14ac:dyDescent="0.35"/>
    <row r="97" spans="1:5" ht="25.8" thickBot="1" x14ac:dyDescent="0.65">
      <c r="A97" s="74" t="s">
        <v>215</v>
      </c>
      <c r="B97" s="75"/>
      <c r="C97" s="75"/>
      <c r="D97" s="76"/>
      <c r="E97" s="77"/>
    </row>
    <row r="98" spans="1:5" x14ac:dyDescent="0.3">
      <c r="A98" s="1" t="s">
        <v>1</v>
      </c>
      <c r="B98" s="1" t="s">
        <v>2</v>
      </c>
      <c r="C98" s="2" t="s">
        <v>3</v>
      </c>
      <c r="D98" s="1" t="s">
        <v>4</v>
      </c>
      <c r="E98" s="27" t="s">
        <v>22</v>
      </c>
    </row>
    <row r="99" spans="1:5" x14ac:dyDescent="0.3">
      <c r="A99" s="11">
        <v>1</v>
      </c>
      <c r="B99" s="10">
        <v>45081</v>
      </c>
      <c r="C99" s="11" t="s">
        <v>193</v>
      </c>
      <c r="D99" s="11"/>
      <c r="E99" s="11" t="s">
        <v>111</v>
      </c>
    </row>
    <row r="100" spans="1:5" x14ac:dyDescent="0.3">
      <c r="A100" s="11">
        <v>2</v>
      </c>
      <c r="B100" s="10">
        <v>45092</v>
      </c>
      <c r="C100" s="11" t="s">
        <v>129</v>
      </c>
      <c r="D100" s="11"/>
      <c r="E100" s="11" t="s">
        <v>165</v>
      </c>
    </row>
    <row r="101" spans="1:5" x14ac:dyDescent="0.3">
      <c r="A101" s="11">
        <v>3</v>
      </c>
      <c r="B101" s="10">
        <v>45094</v>
      </c>
      <c r="C101" s="11" t="s">
        <v>129</v>
      </c>
      <c r="D101" s="11"/>
      <c r="E101" s="11" t="s">
        <v>26</v>
      </c>
    </row>
    <row r="102" spans="1:5" x14ac:dyDescent="0.3">
      <c r="A102" s="11">
        <v>4</v>
      </c>
      <c r="B102" s="10">
        <v>45095</v>
      </c>
      <c r="C102" s="11" t="s">
        <v>129</v>
      </c>
      <c r="D102" s="11"/>
      <c r="E102" s="11" t="s">
        <v>26</v>
      </c>
    </row>
    <row r="103" spans="1:5" x14ac:dyDescent="0.3">
      <c r="A103" s="11">
        <v>5</v>
      </c>
      <c r="B103" s="10">
        <v>45095</v>
      </c>
      <c r="C103" s="11" t="s">
        <v>129</v>
      </c>
      <c r="D103" s="11"/>
      <c r="E103" s="11" t="s">
        <v>26</v>
      </c>
    </row>
    <row r="104" spans="1:5" x14ac:dyDescent="0.3">
      <c r="A104" s="11">
        <v>6</v>
      </c>
      <c r="B104" s="10">
        <v>45097</v>
      </c>
      <c r="C104" s="11" t="s">
        <v>127</v>
      </c>
      <c r="D104" s="43"/>
      <c r="E104" s="11" t="s">
        <v>165</v>
      </c>
    </row>
    <row r="105" spans="1:5" x14ac:dyDescent="0.3">
      <c r="A105" s="11">
        <v>7</v>
      </c>
      <c r="B105" s="10">
        <v>45100</v>
      </c>
      <c r="C105" s="11" t="s">
        <v>252</v>
      </c>
      <c r="D105" s="11"/>
      <c r="E105" s="11" t="s">
        <v>26</v>
      </c>
    </row>
    <row r="106" spans="1:5" ht="15" thickBot="1" x14ac:dyDescent="0.35"/>
    <row r="107" spans="1:5" ht="25.8" thickBot="1" x14ac:dyDescent="0.65">
      <c r="A107" s="74" t="s">
        <v>261</v>
      </c>
      <c r="B107" s="75"/>
      <c r="C107" s="75"/>
      <c r="D107" s="76"/>
      <c r="E107" s="77"/>
    </row>
    <row r="108" spans="1:5" x14ac:dyDescent="0.3">
      <c r="A108" s="1" t="s">
        <v>1</v>
      </c>
      <c r="B108" s="1" t="s">
        <v>2</v>
      </c>
      <c r="C108" s="2" t="s">
        <v>3</v>
      </c>
      <c r="D108" s="1" t="s">
        <v>4</v>
      </c>
      <c r="E108" s="27" t="s">
        <v>22</v>
      </c>
    </row>
    <row r="109" spans="1:5" x14ac:dyDescent="0.3">
      <c r="A109" s="11">
        <v>1</v>
      </c>
      <c r="B109" s="10">
        <v>45109</v>
      </c>
      <c r="C109" s="11" t="s">
        <v>252</v>
      </c>
      <c r="D109" s="11"/>
      <c r="E109" s="11" t="s">
        <v>26</v>
      </c>
    </row>
    <row r="110" spans="1:5" x14ac:dyDescent="0.3">
      <c r="A110" s="11">
        <v>2</v>
      </c>
      <c r="B110" s="10">
        <v>45125</v>
      </c>
      <c r="C110" s="11" t="s">
        <v>252</v>
      </c>
      <c r="D110" s="11"/>
      <c r="E110" s="11" t="s">
        <v>72</v>
      </c>
    </row>
    <row r="111" spans="1:5" x14ac:dyDescent="0.3">
      <c r="A111" s="11">
        <v>3</v>
      </c>
      <c r="B111" s="10">
        <v>45136</v>
      </c>
      <c r="C111" s="11" t="s">
        <v>193</v>
      </c>
      <c r="D111" s="11"/>
      <c r="E111" s="11" t="s">
        <v>163</v>
      </c>
    </row>
    <row r="112" spans="1:5" ht="15" thickBot="1" x14ac:dyDescent="0.35"/>
    <row r="113" spans="1:10" ht="25.8" thickBot="1" x14ac:dyDescent="0.65">
      <c r="A113" s="74" t="s">
        <v>272</v>
      </c>
      <c r="B113" s="75"/>
      <c r="C113" s="75"/>
      <c r="D113" s="76"/>
      <c r="E113" s="77"/>
    </row>
    <row r="114" spans="1:10" x14ac:dyDescent="0.3">
      <c r="A114" s="1" t="s">
        <v>1</v>
      </c>
      <c r="B114" s="1" t="s">
        <v>2</v>
      </c>
      <c r="C114" s="2" t="s">
        <v>3</v>
      </c>
      <c r="D114" s="1" t="s">
        <v>4</v>
      </c>
      <c r="E114" s="27" t="s">
        <v>22</v>
      </c>
    </row>
    <row r="115" spans="1:10" x14ac:dyDescent="0.3">
      <c r="A115" s="11">
        <v>1</v>
      </c>
      <c r="B115" s="10">
        <v>45153</v>
      </c>
      <c r="C115" s="11" t="s">
        <v>193</v>
      </c>
      <c r="D115" s="11"/>
      <c r="E115" s="11" t="s">
        <v>72</v>
      </c>
    </row>
    <row r="116" spans="1:10" x14ac:dyDescent="0.3">
      <c r="A116" s="11">
        <v>2</v>
      </c>
      <c r="B116" s="10">
        <v>45158</v>
      </c>
      <c r="C116" s="11" t="s">
        <v>279</v>
      </c>
      <c r="D116" s="11"/>
      <c r="E116" s="11" t="s">
        <v>165</v>
      </c>
    </row>
    <row r="117" spans="1:10" x14ac:dyDescent="0.3">
      <c r="A117" s="11">
        <v>3</v>
      </c>
      <c r="B117" s="10"/>
      <c r="C117" s="11"/>
      <c r="D117" s="11"/>
      <c r="E117" s="11"/>
    </row>
    <row r="118" spans="1:10" ht="15" thickBot="1" x14ac:dyDescent="0.35"/>
    <row r="119" spans="1:10" ht="25.8" thickBot="1" x14ac:dyDescent="0.65">
      <c r="A119" s="74" t="s">
        <v>286</v>
      </c>
      <c r="B119" s="75"/>
      <c r="C119" s="75"/>
      <c r="D119" s="76"/>
      <c r="E119" s="77"/>
    </row>
    <row r="120" spans="1:10" x14ac:dyDescent="0.3">
      <c r="A120" s="1" t="s">
        <v>1</v>
      </c>
      <c r="B120" s="1" t="s">
        <v>2</v>
      </c>
      <c r="C120" s="2" t="s">
        <v>3</v>
      </c>
      <c r="D120" s="1" t="s">
        <v>4</v>
      </c>
      <c r="E120" s="27" t="s">
        <v>22</v>
      </c>
    </row>
    <row r="121" spans="1:10" x14ac:dyDescent="0.3">
      <c r="A121" s="11">
        <v>1</v>
      </c>
      <c r="B121" s="10">
        <v>45174</v>
      </c>
      <c r="C121" s="11" t="s">
        <v>193</v>
      </c>
      <c r="D121" s="11"/>
      <c r="E121" s="11" t="s">
        <v>72</v>
      </c>
    </row>
    <row r="122" spans="1:10" x14ac:dyDescent="0.3">
      <c r="A122" s="11">
        <v>2</v>
      </c>
      <c r="B122" s="10">
        <v>45183</v>
      </c>
      <c r="C122" s="11" t="s">
        <v>193</v>
      </c>
      <c r="D122" s="11"/>
      <c r="E122" s="11" t="s">
        <v>109</v>
      </c>
    </row>
    <row r="123" spans="1:10" x14ac:dyDescent="0.3">
      <c r="A123" s="11">
        <v>3</v>
      </c>
      <c r="B123" s="10">
        <v>45184</v>
      </c>
      <c r="C123" s="11" t="s">
        <v>279</v>
      </c>
      <c r="D123" s="11"/>
      <c r="E123" s="11" t="s">
        <v>26</v>
      </c>
    </row>
    <row r="124" spans="1:10" x14ac:dyDescent="0.3">
      <c r="A124" s="11">
        <v>4</v>
      </c>
      <c r="B124" s="10">
        <v>45185</v>
      </c>
      <c r="C124" s="11" t="s">
        <v>279</v>
      </c>
      <c r="D124" s="11"/>
      <c r="E124" s="11" t="s">
        <v>26</v>
      </c>
    </row>
    <row r="125" spans="1:10" x14ac:dyDescent="0.3">
      <c r="A125" s="11">
        <v>5</v>
      </c>
      <c r="B125" s="10">
        <v>45189</v>
      </c>
      <c r="C125" s="11" t="s">
        <v>279</v>
      </c>
      <c r="D125" s="11"/>
      <c r="E125" s="11" t="s">
        <v>111</v>
      </c>
    </row>
    <row r="126" spans="1:10" x14ac:dyDescent="0.3">
      <c r="A126" s="11">
        <v>6</v>
      </c>
      <c r="B126" s="10">
        <v>45190</v>
      </c>
      <c r="C126" s="11" t="s">
        <v>279</v>
      </c>
      <c r="D126" s="11"/>
      <c r="E126" s="11" t="s">
        <v>26</v>
      </c>
    </row>
    <row r="127" spans="1:10" x14ac:dyDescent="0.3">
      <c r="A127" s="11">
        <v>7</v>
      </c>
      <c r="B127" s="10">
        <v>45193</v>
      </c>
      <c r="C127" s="11" t="s">
        <v>279</v>
      </c>
      <c r="D127" s="11"/>
      <c r="E127" s="11" t="s">
        <v>26</v>
      </c>
      <c r="J127" t="s">
        <v>292</v>
      </c>
    </row>
    <row r="128" spans="1:10" x14ac:dyDescent="0.3">
      <c r="A128" s="11">
        <v>8</v>
      </c>
      <c r="B128" s="10">
        <v>45193</v>
      </c>
      <c r="C128" s="11" t="s">
        <v>279</v>
      </c>
      <c r="D128" s="11"/>
      <c r="E128" s="11" t="s">
        <v>165</v>
      </c>
    </row>
    <row r="129" spans="1:5" x14ac:dyDescent="0.3">
      <c r="A129" s="42">
        <v>9</v>
      </c>
      <c r="B129" s="41">
        <v>45193</v>
      </c>
      <c r="C129" s="42" t="s">
        <v>279</v>
      </c>
      <c r="D129" s="42" t="s">
        <v>290</v>
      </c>
      <c r="E129" s="42" t="s">
        <v>291</v>
      </c>
    </row>
    <row r="130" spans="1:5" x14ac:dyDescent="0.3">
      <c r="A130" s="11">
        <v>10</v>
      </c>
      <c r="B130" s="10">
        <v>45194</v>
      </c>
      <c r="C130" s="11" t="s">
        <v>279</v>
      </c>
      <c r="D130" s="11"/>
      <c r="E130" s="11" t="s">
        <v>69</v>
      </c>
    </row>
    <row r="131" spans="1:5" x14ac:dyDescent="0.3">
      <c r="A131" s="11">
        <v>11</v>
      </c>
      <c r="B131" s="10">
        <v>45195</v>
      </c>
      <c r="C131" s="11" t="s">
        <v>279</v>
      </c>
      <c r="D131" s="11"/>
      <c r="E131" s="11" t="s">
        <v>69</v>
      </c>
    </row>
    <row r="132" spans="1:5" x14ac:dyDescent="0.3">
      <c r="A132" s="11">
        <v>12</v>
      </c>
      <c r="B132" s="10">
        <v>45198</v>
      </c>
      <c r="C132" s="11" t="s">
        <v>279</v>
      </c>
      <c r="D132" s="11"/>
      <c r="E132" s="11" t="s">
        <v>72</v>
      </c>
    </row>
    <row r="133" spans="1:5" x14ac:dyDescent="0.3">
      <c r="A133" s="11"/>
      <c r="B133" s="11"/>
      <c r="C133" s="11"/>
      <c r="D133" s="11"/>
      <c r="E133" s="11"/>
    </row>
    <row r="134" spans="1:5" x14ac:dyDescent="0.3">
      <c r="A134" s="11"/>
      <c r="B134" s="11"/>
      <c r="C134" s="11"/>
      <c r="D134" s="11"/>
      <c r="E134" s="11"/>
    </row>
    <row r="135" spans="1:5" ht="15" thickBot="1" x14ac:dyDescent="0.35"/>
    <row r="136" spans="1:5" ht="25.8" thickBot="1" x14ac:dyDescent="0.65">
      <c r="A136" s="74" t="s">
        <v>300</v>
      </c>
      <c r="B136" s="75"/>
      <c r="C136" s="75"/>
      <c r="D136" s="76"/>
      <c r="E136" s="77"/>
    </row>
    <row r="137" spans="1:5" x14ac:dyDescent="0.3">
      <c r="A137" s="1" t="s">
        <v>1</v>
      </c>
      <c r="B137" s="1" t="s">
        <v>2</v>
      </c>
      <c r="C137" s="2" t="s">
        <v>3</v>
      </c>
      <c r="D137" s="1" t="s">
        <v>4</v>
      </c>
      <c r="E137" s="27" t="s">
        <v>22</v>
      </c>
    </row>
    <row r="138" spans="1:5" x14ac:dyDescent="0.3">
      <c r="A138" s="11">
        <v>1</v>
      </c>
      <c r="B138" s="10">
        <v>45204</v>
      </c>
      <c r="C138" s="11" t="s">
        <v>279</v>
      </c>
      <c r="D138" s="11"/>
      <c r="E138" s="11" t="s">
        <v>69</v>
      </c>
    </row>
    <row r="139" spans="1:5" x14ac:dyDescent="0.3">
      <c r="A139" s="11">
        <v>2</v>
      </c>
      <c r="B139" s="10">
        <v>45205</v>
      </c>
      <c r="C139" s="11" t="s">
        <v>279</v>
      </c>
      <c r="D139" s="11"/>
      <c r="E139" s="11" t="s">
        <v>69</v>
      </c>
    </row>
    <row r="140" spans="1:5" x14ac:dyDescent="0.3">
      <c r="A140" s="11">
        <v>3</v>
      </c>
      <c r="B140" s="10">
        <v>45220</v>
      </c>
      <c r="C140" s="11" t="s">
        <v>193</v>
      </c>
      <c r="D140" s="11"/>
      <c r="E140" s="11" t="s">
        <v>26</v>
      </c>
    </row>
    <row r="141" spans="1:5" x14ac:dyDescent="0.3">
      <c r="A141" s="11">
        <v>4</v>
      </c>
      <c r="B141" s="10">
        <v>45221</v>
      </c>
      <c r="C141" s="11" t="s">
        <v>193</v>
      </c>
      <c r="D141" s="11"/>
      <c r="E141" s="11" t="s">
        <v>122</v>
      </c>
    </row>
    <row r="142" spans="1:5" x14ac:dyDescent="0.3">
      <c r="A142" s="11">
        <v>5</v>
      </c>
      <c r="B142" s="10">
        <v>45224</v>
      </c>
      <c r="C142" s="11" t="s">
        <v>196</v>
      </c>
      <c r="D142" s="11"/>
      <c r="E142" s="11" t="s">
        <v>26</v>
      </c>
    </row>
    <row r="143" spans="1:5" x14ac:dyDescent="0.3">
      <c r="A143" s="11"/>
      <c r="B143" s="10"/>
      <c r="C143" s="11"/>
      <c r="D143" s="11"/>
      <c r="E143" s="11"/>
    </row>
    <row r="144" spans="1:5" ht="15" thickBot="1" x14ac:dyDescent="0.35"/>
    <row r="145" spans="1:5" ht="25.8" thickBot="1" x14ac:dyDescent="0.65">
      <c r="A145" s="74" t="s">
        <v>316</v>
      </c>
      <c r="B145" s="75"/>
      <c r="C145" s="75"/>
      <c r="D145" s="76"/>
      <c r="E145" s="77"/>
    </row>
    <row r="146" spans="1:5" x14ac:dyDescent="0.3">
      <c r="A146" s="1" t="s">
        <v>1</v>
      </c>
      <c r="B146" s="1" t="s">
        <v>2</v>
      </c>
      <c r="C146" s="2" t="s">
        <v>3</v>
      </c>
      <c r="D146" s="1" t="s">
        <v>4</v>
      </c>
      <c r="E146" s="27" t="s">
        <v>22</v>
      </c>
    </row>
    <row r="147" spans="1:5" x14ac:dyDescent="0.3">
      <c r="A147" s="11">
        <v>1</v>
      </c>
      <c r="B147" s="10">
        <v>45231</v>
      </c>
      <c r="C147" s="11" t="s">
        <v>317</v>
      </c>
      <c r="D147" s="11"/>
      <c r="E147" s="11" t="s">
        <v>106</v>
      </c>
    </row>
    <row r="148" spans="1:5" x14ac:dyDescent="0.3">
      <c r="A148" s="11">
        <v>2</v>
      </c>
      <c r="B148" s="10">
        <v>45240</v>
      </c>
      <c r="C148" s="11" t="s">
        <v>322</v>
      </c>
      <c r="D148" s="11"/>
      <c r="E148" s="11" t="s">
        <v>323</v>
      </c>
    </row>
    <row r="149" spans="1:5" x14ac:dyDescent="0.3">
      <c r="A149" s="11">
        <v>3</v>
      </c>
      <c r="B149" s="10">
        <v>45241</v>
      </c>
      <c r="C149" s="11" t="s">
        <v>322</v>
      </c>
      <c r="D149" s="11"/>
      <c r="E149" s="11" t="s">
        <v>69</v>
      </c>
    </row>
    <row r="150" spans="1:5" x14ac:dyDescent="0.3">
      <c r="A150" s="11">
        <v>4</v>
      </c>
      <c r="B150" s="10">
        <v>45247</v>
      </c>
      <c r="C150" s="11" t="s">
        <v>322</v>
      </c>
      <c r="D150" s="11"/>
      <c r="E150" s="11" t="s">
        <v>147</v>
      </c>
    </row>
    <row r="151" spans="1:5" x14ac:dyDescent="0.3">
      <c r="A151" s="11">
        <v>5</v>
      </c>
      <c r="B151" s="10"/>
      <c r="C151" s="11"/>
      <c r="D151" s="11"/>
      <c r="E151" s="11"/>
    </row>
    <row r="152" spans="1:5" x14ac:dyDescent="0.3">
      <c r="A152" s="11"/>
      <c r="B152" s="10"/>
      <c r="C152" s="11"/>
      <c r="D152" s="11"/>
      <c r="E152" s="11"/>
    </row>
    <row r="153" spans="1:5" ht="15" thickBot="1" x14ac:dyDescent="0.35"/>
    <row r="154" spans="1:5" ht="25.8" thickBot="1" x14ac:dyDescent="0.65">
      <c r="A154" s="74" t="s">
        <v>328</v>
      </c>
      <c r="B154" s="75"/>
      <c r="C154" s="75"/>
      <c r="D154" s="76"/>
      <c r="E154" s="77"/>
    </row>
    <row r="155" spans="1:5" x14ac:dyDescent="0.3">
      <c r="A155" s="1" t="s">
        <v>1</v>
      </c>
      <c r="B155" s="1" t="s">
        <v>2</v>
      </c>
      <c r="C155" s="2" t="s">
        <v>3</v>
      </c>
      <c r="D155" s="1" t="s">
        <v>4</v>
      </c>
      <c r="E155" s="27" t="s">
        <v>22</v>
      </c>
    </row>
    <row r="156" spans="1:5" x14ac:dyDescent="0.3">
      <c r="A156" s="11">
        <v>1</v>
      </c>
      <c r="B156" s="10">
        <v>45277</v>
      </c>
      <c r="C156" s="11" t="s">
        <v>327</v>
      </c>
      <c r="D156" s="11" t="s">
        <v>25</v>
      </c>
      <c r="E156" s="11" t="s">
        <v>122</v>
      </c>
    </row>
    <row r="157" spans="1:5" x14ac:dyDescent="0.3">
      <c r="A157" s="11"/>
      <c r="B157" s="10"/>
      <c r="C157" s="11"/>
      <c r="D157" s="11"/>
      <c r="E157" s="11"/>
    </row>
    <row r="158" spans="1:5" x14ac:dyDescent="0.3">
      <c r="A158" s="11"/>
      <c r="B158" s="10"/>
      <c r="C158" s="11"/>
      <c r="D158" s="11"/>
      <c r="E158" s="11"/>
    </row>
    <row r="159" spans="1:5" x14ac:dyDescent="0.3">
      <c r="A159" s="11"/>
      <c r="B159" s="10"/>
      <c r="C159" s="11"/>
      <c r="D159" s="11"/>
      <c r="E159" s="11"/>
    </row>
    <row r="160" spans="1:5" x14ac:dyDescent="0.3">
      <c r="A160" s="11"/>
      <c r="B160" s="10"/>
      <c r="C160" s="11"/>
      <c r="D160" s="11"/>
      <c r="E160" s="11"/>
    </row>
    <row r="161" spans="1:5" x14ac:dyDescent="0.3">
      <c r="A161" s="11"/>
      <c r="B161" s="10"/>
      <c r="C161" s="11"/>
      <c r="D161" s="11"/>
      <c r="E161" s="11"/>
    </row>
    <row r="164" spans="1:5" ht="15" thickBot="1" x14ac:dyDescent="0.35"/>
    <row r="165" spans="1:5" ht="25.8" thickBot="1" x14ac:dyDescent="0.65">
      <c r="A165" s="74" t="s">
        <v>334</v>
      </c>
      <c r="B165" s="75"/>
      <c r="C165" s="75"/>
      <c r="D165" s="76"/>
      <c r="E165" s="77"/>
    </row>
    <row r="166" spans="1:5" x14ac:dyDescent="0.3">
      <c r="A166" s="1" t="s">
        <v>1</v>
      </c>
      <c r="B166" s="1" t="s">
        <v>2</v>
      </c>
      <c r="C166" s="2" t="s">
        <v>3</v>
      </c>
      <c r="D166" s="1" t="s">
        <v>4</v>
      </c>
      <c r="E166" s="27" t="s">
        <v>22</v>
      </c>
    </row>
    <row r="167" spans="1:5" x14ac:dyDescent="0.3">
      <c r="A167" s="11">
        <v>1</v>
      </c>
      <c r="B167" s="10">
        <v>45508</v>
      </c>
      <c r="C167" s="11" t="s">
        <v>335</v>
      </c>
      <c r="D167" s="11" t="s">
        <v>25</v>
      </c>
      <c r="E167" s="11" t="s">
        <v>122</v>
      </c>
    </row>
    <row r="168" spans="1:5" x14ac:dyDescent="0.3">
      <c r="A168" s="11">
        <v>2</v>
      </c>
      <c r="B168" s="10">
        <v>45515</v>
      </c>
      <c r="C168" s="11" t="s">
        <v>337</v>
      </c>
      <c r="D168" s="11" t="s">
        <v>25</v>
      </c>
      <c r="E168" s="11" t="s">
        <v>109</v>
      </c>
    </row>
    <row r="169" spans="1:5" x14ac:dyDescent="0.3">
      <c r="A169" s="11">
        <v>3</v>
      </c>
      <c r="B169" s="10">
        <v>45519</v>
      </c>
      <c r="C169" s="11" t="s">
        <v>339</v>
      </c>
      <c r="D169" s="11" t="s">
        <v>25</v>
      </c>
      <c r="E169" s="11" t="s">
        <v>26</v>
      </c>
    </row>
    <row r="170" spans="1:5" x14ac:dyDescent="0.3">
      <c r="A170" s="11">
        <v>4</v>
      </c>
      <c r="B170" s="10">
        <v>45525</v>
      </c>
      <c r="C170" s="11" t="s">
        <v>339</v>
      </c>
      <c r="D170" s="11" t="s">
        <v>25</v>
      </c>
      <c r="E170" s="11" t="s">
        <v>72</v>
      </c>
    </row>
    <row r="171" spans="1:5" x14ac:dyDescent="0.3">
      <c r="A171" s="11">
        <v>5</v>
      </c>
      <c r="B171" s="10">
        <v>45527</v>
      </c>
      <c r="C171" s="11" t="s">
        <v>339</v>
      </c>
      <c r="D171" s="11" t="s">
        <v>25</v>
      </c>
      <c r="E171" s="11">
        <v>20</v>
      </c>
    </row>
    <row r="172" spans="1:5" x14ac:dyDescent="0.3">
      <c r="A172" s="11">
        <v>6</v>
      </c>
      <c r="B172" s="10">
        <v>45532</v>
      </c>
      <c r="C172" s="11" t="s">
        <v>342</v>
      </c>
      <c r="D172" s="11" t="s">
        <v>25</v>
      </c>
      <c r="E172" s="11">
        <v>4</v>
      </c>
    </row>
    <row r="173" spans="1:5" s="53" customFormat="1" x14ac:dyDescent="0.3">
      <c r="A173" s="23">
        <v>7</v>
      </c>
      <c r="B173" s="24">
        <v>45532</v>
      </c>
      <c r="C173" s="23" t="s">
        <v>343</v>
      </c>
      <c r="D173" s="23" t="s">
        <v>25</v>
      </c>
      <c r="E173" s="23">
        <v>25</v>
      </c>
    </row>
    <row r="174" spans="1:5" x14ac:dyDescent="0.3">
      <c r="A174" s="43"/>
      <c r="B174" s="43"/>
      <c r="C174" s="43"/>
      <c r="D174" s="43"/>
      <c r="E174" s="43"/>
    </row>
    <row r="175" spans="1:5" ht="15" thickBot="1" x14ac:dyDescent="0.35"/>
    <row r="176" spans="1:5" ht="25.8" thickBot="1" x14ac:dyDescent="0.65">
      <c r="A176" s="74" t="s">
        <v>344</v>
      </c>
      <c r="B176" s="75"/>
      <c r="C176" s="75"/>
      <c r="D176" s="76"/>
      <c r="E176" s="77"/>
    </row>
    <row r="177" spans="1:7" x14ac:dyDescent="0.3">
      <c r="A177" s="1" t="s">
        <v>1</v>
      </c>
      <c r="B177" s="1" t="s">
        <v>2</v>
      </c>
      <c r="C177" s="2" t="s">
        <v>3</v>
      </c>
      <c r="D177" s="1" t="s">
        <v>4</v>
      </c>
      <c r="E177" s="27" t="s">
        <v>22</v>
      </c>
    </row>
    <row r="178" spans="1:7" x14ac:dyDescent="0.3">
      <c r="A178" s="11">
        <v>1</v>
      </c>
      <c r="B178" s="10">
        <v>45543</v>
      </c>
      <c r="C178" s="11" t="s">
        <v>337</v>
      </c>
      <c r="D178" s="11" t="s">
        <v>25</v>
      </c>
      <c r="E178" s="11">
        <v>25</v>
      </c>
    </row>
    <row r="179" spans="1:7" x14ac:dyDescent="0.3">
      <c r="A179" s="11"/>
      <c r="B179" s="10"/>
      <c r="C179" s="11"/>
      <c r="D179" s="11"/>
      <c r="E179" s="11"/>
    </row>
    <row r="180" spans="1:7" x14ac:dyDescent="0.3">
      <c r="A180" s="11"/>
      <c r="B180" s="10"/>
      <c r="C180" s="11"/>
      <c r="D180" s="11"/>
      <c r="E180" s="11"/>
    </row>
    <row r="181" spans="1:7" x14ac:dyDescent="0.3">
      <c r="A181" s="11"/>
      <c r="B181" s="10"/>
      <c r="C181" s="11"/>
      <c r="D181" s="11"/>
      <c r="E181" s="11"/>
    </row>
    <row r="182" spans="1:7" x14ac:dyDescent="0.3">
      <c r="A182" s="11"/>
      <c r="B182" s="10"/>
      <c r="C182" s="11"/>
      <c r="D182" s="11"/>
      <c r="E182" s="11"/>
    </row>
    <row r="183" spans="1:7" x14ac:dyDescent="0.3">
      <c r="A183" s="11"/>
      <c r="B183" s="10"/>
      <c r="C183" s="11"/>
      <c r="D183" s="11"/>
      <c r="E183" s="11"/>
    </row>
    <row r="184" spans="1:7" x14ac:dyDescent="0.3">
      <c r="A184" s="23"/>
      <c r="B184" s="24"/>
      <c r="C184" s="23"/>
      <c r="D184" s="23"/>
      <c r="E184" s="23"/>
    </row>
    <row r="185" spans="1:7" x14ac:dyDescent="0.3">
      <c r="A185" s="43"/>
      <c r="B185" s="43"/>
      <c r="C185" s="43"/>
      <c r="D185" s="43"/>
      <c r="E185" s="43"/>
    </row>
    <row r="188" spans="1:7" ht="15" thickBot="1" x14ac:dyDescent="0.35"/>
    <row r="189" spans="1:7" ht="25.8" thickBot="1" x14ac:dyDescent="0.65">
      <c r="A189" s="74" t="s">
        <v>23</v>
      </c>
      <c r="B189" s="75"/>
      <c r="C189" s="75"/>
      <c r="D189" s="76"/>
      <c r="E189" s="77"/>
    </row>
    <row r="190" spans="1:7" x14ac:dyDescent="0.3">
      <c r="A190" s="1" t="s">
        <v>1</v>
      </c>
      <c r="B190" s="1" t="s">
        <v>2</v>
      </c>
      <c r="C190" s="2" t="s">
        <v>3</v>
      </c>
      <c r="D190" s="1" t="s">
        <v>4</v>
      </c>
      <c r="E190" s="27" t="s">
        <v>5</v>
      </c>
    </row>
    <row r="191" spans="1:7" x14ac:dyDescent="0.3">
      <c r="A191" s="11">
        <v>1</v>
      </c>
      <c r="B191" s="10">
        <v>45967</v>
      </c>
      <c r="C191" s="11" t="s">
        <v>359</v>
      </c>
      <c r="D191" s="11"/>
      <c r="E191" s="11">
        <v>70</v>
      </c>
    </row>
    <row r="192" spans="1:7" x14ac:dyDescent="0.3">
      <c r="A192" s="11">
        <v>2</v>
      </c>
      <c r="B192" s="10">
        <v>45968</v>
      </c>
      <c r="C192" s="11" t="s">
        <v>359</v>
      </c>
      <c r="D192" s="11"/>
      <c r="E192" s="11">
        <v>15</v>
      </c>
      <c r="G192">
        <v>5</v>
      </c>
    </row>
    <row r="193" spans="1:7" x14ac:dyDescent="0.3">
      <c r="A193" s="11">
        <v>3</v>
      </c>
      <c r="B193" s="10">
        <v>45970</v>
      </c>
      <c r="C193" s="11" t="s">
        <v>359</v>
      </c>
      <c r="D193" s="11"/>
      <c r="E193" s="11">
        <v>18</v>
      </c>
      <c r="G193">
        <v>15</v>
      </c>
    </row>
    <row r="194" spans="1:7" x14ac:dyDescent="0.3">
      <c r="A194" s="11"/>
      <c r="B194" s="10">
        <v>45976</v>
      </c>
      <c r="C194" s="11" t="s">
        <v>359</v>
      </c>
      <c r="D194" s="11"/>
      <c r="E194" s="11">
        <v>8</v>
      </c>
      <c r="G194">
        <v>6</v>
      </c>
    </row>
    <row r="195" spans="1:7" x14ac:dyDescent="0.3">
      <c r="A195" s="11"/>
      <c r="B195" s="10">
        <v>45978</v>
      </c>
      <c r="C195" s="11" t="s">
        <v>359</v>
      </c>
      <c r="D195" s="11"/>
      <c r="E195" s="11">
        <v>7</v>
      </c>
    </row>
    <row r="196" spans="1:7" x14ac:dyDescent="0.3">
      <c r="A196" s="11"/>
      <c r="B196" s="10">
        <v>46022</v>
      </c>
      <c r="C196" s="11" t="s">
        <v>359</v>
      </c>
      <c r="D196" s="11"/>
      <c r="E196" s="11">
        <v>10</v>
      </c>
    </row>
    <row r="197" spans="1:7" x14ac:dyDescent="0.3">
      <c r="A197" s="23"/>
      <c r="B197" s="24"/>
      <c r="C197" s="23"/>
      <c r="D197" s="23"/>
      <c r="E197" s="23"/>
    </row>
    <row r="198" spans="1:7" x14ac:dyDescent="0.3">
      <c r="A198" s="43"/>
      <c r="B198" s="43"/>
      <c r="C198" s="43"/>
      <c r="D198" s="43"/>
      <c r="E198" s="43"/>
    </row>
    <row r="200" spans="1:7" ht="15" thickBot="1" x14ac:dyDescent="0.35"/>
    <row r="201" spans="1:7" ht="25.8" thickBot="1" x14ac:dyDescent="0.65">
      <c r="A201" s="74" t="s">
        <v>23</v>
      </c>
      <c r="B201" s="75"/>
      <c r="C201" s="75"/>
      <c r="D201" s="76"/>
      <c r="E201" s="77"/>
    </row>
    <row r="202" spans="1:7" x14ac:dyDescent="0.3">
      <c r="A202" s="1" t="s">
        <v>1</v>
      </c>
      <c r="B202" s="1" t="s">
        <v>2</v>
      </c>
      <c r="C202" s="2" t="s">
        <v>3</v>
      </c>
      <c r="D202" s="1" t="s">
        <v>4</v>
      </c>
      <c r="E202" s="27" t="s">
        <v>5</v>
      </c>
    </row>
    <row r="203" spans="1:7" x14ac:dyDescent="0.3">
      <c r="A203" s="11">
        <v>1</v>
      </c>
      <c r="B203" s="10">
        <v>46061</v>
      </c>
      <c r="C203" s="11" t="s">
        <v>386</v>
      </c>
      <c r="D203" s="11"/>
      <c r="E203" s="11">
        <v>7</v>
      </c>
    </row>
    <row r="204" spans="1:7" x14ac:dyDescent="0.3">
      <c r="A204" s="11"/>
      <c r="B204" s="10">
        <v>46065</v>
      </c>
      <c r="C204" s="11" t="s">
        <v>386</v>
      </c>
      <c r="D204" s="11"/>
      <c r="E204" s="11">
        <v>8</v>
      </c>
    </row>
    <row r="205" spans="1:7" x14ac:dyDescent="0.3">
      <c r="A205" s="11"/>
      <c r="B205" s="10">
        <v>46066</v>
      </c>
      <c r="C205" s="11" t="s">
        <v>359</v>
      </c>
      <c r="D205" s="11"/>
      <c r="E205" s="11">
        <v>25</v>
      </c>
    </row>
    <row r="206" spans="1:7" x14ac:dyDescent="0.3">
      <c r="A206" s="11"/>
      <c r="B206" s="10">
        <v>46071</v>
      </c>
      <c r="C206" s="11" t="s">
        <v>386</v>
      </c>
      <c r="D206" s="11"/>
      <c r="E206" s="11">
        <v>6</v>
      </c>
    </row>
    <row r="207" spans="1:7" x14ac:dyDescent="0.3">
      <c r="A207" s="11"/>
      <c r="B207" s="10">
        <v>46089</v>
      </c>
      <c r="C207" s="11" t="s">
        <v>386</v>
      </c>
      <c r="D207" s="11"/>
      <c r="E207" s="11">
        <v>20</v>
      </c>
    </row>
    <row r="208" spans="1:7" x14ac:dyDescent="0.3">
      <c r="A208" s="11"/>
      <c r="B208" s="10">
        <v>46107</v>
      </c>
      <c r="C208" s="11" t="s">
        <v>403</v>
      </c>
      <c r="D208" s="11"/>
      <c r="E208" s="11">
        <v>20</v>
      </c>
    </row>
    <row r="209" spans="1:5" x14ac:dyDescent="0.3">
      <c r="A209" s="23"/>
      <c r="B209" s="10">
        <v>46108</v>
      </c>
      <c r="C209" s="11" t="s">
        <v>403</v>
      </c>
      <c r="D209" s="11"/>
      <c r="E209" s="11">
        <v>75</v>
      </c>
    </row>
    <row r="210" spans="1:5" x14ac:dyDescent="0.3">
      <c r="A210" s="43"/>
      <c r="B210" s="54">
        <v>46112</v>
      </c>
      <c r="C210" s="43" t="s">
        <v>335</v>
      </c>
      <c r="D210" s="43"/>
      <c r="E210" s="43">
        <v>25</v>
      </c>
    </row>
    <row r="211" spans="1:5" x14ac:dyDescent="0.3">
      <c r="B211" s="56">
        <v>46126</v>
      </c>
      <c r="C211" s="29" t="s">
        <v>431</v>
      </c>
      <c r="E211" s="29">
        <v>50</v>
      </c>
    </row>
    <row r="212" spans="1:5" x14ac:dyDescent="0.3">
      <c r="B212" s="56">
        <v>46127</v>
      </c>
      <c r="C212" s="29" t="s">
        <v>431</v>
      </c>
      <c r="E212" s="29">
        <v>50</v>
      </c>
    </row>
  </sheetData>
  <mergeCells count="25">
    <mergeCell ref="A113:E113"/>
    <mergeCell ref="A107:E107"/>
    <mergeCell ref="H41:L41"/>
    <mergeCell ref="A41:E41"/>
    <mergeCell ref="A79:E79"/>
    <mergeCell ref="A75:E75"/>
    <mergeCell ref="A67:E67"/>
    <mergeCell ref="A61:E61"/>
    <mergeCell ref="A51:E51"/>
    <mergeCell ref="A201:E201"/>
    <mergeCell ref="A97:E97"/>
    <mergeCell ref="A91:E91"/>
    <mergeCell ref="A85:E85"/>
    <mergeCell ref="A2:E2"/>
    <mergeCell ref="A7:E7"/>
    <mergeCell ref="A20:E20"/>
    <mergeCell ref="A26:E26"/>
    <mergeCell ref="A34:E34"/>
    <mergeCell ref="A189:E189"/>
    <mergeCell ref="A176:E176"/>
    <mergeCell ref="A165:E165"/>
    <mergeCell ref="A154:E154"/>
    <mergeCell ref="A145:E145"/>
    <mergeCell ref="A136:E136"/>
    <mergeCell ref="A119:E1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7"/>
  <sheetViews>
    <sheetView topLeftCell="A127" workbookViewId="0">
      <selection activeCell="C148" sqref="C148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32.88671875" bestFit="1" customWidth="1"/>
    <col min="4" max="4" width="9.44140625" bestFit="1" customWidth="1"/>
    <col min="5" max="5" width="16.5546875" bestFit="1" customWidth="1"/>
    <col min="9" max="9" width="29.33203125" bestFit="1" customWidth="1"/>
    <col min="11" max="11" width="16.5546875" bestFit="1" customWidth="1"/>
  </cols>
  <sheetData>
    <row r="1" spans="1:5" ht="15" thickBot="1" x14ac:dyDescent="0.35"/>
    <row r="2" spans="1:5" ht="25.8" thickBot="1" x14ac:dyDescent="0.65">
      <c r="A2" s="74" t="s">
        <v>41</v>
      </c>
      <c r="B2" s="75"/>
      <c r="C2" s="75"/>
      <c r="D2" s="75"/>
      <c r="E2" s="77"/>
    </row>
    <row r="3" spans="1:5" ht="15" thickBot="1" x14ac:dyDescent="0.35">
      <c r="A3" s="1" t="s">
        <v>1</v>
      </c>
      <c r="B3" s="3" t="s">
        <v>2</v>
      </c>
      <c r="C3" s="3" t="s">
        <v>3</v>
      </c>
      <c r="D3" s="3" t="s">
        <v>42</v>
      </c>
      <c r="E3" s="3" t="s">
        <v>43</v>
      </c>
    </row>
    <row r="4" spans="1:5" x14ac:dyDescent="0.3">
      <c r="A4" s="11">
        <v>2</v>
      </c>
      <c r="B4" s="10">
        <v>44682</v>
      </c>
      <c r="C4" s="11" t="s">
        <v>44</v>
      </c>
      <c r="D4" s="11" t="s">
        <v>37</v>
      </c>
      <c r="E4" s="11" t="s">
        <v>9</v>
      </c>
    </row>
    <row r="5" spans="1:5" x14ac:dyDescent="0.3">
      <c r="A5" s="11">
        <v>3</v>
      </c>
      <c r="B5" s="10">
        <v>44688</v>
      </c>
      <c r="C5" s="11" t="s">
        <v>44</v>
      </c>
      <c r="D5" s="11" t="s">
        <v>37</v>
      </c>
      <c r="E5" s="11" t="s">
        <v>26</v>
      </c>
    </row>
    <row r="6" spans="1:5" x14ac:dyDescent="0.3">
      <c r="A6" s="11">
        <v>5</v>
      </c>
      <c r="B6" s="10">
        <v>44702</v>
      </c>
      <c r="C6" s="11" t="s">
        <v>44</v>
      </c>
      <c r="D6" s="11" t="s">
        <v>37</v>
      </c>
      <c r="E6" s="11" t="s">
        <v>26</v>
      </c>
    </row>
    <row r="8" spans="1:5" ht="15" thickBot="1" x14ac:dyDescent="0.35"/>
    <row r="9" spans="1:5" ht="25.8" thickBot="1" x14ac:dyDescent="0.65">
      <c r="A9" s="74" t="s">
        <v>63</v>
      </c>
      <c r="B9" s="75"/>
      <c r="C9" s="75"/>
      <c r="D9" s="75"/>
      <c r="E9" s="77"/>
    </row>
    <row r="10" spans="1:5" x14ac:dyDescent="0.3">
      <c r="A10" s="1" t="s">
        <v>1</v>
      </c>
      <c r="B10" s="1" t="s">
        <v>2</v>
      </c>
      <c r="C10" s="1" t="s">
        <v>3</v>
      </c>
      <c r="D10" s="1" t="s">
        <v>42</v>
      </c>
      <c r="E10" s="1" t="s">
        <v>43</v>
      </c>
    </row>
    <row r="11" spans="1:5" x14ac:dyDescent="0.3">
      <c r="A11" s="11">
        <v>1</v>
      </c>
      <c r="B11" s="10">
        <v>44746</v>
      </c>
      <c r="C11" s="11" t="s">
        <v>44</v>
      </c>
      <c r="D11" s="11"/>
      <c r="E11" s="11" t="s">
        <v>64</v>
      </c>
    </row>
    <row r="12" spans="1:5" x14ac:dyDescent="0.3">
      <c r="A12" s="11">
        <v>2</v>
      </c>
      <c r="B12" s="10">
        <v>44752</v>
      </c>
      <c r="C12" s="11" t="s">
        <v>44</v>
      </c>
      <c r="D12" s="11"/>
      <c r="E12" s="11" t="s">
        <v>70</v>
      </c>
    </row>
    <row r="13" spans="1:5" x14ac:dyDescent="0.3">
      <c r="A13" s="11">
        <v>3</v>
      </c>
      <c r="B13" s="10">
        <v>44761</v>
      </c>
      <c r="C13" s="11" t="s">
        <v>71</v>
      </c>
      <c r="D13" s="11"/>
      <c r="E13" s="11" t="s">
        <v>72</v>
      </c>
    </row>
    <row r="14" spans="1:5" x14ac:dyDescent="0.3">
      <c r="A14" s="11">
        <v>4</v>
      </c>
      <c r="B14" s="10">
        <v>44773</v>
      </c>
      <c r="C14" s="11" t="s">
        <v>44</v>
      </c>
      <c r="D14" s="11"/>
      <c r="E14" s="11" t="s">
        <v>37</v>
      </c>
    </row>
    <row r="15" spans="1:5" x14ac:dyDescent="0.3">
      <c r="A15" s="11"/>
      <c r="B15" s="11"/>
      <c r="C15" s="11"/>
      <c r="D15" s="11"/>
      <c r="E15" s="11"/>
    </row>
    <row r="16" spans="1:5" x14ac:dyDescent="0.3">
      <c r="A16" s="11"/>
      <c r="B16" s="11"/>
      <c r="C16" s="11"/>
      <c r="D16" s="11"/>
      <c r="E16" s="11"/>
    </row>
    <row r="17" spans="1:11" x14ac:dyDescent="0.3">
      <c r="A17" s="11"/>
      <c r="B17" s="11"/>
      <c r="C17" s="11"/>
      <c r="D17" s="11"/>
      <c r="E17" s="11"/>
    </row>
    <row r="18" spans="1:11" ht="15" thickBot="1" x14ac:dyDescent="0.35"/>
    <row r="19" spans="1:11" ht="25.8" thickBot="1" x14ac:dyDescent="0.65">
      <c r="A19" s="74" t="s">
        <v>78</v>
      </c>
      <c r="B19" s="75"/>
      <c r="C19" s="75"/>
      <c r="D19" s="75"/>
      <c r="E19" s="77"/>
    </row>
    <row r="20" spans="1:11" x14ac:dyDescent="0.3">
      <c r="A20" s="1" t="s">
        <v>1</v>
      </c>
      <c r="B20" s="1" t="s">
        <v>2</v>
      </c>
      <c r="C20" s="1" t="s">
        <v>3</v>
      </c>
      <c r="D20" s="1" t="s">
        <v>42</v>
      </c>
      <c r="E20" s="1" t="s">
        <v>43</v>
      </c>
    </row>
    <row r="21" spans="1:11" x14ac:dyDescent="0.3">
      <c r="A21" s="11">
        <v>1</v>
      </c>
      <c r="B21" s="10">
        <v>44788</v>
      </c>
      <c r="C21" s="11" t="s">
        <v>44</v>
      </c>
      <c r="D21" s="11"/>
      <c r="E21" s="11" t="s">
        <v>72</v>
      </c>
    </row>
    <row r="22" spans="1:11" x14ac:dyDescent="0.3">
      <c r="A22" s="11"/>
      <c r="B22" s="11"/>
      <c r="C22" s="11"/>
      <c r="D22" s="11"/>
      <c r="E22" s="11"/>
    </row>
    <row r="23" spans="1:11" x14ac:dyDescent="0.3">
      <c r="A23" s="11"/>
      <c r="B23" s="11"/>
      <c r="C23" s="11"/>
      <c r="D23" s="11"/>
      <c r="E23" s="11"/>
    </row>
    <row r="25" spans="1:11" ht="15" thickBot="1" x14ac:dyDescent="0.35"/>
    <row r="26" spans="1:11" ht="25.8" thickBot="1" x14ac:dyDescent="0.65">
      <c r="A26" s="74" t="s">
        <v>85</v>
      </c>
      <c r="B26" s="75"/>
      <c r="C26" s="75"/>
      <c r="D26" s="75"/>
      <c r="E26" s="77"/>
      <c r="G26" s="74" t="s">
        <v>85</v>
      </c>
      <c r="H26" s="75"/>
      <c r="I26" s="75"/>
      <c r="J26" s="75"/>
      <c r="K26" s="77"/>
    </row>
    <row r="27" spans="1:11" x14ac:dyDescent="0.3">
      <c r="A27" s="1" t="s">
        <v>1</v>
      </c>
      <c r="B27" s="1" t="s">
        <v>2</v>
      </c>
      <c r="C27" s="1" t="s">
        <v>3</v>
      </c>
      <c r="D27" s="1" t="s">
        <v>42</v>
      </c>
      <c r="E27" s="1" t="s">
        <v>43</v>
      </c>
      <c r="G27" s="1" t="s">
        <v>1</v>
      </c>
      <c r="H27" s="1" t="s">
        <v>2</v>
      </c>
      <c r="I27" s="1" t="s">
        <v>3</v>
      </c>
      <c r="J27" s="1" t="s">
        <v>42</v>
      </c>
      <c r="K27" s="1" t="s">
        <v>43</v>
      </c>
    </row>
    <row r="28" spans="1:11" x14ac:dyDescent="0.3">
      <c r="A28" s="11">
        <v>1</v>
      </c>
      <c r="B28" s="10">
        <v>44837</v>
      </c>
      <c r="C28" s="11" t="s">
        <v>8</v>
      </c>
      <c r="D28" s="11"/>
      <c r="E28" s="11" t="s">
        <v>37</v>
      </c>
      <c r="G28" s="11">
        <v>1</v>
      </c>
      <c r="H28" s="10">
        <v>44842</v>
      </c>
      <c r="I28" s="11" t="s">
        <v>91</v>
      </c>
      <c r="J28" s="11" t="s">
        <v>92</v>
      </c>
      <c r="K28" s="11" t="s">
        <v>93</v>
      </c>
    </row>
    <row r="29" spans="1:11" x14ac:dyDescent="0.3">
      <c r="A29" s="11">
        <v>2</v>
      </c>
      <c r="B29" s="10">
        <v>44845</v>
      </c>
      <c r="C29" s="11" t="s">
        <v>8</v>
      </c>
      <c r="D29" s="11"/>
      <c r="E29" s="11" t="s">
        <v>94</v>
      </c>
      <c r="F29" t="s">
        <v>97</v>
      </c>
      <c r="G29" s="11"/>
      <c r="H29" s="10"/>
      <c r="I29" s="11"/>
      <c r="J29" s="11"/>
      <c r="K29" s="11"/>
    </row>
    <row r="30" spans="1:11" x14ac:dyDescent="0.3">
      <c r="A30" s="11">
        <v>3</v>
      </c>
      <c r="B30" s="10">
        <v>44848</v>
      </c>
      <c r="C30" s="11" t="s">
        <v>107</v>
      </c>
      <c r="D30" s="11"/>
      <c r="E30" s="11" t="s">
        <v>109</v>
      </c>
      <c r="G30" s="11"/>
      <c r="H30" s="11"/>
      <c r="I30" s="11"/>
      <c r="J30" s="11"/>
      <c r="K30" s="11"/>
    </row>
    <row r="31" spans="1:11" x14ac:dyDescent="0.3">
      <c r="A31" s="11"/>
      <c r="B31" s="11"/>
      <c r="C31" s="11"/>
      <c r="D31" s="11"/>
      <c r="E31" s="11"/>
      <c r="G31" s="11"/>
      <c r="H31" s="11"/>
      <c r="I31" s="11"/>
      <c r="J31" s="11"/>
      <c r="K31" s="11"/>
    </row>
    <row r="32" spans="1:11" x14ac:dyDescent="0.3">
      <c r="A32" s="11"/>
      <c r="B32" s="11"/>
      <c r="C32" s="11"/>
      <c r="D32" s="11"/>
      <c r="E32" s="11"/>
      <c r="G32" s="11"/>
      <c r="H32" s="11"/>
      <c r="I32" s="11"/>
      <c r="J32" s="11"/>
      <c r="K32" s="11"/>
    </row>
    <row r="33" spans="1:11" x14ac:dyDescent="0.3">
      <c r="A33" s="11"/>
      <c r="B33" s="11"/>
      <c r="C33" s="11"/>
      <c r="D33" s="11"/>
      <c r="E33" s="11"/>
      <c r="G33" s="11"/>
      <c r="H33" s="11"/>
      <c r="I33" s="11"/>
      <c r="J33" s="11"/>
      <c r="K33" s="11"/>
    </row>
    <row r="34" spans="1:11" x14ac:dyDescent="0.3">
      <c r="G34" s="11"/>
      <c r="H34" s="11"/>
      <c r="I34" s="11"/>
      <c r="J34" s="11"/>
      <c r="K34" s="11"/>
    </row>
    <row r="35" spans="1:11" x14ac:dyDescent="0.3">
      <c r="C35" t="s">
        <v>102</v>
      </c>
      <c r="G35" s="11"/>
      <c r="H35" s="11"/>
      <c r="I35" s="11"/>
      <c r="J35" s="11"/>
      <c r="K35" s="11"/>
    </row>
    <row r="36" spans="1:11" ht="15" thickBot="1" x14ac:dyDescent="0.35"/>
    <row r="37" spans="1:11" ht="25.8" thickBot="1" x14ac:dyDescent="0.65">
      <c r="A37" s="74" t="s">
        <v>85</v>
      </c>
      <c r="B37" s="75"/>
      <c r="C37" s="75"/>
      <c r="D37" s="75"/>
      <c r="E37" s="77"/>
    </row>
    <row r="38" spans="1:11" x14ac:dyDescent="0.3">
      <c r="A38" s="1" t="s">
        <v>1</v>
      </c>
      <c r="B38" s="1" t="s">
        <v>2</v>
      </c>
      <c r="C38" s="1" t="s">
        <v>3</v>
      </c>
      <c r="D38" s="1" t="s">
        <v>42</v>
      </c>
      <c r="E38" s="1" t="s">
        <v>43</v>
      </c>
    </row>
    <row r="39" spans="1:11" x14ac:dyDescent="0.3">
      <c r="A39" s="11">
        <v>1</v>
      </c>
      <c r="B39" s="10">
        <v>44871</v>
      </c>
      <c r="C39" s="11" t="s">
        <v>8</v>
      </c>
      <c r="D39" s="11"/>
      <c r="E39" s="11" t="s">
        <v>116</v>
      </c>
    </row>
    <row r="40" spans="1:11" x14ac:dyDescent="0.3">
      <c r="A40" s="11">
        <v>2</v>
      </c>
      <c r="B40" s="10">
        <v>44878</v>
      </c>
      <c r="C40" s="11" t="s">
        <v>8</v>
      </c>
      <c r="D40" s="11"/>
      <c r="E40" s="11" t="s">
        <v>26</v>
      </c>
    </row>
    <row r="41" spans="1:11" x14ac:dyDescent="0.3">
      <c r="A41" s="11"/>
      <c r="B41" s="11"/>
      <c r="C41" s="11"/>
      <c r="D41" s="11"/>
      <c r="E41" s="11"/>
    </row>
    <row r="42" spans="1:11" x14ac:dyDescent="0.3">
      <c r="A42" s="11"/>
      <c r="B42" s="11"/>
      <c r="C42" s="11"/>
      <c r="D42" s="11"/>
      <c r="E42" s="11"/>
    </row>
    <row r="44" spans="1:11" ht="15" thickBot="1" x14ac:dyDescent="0.35"/>
    <row r="45" spans="1:11" ht="25.8" thickBot="1" x14ac:dyDescent="0.65">
      <c r="A45" s="74" t="s">
        <v>126</v>
      </c>
      <c r="B45" s="75"/>
      <c r="C45" s="75"/>
      <c r="D45" s="75"/>
      <c r="E45" s="77"/>
    </row>
    <row r="46" spans="1:11" x14ac:dyDescent="0.3">
      <c r="A46" s="1" t="s">
        <v>1</v>
      </c>
      <c r="B46" s="1" t="s">
        <v>2</v>
      </c>
      <c r="C46" s="1" t="s">
        <v>3</v>
      </c>
      <c r="D46" s="1" t="s">
        <v>42</v>
      </c>
      <c r="E46" s="1" t="s">
        <v>43</v>
      </c>
    </row>
    <row r="47" spans="1:11" x14ac:dyDescent="0.3">
      <c r="A47" s="11">
        <v>1</v>
      </c>
      <c r="B47" s="10">
        <v>44883</v>
      </c>
      <c r="C47" s="11" t="s">
        <v>127</v>
      </c>
      <c r="D47" s="11"/>
      <c r="E47" s="11" t="s">
        <v>123</v>
      </c>
    </row>
    <row r="48" spans="1:11" x14ac:dyDescent="0.3">
      <c r="A48" s="11">
        <v>2</v>
      </c>
      <c r="B48" s="10"/>
      <c r="C48" s="11"/>
      <c r="D48" s="11"/>
      <c r="E48" s="11"/>
    </row>
    <row r="49" spans="1:5" x14ac:dyDescent="0.3">
      <c r="A49" s="11"/>
      <c r="B49" s="11"/>
      <c r="C49" s="11"/>
      <c r="D49" s="11"/>
      <c r="E49" s="11"/>
    </row>
    <row r="50" spans="1:5" x14ac:dyDescent="0.3">
      <c r="A50" s="11"/>
      <c r="B50" s="11"/>
      <c r="C50" s="11"/>
      <c r="D50" s="11"/>
      <c r="E50" s="11"/>
    </row>
    <row r="51" spans="1:5" ht="15" thickBot="1" x14ac:dyDescent="0.35"/>
    <row r="52" spans="1:5" ht="25.8" thickBot="1" x14ac:dyDescent="0.65">
      <c r="A52" s="74" t="s">
        <v>146</v>
      </c>
      <c r="B52" s="75"/>
      <c r="C52" s="75"/>
      <c r="D52" s="75"/>
      <c r="E52" s="77"/>
    </row>
    <row r="53" spans="1:5" x14ac:dyDescent="0.3">
      <c r="A53" s="1" t="s">
        <v>1</v>
      </c>
      <c r="B53" s="1" t="s">
        <v>2</v>
      </c>
      <c r="C53" s="1" t="s">
        <v>3</v>
      </c>
      <c r="D53" s="1" t="s">
        <v>42</v>
      </c>
      <c r="E53" s="1" t="s">
        <v>43</v>
      </c>
    </row>
    <row r="54" spans="1:5" x14ac:dyDescent="0.3">
      <c r="A54" s="11">
        <v>1</v>
      </c>
      <c r="B54" s="10">
        <v>44919</v>
      </c>
      <c r="C54" s="11" t="s">
        <v>127</v>
      </c>
      <c r="D54" s="11"/>
      <c r="E54" s="11" t="s">
        <v>69</v>
      </c>
    </row>
    <row r="55" spans="1:5" x14ac:dyDescent="0.3">
      <c r="A55" s="11">
        <v>2</v>
      </c>
      <c r="B55" s="10">
        <v>44925</v>
      </c>
      <c r="C55" s="11" t="s">
        <v>127</v>
      </c>
      <c r="D55" s="11"/>
      <c r="E55" s="11" t="s">
        <v>147</v>
      </c>
    </row>
    <row r="56" spans="1:5" ht="15" thickBot="1" x14ac:dyDescent="0.35"/>
    <row r="57" spans="1:5" ht="25.8" thickBot="1" x14ac:dyDescent="0.65">
      <c r="A57" s="74" t="s">
        <v>162</v>
      </c>
      <c r="B57" s="75"/>
      <c r="C57" s="75"/>
      <c r="D57" s="75"/>
      <c r="E57" s="77"/>
    </row>
    <row r="58" spans="1:5" x14ac:dyDescent="0.3">
      <c r="A58" s="1" t="s">
        <v>1</v>
      </c>
      <c r="B58" s="1" t="s">
        <v>2</v>
      </c>
      <c r="C58" s="1" t="s">
        <v>3</v>
      </c>
      <c r="D58" s="1" t="s">
        <v>42</v>
      </c>
      <c r="E58" s="1" t="s">
        <v>43</v>
      </c>
    </row>
    <row r="59" spans="1:5" x14ac:dyDescent="0.3">
      <c r="A59" s="11">
        <v>1</v>
      </c>
      <c r="B59" s="10">
        <v>44948</v>
      </c>
      <c r="C59" s="11" t="s">
        <v>127</v>
      </c>
      <c r="D59" s="11"/>
      <c r="E59" s="11" t="s">
        <v>163</v>
      </c>
    </row>
    <row r="60" spans="1:5" x14ac:dyDescent="0.3">
      <c r="A60" s="11">
        <v>2</v>
      </c>
      <c r="B60" s="10">
        <v>44952</v>
      </c>
      <c r="C60" s="11" t="s">
        <v>127</v>
      </c>
      <c r="D60" s="11"/>
      <c r="E60" s="11" t="s">
        <v>165</v>
      </c>
    </row>
    <row r="61" spans="1:5" ht="15" thickBot="1" x14ac:dyDescent="0.35">
      <c r="A61" s="11"/>
      <c r="B61" s="11"/>
      <c r="C61" s="11"/>
      <c r="D61" s="11"/>
      <c r="E61" s="11"/>
    </row>
    <row r="62" spans="1:5" ht="25.8" thickBot="1" x14ac:dyDescent="0.65">
      <c r="A62" s="74" t="s">
        <v>179</v>
      </c>
      <c r="B62" s="75"/>
      <c r="C62" s="75"/>
      <c r="D62" s="75"/>
      <c r="E62" s="77"/>
    </row>
    <row r="63" spans="1:5" x14ac:dyDescent="0.3">
      <c r="A63" s="1" t="s">
        <v>1</v>
      </c>
      <c r="B63" s="1" t="s">
        <v>2</v>
      </c>
      <c r="C63" s="1" t="s">
        <v>3</v>
      </c>
      <c r="D63" s="1" t="s">
        <v>42</v>
      </c>
      <c r="E63" s="1" t="s">
        <v>43</v>
      </c>
    </row>
    <row r="64" spans="1:5" x14ac:dyDescent="0.3">
      <c r="A64" s="11">
        <v>1</v>
      </c>
      <c r="B64" s="10">
        <v>44983</v>
      </c>
      <c r="C64" s="11" t="s">
        <v>44</v>
      </c>
      <c r="D64" s="11"/>
      <c r="E64" s="11" t="s">
        <v>165</v>
      </c>
    </row>
    <row r="65" spans="1:11" x14ac:dyDescent="0.3">
      <c r="A65" s="11"/>
      <c r="B65" s="11"/>
      <c r="C65" s="11"/>
      <c r="D65" s="11"/>
      <c r="E65" s="11"/>
    </row>
    <row r="66" spans="1:11" ht="15" thickBot="1" x14ac:dyDescent="0.35"/>
    <row r="67" spans="1:11" ht="25.8" thickBot="1" x14ac:dyDescent="0.65">
      <c r="A67" s="74" t="s">
        <v>187</v>
      </c>
      <c r="B67" s="75"/>
      <c r="C67" s="75"/>
      <c r="D67" s="75"/>
      <c r="E67" s="77"/>
    </row>
    <row r="68" spans="1:11" x14ac:dyDescent="0.3">
      <c r="A68" s="1" t="s">
        <v>1</v>
      </c>
      <c r="B68" s="1" t="s">
        <v>2</v>
      </c>
      <c r="C68" s="1" t="s">
        <v>3</v>
      </c>
      <c r="D68" s="1" t="s">
        <v>42</v>
      </c>
      <c r="E68" s="1" t="s">
        <v>43</v>
      </c>
    </row>
    <row r="69" spans="1:11" x14ac:dyDescent="0.3">
      <c r="A69" s="11">
        <v>1</v>
      </c>
      <c r="B69" s="10">
        <v>45000</v>
      </c>
      <c r="C69" s="11" t="s">
        <v>127</v>
      </c>
      <c r="D69" s="11"/>
      <c r="E69" s="11" t="s">
        <v>163</v>
      </c>
    </row>
    <row r="70" spans="1:11" x14ac:dyDescent="0.3">
      <c r="A70" s="11"/>
      <c r="B70" s="11"/>
      <c r="C70" s="11"/>
      <c r="D70" s="11"/>
      <c r="E70" s="11"/>
    </row>
    <row r="71" spans="1:11" ht="15" thickBot="1" x14ac:dyDescent="0.35"/>
    <row r="72" spans="1:11" ht="25.8" thickBot="1" x14ac:dyDescent="0.65">
      <c r="A72" s="74" t="s">
        <v>199</v>
      </c>
      <c r="B72" s="75"/>
      <c r="C72" s="75"/>
      <c r="D72" s="75"/>
      <c r="E72" s="77"/>
    </row>
    <row r="73" spans="1:11" x14ac:dyDescent="0.3">
      <c r="A73" s="1" t="s">
        <v>1</v>
      </c>
      <c r="B73" s="1" t="s">
        <v>2</v>
      </c>
      <c r="C73" s="1" t="s">
        <v>3</v>
      </c>
      <c r="D73" s="1" t="s">
        <v>42</v>
      </c>
      <c r="E73" s="1" t="s">
        <v>43</v>
      </c>
    </row>
    <row r="74" spans="1:11" x14ac:dyDescent="0.3">
      <c r="A74" s="11">
        <v>1</v>
      </c>
      <c r="B74" s="10">
        <v>45025</v>
      </c>
      <c r="C74" s="11" t="s">
        <v>193</v>
      </c>
      <c r="D74" s="11"/>
      <c r="E74" s="11" t="s">
        <v>165</v>
      </c>
    </row>
    <row r="75" spans="1:11" x14ac:dyDescent="0.3">
      <c r="A75" s="11">
        <v>2</v>
      </c>
      <c r="B75" s="10">
        <v>45031</v>
      </c>
      <c r="C75" s="11" t="s">
        <v>127</v>
      </c>
      <c r="D75" s="11"/>
      <c r="E75" s="11" t="s">
        <v>72</v>
      </c>
    </row>
    <row r="76" spans="1:11" ht="15" thickBot="1" x14ac:dyDescent="0.35"/>
    <row r="77" spans="1:11" ht="25.8" thickBot="1" x14ac:dyDescent="0.65">
      <c r="A77" s="74" t="s">
        <v>41</v>
      </c>
      <c r="B77" s="75"/>
      <c r="C77" s="75"/>
      <c r="D77" s="75"/>
      <c r="E77" s="77"/>
      <c r="G77" s="74" t="s">
        <v>41</v>
      </c>
      <c r="H77" s="75"/>
      <c r="I77" s="75"/>
      <c r="J77" s="75"/>
      <c r="K77" s="77"/>
    </row>
    <row r="78" spans="1:11" x14ac:dyDescent="0.3">
      <c r="A78" s="1" t="s">
        <v>1</v>
      </c>
      <c r="B78" s="1" t="s">
        <v>2</v>
      </c>
      <c r="C78" s="1" t="s">
        <v>3</v>
      </c>
      <c r="D78" s="1" t="s">
        <v>42</v>
      </c>
      <c r="E78" s="1" t="s">
        <v>43</v>
      </c>
      <c r="G78" s="1" t="s">
        <v>1</v>
      </c>
      <c r="H78" s="1" t="s">
        <v>2</v>
      </c>
      <c r="I78" s="1" t="s">
        <v>3</v>
      </c>
      <c r="J78" s="1" t="s">
        <v>42</v>
      </c>
      <c r="K78" s="1" t="s">
        <v>43</v>
      </c>
    </row>
    <row r="79" spans="1:11" x14ac:dyDescent="0.3">
      <c r="A79" s="11">
        <v>1</v>
      </c>
      <c r="B79" s="10">
        <v>45047</v>
      </c>
      <c r="C79" s="11" t="s">
        <v>193</v>
      </c>
      <c r="D79" s="11"/>
      <c r="E79" s="11" t="s">
        <v>165</v>
      </c>
      <c r="G79" s="11">
        <v>1</v>
      </c>
      <c r="H79" s="10">
        <v>45074</v>
      </c>
      <c r="I79" s="11" t="s">
        <v>214</v>
      </c>
      <c r="J79" s="11"/>
      <c r="K79" s="11" t="s">
        <v>26</v>
      </c>
    </row>
    <row r="80" spans="1:11" x14ac:dyDescent="0.3">
      <c r="A80" s="11">
        <v>2</v>
      </c>
      <c r="B80" s="10">
        <v>45071</v>
      </c>
      <c r="C80" s="11" t="s">
        <v>127</v>
      </c>
      <c r="D80" s="11"/>
      <c r="E80" s="11" t="s">
        <v>163</v>
      </c>
      <c r="G80" s="11">
        <v>2</v>
      </c>
      <c r="H80" s="10"/>
      <c r="I80" s="11"/>
      <c r="J80" s="11"/>
      <c r="K80" s="11"/>
    </row>
    <row r="81" spans="1:11" x14ac:dyDescent="0.3">
      <c r="A81" s="11">
        <v>3</v>
      </c>
      <c r="B81" s="10">
        <v>45073</v>
      </c>
      <c r="C81" s="11" t="s">
        <v>127</v>
      </c>
      <c r="D81" s="11"/>
      <c r="E81" s="11" t="s">
        <v>213</v>
      </c>
      <c r="G81" s="11">
        <v>3</v>
      </c>
      <c r="H81" s="10"/>
      <c r="I81" s="11"/>
      <c r="J81" s="11"/>
      <c r="K81" s="11"/>
    </row>
    <row r="82" spans="1:11" x14ac:dyDescent="0.3">
      <c r="A82" s="11">
        <v>4</v>
      </c>
      <c r="B82" s="10">
        <v>45074</v>
      </c>
      <c r="C82" s="11" t="s">
        <v>193</v>
      </c>
      <c r="D82" s="11"/>
      <c r="E82" s="11" t="s">
        <v>26</v>
      </c>
      <c r="G82" s="11">
        <v>4</v>
      </c>
      <c r="H82" s="10"/>
      <c r="I82" s="11"/>
      <c r="J82" s="11"/>
      <c r="K82" s="11"/>
    </row>
    <row r="83" spans="1:11" ht="15" thickBot="1" x14ac:dyDescent="0.35"/>
    <row r="84" spans="1:11" ht="25.8" thickBot="1" x14ac:dyDescent="0.65">
      <c r="A84" s="74" t="s">
        <v>217</v>
      </c>
      <c r="B84" s="75"/>
      <c r="C84" s="75"/>
      <c r="D84" s="75"/>
      <c r="E84" s="77"/>
    </row>
    <row r="85" spans="1:11" x14ac:dyDescent="0.3">
      <c r="A85" s="1" t="s">
        <v>1</v>
      </c>
      <c r="B85" s="1" t="s">
        <v>2</v>
      </c>
      <c r="C85" s="1" t="s">
        <v>3</v>
      </c>
      <c r="D85" s="1" t="s">
        <v>42</v>
      </c>
      <c r="E85" s="1" t="s">
        <v>43</v>
      </c>
    </row>
    <row r="86" spans="1:11" x14ac:dyDescent="0.3">
      <c r="A86" s="11">
        <v>1</v>
      </c>
      <c r="B86" s="10">
        <v>45089</v>
      </c>
      <c r="C86" s="11" t="s">
        <v>193</v>
      </c>
      <c r="D86" s="11"/>
      <c r="E86" s="11" t="s">
        <v>26</v>
      </c>
    </row>
    <row r="87" spans="1:11" x14ac:dyDescent="0.3">
      <c r="A87" s="11">
        <v>2</v>
      </c>
      <c r="B87" s="10">
        <v>45092</v>
      </c>
      <c r="C87" s="11" t="s">
        <v>193</v>
      </c>
      <c r="D87" s="11"/>
      <c r="E87" s="11" t="s">
        <v>26</v>
      </c>
    </row>
    <row r="88" spans="1:11" x14ac:dyDescent="0.3">
      <c r="A88" s="11">
        <v>3</v>
      </c>
      <c r="B88" s="10">
        <v>45094</v>
      </c>
      <c r="C88" s="11" t="s">
        <v>193</v>
      </c>
      <c r="D88" s="11"/>
      <c r="E88" s="11" t="s">
        <v>26</v>
      </c>
    </row>
    <row r="89" spans="1:11" x14ac:dyDescent="0.3">
      <c r="A89" s="11">
        <v>4</v>
      </c>
      <c r="B89" s="10">
        <v>45095</v>
      </c>
      <c r="C89" s="11" t="s">
        <v>193</v>
      </c>
      <c r="D89" s="11"/>
      <c r="E89" s="11" t="s">
        <v>26</v>
      </c>
    </row>
    <row r="90" spans="1:11" s="26" customFormat="1" x14ac:dyDescent="0.3">
      <c r="A90" s="11">
        <v>5</v>
      </c>
      <c r="B90" s="10">
        <v>45095</v>
      </c>
      <c r="C90" s="11" t="s">
        <v>193</v>
      </c>
      <c r="D90" s="40" t="s">
        <v>224</v>
      </c>
      <c r="E90" s="11" t="s">
        <v>111</v>
      </c>
    </row>
    <row r="91" spans="1:11" x14ac:dyDescent="0.3">
      <c r="A91" s="11">
        <v>6</v>
      </c>
      <c r="B91" s="10">
        <v>45097</v>
      </c>
      <c r="C91" s="11" t="s">
        <v>193</v>
      </c>
      <c r="D91" s="43"/>
      <c r="E91" s="11" t="s">
        <v>165</v>
      </c>
    </row>
    <row r="92" spans="1:11" x14ac:dyDescent="0.3">
      <c r="A92" s="11">
        <v>7</v>
      </c>
      <c r="B92" s="10">
        <v>45102</v>
      </c>
      <c r="C92" s="11" t="s">
        <v>193</v>
      </c>
      <c r="D92" s="11" t="s">
        <v>224</v>
      </c>
      <c r="E92" s="11" t="s">
        <v>147</v>
      </c>
    </row>
    <row r="93" spans="1:11" x14ac:dyDescent="0.3">
      <c r="A93" s="11"/>
      <c r="B93" s="11"/>
      <c r="C93" s="11"/>
      <c r="D93" s="11"/>
      <c r="E93" s="11"/>
    </row>
    <row r="94" spans="1:11" x14ac:dyDescent="0.3">
      <c r="A94" s="11"/>
      <c r="B94" s="11"/>
      <c r="C94" s="11"/>
      <c r="D94" s="11"/>
      <c r="E94" s="11"/>
    </row>
    <row r="95" spans="1:11" ht="15" thickBot="1" x14ac:dyDescent="0.35"/>
    <row r="96" spans="1:11" ht="25.8" thickBot="1" x14ac:dyDescent="0.65">
      <c r="A96" s="74" t="s">
        <v>63</v>
      </c>
      <c r="B96" s="75"/>
      <c r="C96" s="75"/>
      <c r="D96" s="75"/>
      <c r="E96" s="77"/>
    </row>
    <row r="97" spans="1:5" x14ac:dyDescent="0.3">
      <c r="A97" s="1" t="s">
        <v>1</v>
      </c>
      <c r="B97" s="1" t="s">
        <v>2</v>
      </c>
      <c r="C97" s="1" t="s">
        <v>3</v>
      </c>
      <c r="D97" s="1" t="s">
        <v>42</v>
      </c>
      <c r="E97" s="1" t="s">
        <v>43</v>
      </c>
    </row>
    <row r="98" spans="1:5" x14ac:dyDescent="0.3">
      <c r="A98" s="11">
        <v>1</v>
      </c>
      <c r="B98" s="10">
        <v>45136</v>
      </c>
      <c r="C98" s="11" t="s">
        <v>193</v>
      </c>
      <c r="D98" s="11"/>
      <c r="E98" s="11" t="s">
        <v>163</v>
      </c>
    </row>
    <row r="99" spans="1:5" x14ac:dyDescent="0.3">
      <c r="A99" s="11"/>
      <c r="B99" s="10"/>
      <c r="C99" s="11"/>
      <c r="D99" s="11"/>
      <c r="E99" s="11"/>
    </row>
    <row r="100" spans="1:5" ht="15" thickBot="1" x14ac:dyDescent="0.35">
      <c r="A100" s="97"/>
      <c r="B100" s="98"/>
      <c r="C100" s="98"/>
      <c r="D100" s="98"/>
      <c r="E100" s="99"/>
    </row>
    <row r="101" spans="1:5" ht="25.8" thickBot="1" x14ac:dyDescent="0.65">
      <c r="A101" s="74" t="s">
        <v>78</v>
      </c>
      <c r="B101" s="75"/>
      <c r="C101" s="75"/>
      <c r="D101" s="75"/>
      <c r="E101" s="77"/>
    </row>
    <row r="102" spans="1:5" x14ac:dyDescent="0.3">
      <c r="A102" s="1" t="s">
        <v>1</v>
      </c>
      <c r="B102" s="1" t="s">
        <v>2</v>
      </c>
      <c r="C102" s="1" t="s">
        <v>3</v>
      </c>
      <c r="D102" s="1" t="s">
        <v>42</v>
      </c>
      <c r="E102" s="1" t="s">
        <v>43</v>
      </c>
    </row>
    <row r="103" spans="1:5" x14ac:dyDescent="0.3">
      <c r="A103" s="11">
        <v>1</v>
      </c>
      <c r="B103" s="10">
        <v>45153</v>
      </c>
      <c r="C103" s="11" t="s">
        <v>193</v>
      </c>
      <c r="D103" s="11"/>
      <c r="E103" s="11" t="s">
        <v>72</v>
      </c>
    </row>
    <row r="104" spans="1:5" x14ac:dyDescent="0.3">
      <c r="A104" s="11">
        <v>2</v>
      </c>
      <c r="B104" s="10">
        <v>45158</v>
      </c>
      <c r="C104" s="11" t="s">
        <v>279</v>
      </c>
      <c r="D104" s="11" t="s">
        <v>280</v>
      </c>
      <c r="E104" s="11" t="s">
        <v>72</v>
      </c>
    </row>
    <row r="105" spans="1:5" x14ac:dyDescent="0.3">
      <c r="A105" s="11"/>
      <c r="B105" s="11"/>
      <c r="C105" s="11"/>
      <c r="D105" s="11"/>
      <c r="E105" s="11"/>
    </row>
    <row r="106" spans="1:5" x14ac:dyDescent="0.3">
      <c r="A106" s="11"/>
      <c r="B106" s="11"/>
      <c r="C106" s="11"/>
      <c r="D106" s="11"/>
      <c r="E106" s="11"/>
    </row>
    <row r="107" spans="1:5" ht="15" thickBot="1" x14ac:dyDescent="0.35"/>
    <row r="108" spans="1:5" ht="25.8" thickBot="1" x14ac:dyDescent="0.65">
      <c r="A108" s="74" t="s">
        <v>85</v>
      </c>
      <c r="B108" s="75"/>
      <c r="C108" s="75"/>
      <c r="D108" s="75"/>
      <c r="E108" s="77"/>
    </row>
    <row r="109" spans="1:5" x14ac:dyDescent="0.3">
      <c r="A109" s="1" t="s">
        <v>1</v>
      </c>
      <c r="B109" s="1" t="s">
        <v>2</v>
      </c>
      <c r="C109" s="1" t="s">
        <v>3</v>
      </c>
      <c r="D109" s="1" t="s">
        <v>42</v>
      </c>
      <c r="E109" s="1" t="s">
        <v>43</v>
      </c>
    </row>
    <row r="110" spans="1:5" x14ac:dyDescent="0.3">
      <c r="A110" s="11">
        <v>1</v>
      </c>
      <c r="B110" s="10">
        <v>45220</v>
      </c>
      <c r="C110" s="11" t="s">
        <v>193</v>
      </c>
      <c r="D110" s="11"/>
      <c r="E110" s="11" t="s">
        <v>26</v>
      </c>
    </row>
    <row r="111" spans="1:5" x14ac:dyDescent="0.3">
      <c r="A111" s="11">
        <v>2</v>
      </c>
      <c r="B111" s="10">
        <v>45221</v>
      </c>
      <c r="C111" s="11" t="s">
        <v>193</v>
      </c>
      <c r="D111" s="11"/>
      <c r="E111" s="11" t="s">
        <v>122</v>
      </c>
    </row>
    <row r="112" spans="1:5" x14ac:dyDescent="0.3">
      <c r="A112" s="11"/>
      <c r="B112" s="11"/>
      <c r="C112" s="11"/>
      <c r="D112" s="11"/>
      <c r="E112" s="11"/>
    </row>
    <row r="113" spans="1:5" x14ac:dyDescent="0.3">
      <c r="A113" s="11"/>
      <c r="B113" s="11"/>
      <c r="C113" s="11"/>
      <c r="D113" s="11"/>
      <c r="E113" s="11"/>
    </row>
    <row r="115" spans="1:5" ht="15" thickBot="1" x14ac:dyDescent="0.35"/>
    <row r="116" spans="1:5" ht="25.8" thickBot="1" x14ac:dyDescent="0.65">
      <c r="A116" s="74" t="s">
        <v>334</v>
      </c>
      <c r="B116" s="75"/>
      <c r="C116" s="75"/>
      <c r="D116" s="76"/>
      <c r="E116" s="77"/>
    </row>
    <row r="117" spans="1:5" x14ac:dyDescent="0.3">
      <c r="A117" s="1" t="s">
        <v>1</v>
      </c>
      <c r="B117" s="1" t="s">
        <v>2</v>
      </c>
      <c r="C117" s="2" t="s">
        <v>3</v>
      </c>
      <c r="D117" s="1" t="s">
        <v>4</v>
      </c>
      <c r="E117" s="27" t="s">
        <v>22</v>
      </c>
    </row>
    <row r="118" spans="1:5" x14ac:dyDescent="0.3">
      <c r="A118" s="11">
        <v>1</v>
      </c>
      <c r="B118" s="10">
        <v>45515</v>
      </c>
      <c r="C118" s="11" t="s">
        <v>337</v>
      </c>
      <c r="D118" s="11"/>
      <c r="E118" s="11">
        <v>6</v>
      </c>
    </row>
    <row r="119" spans="1:5" x14ac:dyDescent="0.3">
      <c r="A119" s="11">
        <v>2</v>
      </c>
      <c r="B119" s="10">
        <v>45519</v>
      </c>
      <c r="C119" s="11" t="s">
        <v>339</v>
      </c>
      <c r="D119" s="11"/>
      <c r="E119" s="11">
        <v>4</v>
      </c>
    </row>
    <row r="120" spans="1:5" x14ac:dyDescent="0.3">
      <c r="A120" s="11">
        <v>3</v>
      </c>
      <c r="B120" s="10">
        <v>45525</v>
      </c>
      <c r="C120" s="11" t="s">
        <v>339</v>
      </c>
      <c r="D120" s="40" t="s">
        <v>341</v>
      </c>
      <c r="E120" s="11">
        <v>5</v>
      </c>
    </row>
    <row r="121" spans="1:5" x14ac:dyDescent="0.3">
      <c r="A121" s="11">
        <v>4</v>
      </c>
      <c r="B121" s="10">
        <v>45530</v>
      </c>
      <c r="C121" s="11" t="s">
        <v>337</v>
      </c>
      <c r="D121" s="11"/>
      <c r="E121" s="11">
        <v>10</v>
      </c>
    </row>
    <row r="122" spans="1:5" x14ac:dyDescent="0.3">
      <c r="A122" s="11"/>
      <c r="B122" s="10"/>
      <c r="C122" s="11"/>
      <c r="D122" s="11"/>
      <c r="E122" s="11"/>
    </row>
    <row r="123" spans="1:5" ht="15" thickBot="1" x14ac:dyDescent="0.35"/>
    <row r="124" spans="1:5" ht="25.8" thickBot="1" x14ac:dyDescent="0.65">
      <c r="A124" s="74" t="s">
        <v>344</v>
      </c>
      <c r="B124" s="75"/>
      <c r="C124" s="75"/>
      <c r="D124" s="76"/>
      <c r="E124" s="77"/>
    </row>
    <row r="125" spans="1:5" x14ac:dyDescent="0.3">
      <c r="A125" s="1" t="s">
        <v>1</v>
      </c>
      <c r="B125" s="1" t="s">
        <v>2</v>
      </c>
      <c r="C125" s="2" t="s">
        <v>3</v>
      </c>
      <c r="D125" s="1" t="s">
        <v>4</v>
      </c>
      <c r="E125" s="27" t="s">
        <v>22</v>
      </c>
    </row>
    <row r="126" spans="1:5" x14ac:dyDescent="0.3">
      <c r="A126" s="11">
        <v>1</v>
      </c>
      <c r="B126" s="10">
        <v>45543</v>
      </c>
      <c r="C126" s="11" t="s">
        <v>337</v>
      </c>
      <c r="D126" s="11"/>
      <c r="E126" s="11">
        <v>15</v>
      </c>
    </row>
    <row r="127" spans="1:5" x14ac:dyDescent="0.3">
      <c r="A127" s="11">
        <v>2</v>
      </c>
      <c r="B127" s="10"/>
      <c r="C127" s="11"/>
      <c r="D127" s="11"/>
      <c r="E127" s="11"/>
    </row>
    <row r="128" spans="1:5" x14ac:dyDescent="0.3">
      <c r="A128" s="11">
        <v>3</v>
      </c>
      <c r="B128" s="10"/>
      <c r="C128" s="11"/>
      <c r="D128" s="40"/>
      <c r="E128" s="11"/>
    </row>
    <row r="129" spans="1:17" x14ac:dyDescent="0.3">
      <c r="A129" s="11">
        <v>4</v>
      </c>
      <c r="B129" s="10"/>
      <c r="C129" s="11"/>
      <c r="D129" s="11"/>
      <c r="E129" s="11"/>
    </row>
    <row r="130" spans="1:17" x14ac:dyDescent="0.3">
      <c r="A130" s="11"/>
      <c r="B130" s="10"/>
      <c r="C130" s="11"/>
      <c r="D130" s="11"/>
      <c r="E130" s="11"/>
    </row>
    <row r="132" spans="1:17" x14ac:dyDescent="0.3">
      <c r="A132" s="78" t="s">
        <v>355</v>
      </c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</row>
    <row r="133" spans="1:17" ht="15" thickBot="1" x14ac:dyDescent="0.35"/>
    <row r="134" spans="1:17" ht="25.8" thickBot="1" x14ac:dyDescent="0.65">
      <c r="A134" s="74" t="s">
        <v>23</v>
      </c>
      <c r="B134" s="75"/>
      <c r="C134" s="75"/>
      <c r="D134" s="76"/>
      <c r="E134" s="77"/>
    </row>
    <row r="135" spans="1:17" x14ac:dyDescent="0.3">
      <c r="A135" s="1" t="s">
        <v>1</v>
      </c>
      <c r="B135" s="1" t="s">
        <v>2</v>
      </c>
      <c r="C135" s="2" t="s">
        <v>3</v>
      </c>
      <c r="D135" s="1" t="s">
        <v>4</v>
      </c>
      <c r="E135" s="27" t="s">
        <v>5</v>
      </c>
    </row>
    <row r="136" spans="1:17" x14ac:dyDescent="0.3">
      <c r="A136" s="11">
        <v>1</v>
      </c>
      <c r="B136" s="10">
        <v>45966</v>
      </c>
      <c r="C136" s="11" t="s">
        <v>356</v>
      </c>
      <c r="D136" s="11"/>
      <c r="E136" s="11">
        <v>10</v>
      </c>
    </row>
    <row r="137" spans="1:17" x14ac:dyDescent="0.3">
      <c r="A137" s="11">
        <v>2</v>
      </c>
      <c r="B137" s="10">
        <v>45966</v>
      </c>
      <c r="C137" s="11" t="s">
        <v>357</v>
      </c>
      <c r="D137" s="11"/>
      <c r="E137" s="11">
        <v>11</v>
      </c>
    </row>
    <row r="138" spans="1:17" x14ac:dyDescent="0.3">
      <c r="A138" s="11">
        <v>3</v>
      </c>
      <c r="B138" s="10">
        <v>45967</v>
      </c>
      <c r="C138" s="11" t="s">
        <v>359</v>
      </c>
      <c r="D138" s="40"/>
      <c r="E138" s="11">
        <v>3</v>
      </c>
    </row>
    <row r="139" spans="1:17" x14ac:dyDescent="0.3">
      <c r="A139" s="11">
        <v>4</v>
      </c>
      <c r="B139" s="10">
        <v>45968</v>
      </c>
      <c r="C139" s="11" t="s">
        <v>359</v>
      </c>
      <c r="D139" s="11"/>
      <c r="E139" s="11">
        <v>15</v>
      </c>
    </row>
    <row r="140" spans="1:17" x14ac:dyDescent="0.3">
      <c r="A140" s="11">
        <v>5</v>
      </c>
      <c r="B140" s="10">
        <v>45970</v>
      </c>
      <c r="C140" s="11" t="s">
        <v>359</v>
      </c>
      <c r="D140" s="11"/>
      <c r="E140" s="11">
        <v>27</v>
      </c>
    </row>
    <row r="141" spans="1:17" x14ac:dyDescent="0.3">
      <c r="A141" s="43">
        <v>6</v>
      </c>
      <c r="B141" s="54">
        <v>45978</v>
      </c>
      <c r="C141" s="43" t="s">
        <v>359</v>
      </c>
      <c r="D141" s="43"/>
      <c r="E141" s="43">
        <v>12</v>
      </c>
    </row>
    <row r="142" spans="1:17" x14ac:dyDescent="0.3">
      <c r="A142" s="43"/>
      <c r="B142" s="10">
        <v>46066</v>
      </c>
      <c r="C142" s="11" t="s">
        <v>385</v>
      </c>
      <c r="D142" s="11"/>
      <c r="E142" s="11">
        <v>30</v>
      </c>
    </row>
    <row r="143" spans="1:17" x14ac:dyDescent="0.3">
      <c r="A143" s="43"/>
      <c r="B143" s="54">
        <v>46106</v>
      </c>
      <c r="C143" s="11" t="s">
        <v>385</v>
      </c>
      <c r="D143" s="43"/>
      <c r="E143" s="43">
        <v>20</v>
      </c>
    </row>
    <row r="144" spans="1:17" x14ac:dyDescent="0.3">
      <c r="A144" s="43"/>
      <c r="B144" s="54">
        <v>46108</v>
      </c>
      <c r="C144" s="43" t="s">
        <v>405</v>
      </c>
      <c r="D144" s="43"/>
      <c r="E144" s="43">
        <v>30</v>
      </c>
    </row>
    <row r="145" spans="1:5" x14ac:dyDescent="0.3">
      <c r="A145" s="43"/>
      <c r="B145" s="54">
        <v>46110</v>
      </c>
      <c r="C145" s="43" t="s">
        <v>408</v>
      </c>
      <c r="D145" s="43"/>
      <c r="E145" s="43">
        <v>25</v>
      </c>
    </row>
    <row r="146" spans="1:5" x14ac:dyDescent="0.3">
      <c r="B146" s="56">
        <v>46112</v>
      </c>
      <c r="C146" s="43" t="s">
        <v>408</v>
      </c>
      <c r="D146" s="43"/>
      <c r="E146" s="43">
        <v>50</v>
      </c>
    </row>
    <row r="147" spans="1:5" x14ac:dyDescent="0.3">
      <c r="B147" s="56">
        <v>46127</v>
      </c>
      <c r="C147" s="57" t="s">
        <v>408</v>
      </c>
      <c r="E147" s="57">
        <v>6</v>
      </c>
    </row>
  </sheetData>
  <mergeCells count="23">
    <mergeCell ref="A134:E134"/>
    <mergeCell ref="A132:Q132"/>
    <mergeCell ref="A124:E124"/>
    <mergeCell ref="A2:E2"/>
    <mergeCell ref="A9:E9"/>
    <mergeCell ref="A19:E19"/>
    <mergeCell ref="A26:E26"/>
    <mergeCell ref="A57:E57"/>
    <mergeCell ref="A52:E52"/>
    <mergeCell ref="A45:E45"/>
    <mergeCell ref="A116:E116"/>
    <mergeCell ref="A108:E108"/>
    <mergeCell ref="A101:E101"/>
    <mergeCell ref="A100:E100"/>
    <mergeCell ref="A96:E96"/>
    <mergeCell ref="A84:E84"/>
    <mergeCell ref="G26:K26"/>
    <mergeCell ref="A37:E37"/>
    <mergeCell ref="A77:E77"/>
    <mergeCell ref="A72:E72"/>
    <mergeCell ref="A67:E67"/>
    <mergeCell ref="A62:E62"/>
    <mergeCell ref="G77:K7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6"/>
  <sheetViews>
    <sheetView topLeftCell="A126" workbookViewId="0">
      <selection activeCell="C142" sqref="C142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32.88671875" bestFit="1" customWidth="1"/>
    <col min="4" max="4" width="13.5546875" bestFit="1" customWidth="1"/>
    <col min="5" max="5" width="17.88671875" bestFit="1" customWidth="1"/>
    <col min="9" max="9" width="29.33203125" bestFit="1" customWidth="1"/>
    <col min="11" max="11" width="17.88671875" bestFit="1" customWidth="1"/>
  </cols>
  <sheetData>
    <row r="1" spans="1:5" ht="25.8" thickBot="1" x14ac:dyDescent="0.65">
      <c r="A1" s="74" t="s">
        <v>45</v>
      </c>
      <c r="B1" s="75"/>
      <c r="C1" s="75"/>
      <c r="D1" s="75"/>
      <c r="E1" s="77"/>
    </row>
    <row r="2" spans="1:5" ht="15" thickBot="1" x14ac:dyDescent="0.35">
      <c r="A2" s="3" t="s">
        <v>1</v>
      </c>
      <c r="B2" s="4" t="s">
        <v>2</v>
      </c>
      <c r="C2" s="3" t="s">
        <v>3</v>
      </c>
      <c r="D2" s="3" t="s">
        <v>4</v>
      </c>
      <c r="E2" s="3" t="s">
        <v>14</v>
      </c>
    </row>
    <row r="3" spans="1:5" x14ac:dyDescent="0.3">
      <c r="A3" s="19">
        <v>6</v>
      </c>
      <c r="B3" s="18">
        <v>44679</v>
      </c>
      <c r="C3" s="19" t="s">
        <v>46</v>
      </c>
      <c r="D3" s="19" t="s">
        <v>47</v>
      </c>
      <c r="E3" s="19">
        <v>333</v>
      </c>
    </row>
    <row r="4" spans="1:5" x14ac:dyDescent="0.3">
      <c r="A4" s="11">
        <v>7</v>
      </c>
      <c r="B4" s="10">
        <v>44680</v>
      </c>
      <c r="C4" s="11" t="s">
        <v>46</v>
      </c>
      <c r="D4" s="11"/>
      <c r="E4" s="11">
        <v>333</v>
      </c>
    </row>
    <row r="5" spans="1:5" ht="15" thickBot="1" x14ac:dyDescent="0.35"/>
    <row r="6" spans="1:5" ht="25.8" thickBot="1" x14ac:dyDescent="0.65">
      <c r="A6" s="74" t="s">
        <v>48</v>
      </c>
      <c r="B6" s="75"/>
      <c r="C6" s="75"/>
      <c r="D6" s="75"/>
      <c r="E6" s="77"/>
    </row>
    <row r="7" spans="1:5" ht="15" thickBot="1" x14ac:dyDescent="0.35">
      <c r="A7" s="1" t="s">
        <v>1</v>
      </c>
      <c r="B7" s="2" t="s">
        <v>2</v>
      </c>
      <c r="C7" s="3" t="s">
        <v>3</v>
      </c>
      <c r="D7" s="1" t="s">
        <v>4</v>
      </c>
      <c r="E7" s="3" t="s">
        <v>14</v>
      </c>
    </row>
    <row r="8" spans="1:5" x14ac:dyDescent="0.3">
      <c r="A8" s="11">
        <v>1</v>
      </c>
      <c r="B8" s="10">
        <v>44686</v>
      </c>
      <c r="C8" s="11" t="s">
        <v>49</v>
      </c>
      <c r="D8" s="11" t="s">
        <v>9</v>
      </c>
      <c r="E8" s="11">
        <v>300</v>
      </c>
    </row>
    <row r="9" spans="1:5" x14ac:dyDescent="0.3">
      <c r="A9" s="11">
        <v>2</v>
      </c>
      <c r="B9" s="10">
        <v>44698</v>
      </c>
      <c r="C9" s="20" t="s">
        <v>18</v>
      </c>
      <c r="D9" s="11" t="s">
        <v>50</v>
      </c>
      <c r="E9" s="11" t="s">
        <v>51</v>
      </c>
    </row>
    <row r="10" spans="1:5" x14ac:dyDescent="0.3">
      <c r="A10" s="23">
        <v>3</v>
      </c>
      <c r="B10" s="24">
        <v>44710</v>
      </c>
      <c r="C10" s="11" t="s">
        <v>18</v>
      </c>
      <c r="D10" s="11" t="s">
        <v>50</v>
      </c>
      <c r="E10" s="11" t="s">
        <v>52</v>
      </c>
    </row>
    <row r="11" spans="1:5" ht="15" thickBot="1" x14ac:dyDescent="0.35"/>
    <row r="12" spans="1:5" ht="25.8" thickBot="1" x14ac:dyDescent="0.65">
      <c r="A12" s="74" t="s">
        <v>53</v>
      </c>
      <c r="B12" s="79"/>
      <c r="C12" s="79"/>
      <c r="D12" s="79"/>
      <c r="E12" s="80"/>
    </row>
    <row r="13" spans="1:5" ht="15" thickBot="1" x14ac:dyDescent="0.35">
      <c r="A13" s="3" t="s">
        <v>1</v>
      </c>
      <c r="B13" s="25" t="s">
        <v>2</v>
      </c>
      <c r="C13" s="3" t="s">
        <v>3</v>
      </c>
      <c r="D13" s="3" t="s">
        <v>4</v>
      </c>
      <c r="E13" s="3" t="s">
        <v>14</v>
      </c>
    </row>
    <row r="14" spans="1:5" x14ac:dyDescent="0.3">
      <c r="A14" s="21">
        <v>1</v>
      </c>
      <c r="B14" s="22">
        <v>44723</v>
      </c>
      <c r="C14" s="19" t="s">
        <v>18</v>
      </c>
      <c r="D14" s="19" t="s">
        <v>50</v>
      </c>
      <c r="E14" s="19" t="s">
        <v>54</v>
      </c>
    </row>
    <row r="15" spans="1:5" x14ac:dyDescent="0.3">
      <c r="A15" s="11">
        <v>2</v>
      </c>
      <c r="B15" s="10">
        <v>44736</v>
      </c>
      <c r="C15" s="11" t="s">
        <v>46</v>
      </c>
      <c r="D15" s="11" t="s">
        <v>55</v>
      </c>
      <c r="E15" s="11" t="s">
        <v>56</v>
      </c>
    </row>
    <row r="16" spans="1:5" x14ac:dyDescent="0.3">
      <c r="A16" s="26"/>
      <c r="B16" s="26"/>
      <c r="C16" s="26"/>
      <c r="D16" s="26"/>
      <c r="E16" s="26"/>
    </row>
    <row r="17" spans="1:5" ht="15" thickBot="1" x14ac:dyDescent="0.35"/>
    <row r="18" spans="1:5" ht="25.8" thickBot="1" x14ac:dyDescent="0.65">
      <c r="A18" s="74" t="s">
        <v>68</v>
      </c>
      <c r="B18" s="79"/>
      <c r="C18" s="79"/>
      <c r="D18" s="79"/>
      <c r="E18" s="80"/>
    </row>
    <row r="19" spans="1:5" x14ac:dyDescent="0.3">
      <c r="A19" s="1" t="s">
        <v>1</v>
      </c>
      <c r="B19" s="28" t="s">
        <v>2</v>
      </c>
      <c r="C19" s="1" t="s">
        <v>3</v>
      </c>
      <c r="D19" s="1" t="s">
        <v>4</v>
      </c>
      <c r="E19" s="1" t="s">
        <v>14</v>
      </c>
    </row>
    <row r="20" spans="1:5" x14ac:dyDescent="0.3">
      <c r="A20" s="11">
        <v>1</v>
      </c>
      <c r="B20" s="10">
        <v>44752</v>
      </c>
      <c r="C20" s="11" t="s">
        <v>18</v>
      </c>
      <c r="D20" s="11" t="s">
        <v>66</v>
      </c>
      <c r="E20" s="11" t="s">
        <v>67</v>
      </c>
    </row>
    <row r="21" spans="1:5" x14ac:dyDescent="0.3">
      <c r="A21" s="11"/>
      <c r="B21" s="11"/>
      <c r="C21" s="11"/>
      <c r="D21" s="11"/>
      <c r="E21" s="11"/>
    </row>
    <row r="22" spans="1:5" x14ac:dyDescent="0.3">
      <c r="A22" s="11"/>
      <c r="B22" s="11"/>
      <c r="C22" s="11"/>
      <c r="D22" s="11"/>
      <c r="E22" s="11"/>
    </row>
    <row r="23" spans="1:5" x14ac:dyDescent="0.3">
      <c r="A23" s="11"/>
      <c r="B23" s="11"/>
      <c r="C23" s="11"/>
      <c r="D23" s="11"/>
      <c r="E23" s="11"/>
    </row>
    <row r="24" spans="1:5" x14ac:dyDescent="0.3">
      <c r="A24" s="11"/>
      <c r="B24" s="11"/>
      <c r="C24" s="11"/>
      <c r="D24" s="11"/>
      <c r="E24" s="11"/>
    </row>
    <row r="26" spans="1:5" ht="15" thickBot="1" x14ac:dyDescent="0.35"/>
    <row r="27" spans="1:5" ht="25.8" thickBot="1" x14ac:dyDescent="0.65">
      <c r="A27" s="74" t="s">
        <v>79</v>
      </c>
      <c r="B27" s="79"/>
      <c r="C27" s="79"/>
      <c r="D27" s="79"/>
      <c r="E27" s="80"/>
    </row>
    <row r="28" spans="1:5" x14ac:dyDescent="0.3">
      <c r="A28" s="1" t="s">
        <v>1</v>
      </c>
      <c r="B28" s="28" t="s">
        <v>2</v>
      </c>
      <c r="C28" s="1" t="s">
        <v>3</v>
      </c>
      <c r="D28" s="1" t="s">
        <v>4</v>
      </c>
      <c r="E28" s="1" t="s">
        <v>14</v>
      </c>
    </row>
    <row r="29" spans="1:5" x14ac:dyDescent="0.3">
      <c r="A29" s="11">
        <v>1</v>
      </c>
      <c r="B29" s="10">
        <v>44791</v>
      </c>
      <c r="C29" s="11" t="s">
        <v>80</v>
      </c>
      <c r="D29" s="11" t="s">
        <v>66</v>
      </c>
      <c r="E29" s="11">
        <v>30</v>
      </c>
    </row>
    <row r="30" spans="1:5" x14ac:dyDescent="0.3">
      <c r="A30" s="11"/>
      <c r="B30" s="11"/>
      <c r="C30" s="11"/>
      <c r="D30" s="11"/>
      <c r="E30" s="11"/>
    </row>
    <row r="32" spans="1:5" ht="15" thickBot="1" x14ac:dyDescent="0.35"/>
    <row r="33" spans="1:6" ht="25.8" thickBot="1" x14ac:dyDescent="0.65">
      <c r="A33" s="74" t="s">
        <v>81</v>
      </c>
      <c r="B33" s="79"/>
      <c r="C33" s="79"/>
      <c r="D33" s="79"/>
      <c r="E33" s="80"/>
    </row>
    <row r="34" spans="1:6" x14ac:dyDescent="0.3">
      <c r="A34" s="1" t="s">
        <v>1</v>
      </c>
      <c r="B34" s="28" t="s">
        <v>2</v>
      </c>
      <c r="C34" s="1" t="s">
        <v>3</v>
      </c>
      <c r="D34" s="1" t="s">
        <v>4</v>
      </c>
      <c r="E34" s="1" t="s">
        <v>14</v>
      </c>
    </row>
    <row r="35" spans="1:6" x14ac:dyDescent="0.3">
      <c r="A35" s="11">
        <v>1</v>
      </c>
      <c r="B35" s="10">
        <v>44837</v>
      </c>
      <c r="C35" s="11" t="s">
        <v>82</v>
      </c>
      <c r="D35" s="11" t="s">
        <v>66</v>
      </c>
      <c r="E35" s="11">
        <v>2240</v>
      </c>
      <c r="F35" t="s">
        <v>97</v>
      </c>
    </row>
    <row r="36" spans="1:6" x14ac:dyDescent="0.3">
      <c r="A36" s="11">
        <v>2</v>
      </c>
      <c r="B36" s="10">
        <v>44848</v>
      </c>
      <c r="C36" s="11" t="s">
        <v>107</v>
      </c>
      <c r="D36" s="11" t="s">
        <v>108</v>
      </c>
      <c r="E36" s="11">
        <v>60</v>
      </c>
    </row>
    <row r="37" spans="1:6" x14ac:dyDescent="0.3">
      <c r="A37" s="11">
        <v>3</v>
      </c>
      <c r="B37" s="10">
        <v>44849</v>
      </c>
      <c r="C37" s="11" t="s">
        <v>107</v>
      </c>
      <c r="D37" s="11" t="s">
        <v>110</v>
      </c>
      <c r="E37" s="11">
        <v>150</v>
      </c>
    </row>
    <row r="38" spans="1:6" x14ac:dyDescent="0.3">
      <c r="A38" s="11">
        <v>4</v>
      </c>
      <c r="B38" s="10">
        <v>44849</v>
      </c>
      <c r="C38" s="11" t="s">
        <v>107</v>
      </c>
      <c r="D38" s="11" t="s">
        <v>66</v>
      </c>
      <c r="E38" s="11">
        <v>150</v>
      </c>
    </row>
    <row r="39" spans="1:6" x14ac:dyDescent="0.3">
      <c r="A39" s="11">
        <v>5</v>
      </c>
      <c r="B39" s="10">
        <v>44849</v>
      </c>
      <c r="C39" s="11" t="s">
        <v>87</v>
      </c>
      <c r="D39" s="11" t="s">
        <v>108</v>
      </c>
      <c r="E39" s="11">
        <v>100</v>
      </c>
    </row>
    <row r="40" spans="1:6" x14ac:dyDescent="0.3">
      <c r="A40" s="11">
        <v>6</v>
      </c>
      <c r="B40" s="10">
        <v>44856</v>
      </c>
      <c r="C40" s="11" t="s">
        <v>82</v>
      </c>
      <c r="D40" s="11" t="s">
        <v>113</v>
      </c>
      <c r="E40" s="11" t="s">
        <v>115</v>
      </c>
      <c r="F40" s="29" t="s">
        <v>114</v>
      </c>
    </row>
    <row r="42" spans="1:6" x14ac:dyDescent="0.3">
      <c r="C42" t="s">
        <v>103</v>
      </c>
      <c r="D42" t="s">
        <v>104</v>
      </c>
    </row>
    <row r="43" spans="1:6" ht="15" thickBot="1" x14ac:dyDescent="0.35"/>
    <row r="44" spans="1:6" ht="25.8" thickBot="1" x14ac:dyDescent="0.65">
      <c r="A44" s="74" t="s">
        <v>128</v>
      </c>
      <c r="B44" s="79"/>
      <c r="C44" s="79"/>
      <c r="D44" s="79"/>
      <c r="E44" s="80"/>
    </row>
    <row r="45" spans="1:6" x14ac:dyDescent="0.3">
      <c r="A45" s="1" t="s">
        <v>1</v>
      </c>
      <c r="B45" s="28" t="s">
        <v>2</v>
      </c>
      <c r="C45" s="1" t="s">
        <v>3</v>
      </c>
      <c r="D45" s="1" t="s">
        <v>4</v>
      </c>
      <c r="E45" s="1" t="s">
        <v>14</v>
      </c>
    </row>
    <row r="46" spans="1:6" x14ac:dyDescent="0.3">
      <c r="A46" s="11">
        <v>1</v>
      </c>
      <c r="B46" s="10">
        <v>44884</v>
      </c>
      <c r="C46" s="11" t="s">
        <v>129</v>
      </c>
      <c r="D46" s="11"/>
      <c r="E46" s="11" t="s">
        <v>130</v>
      </c>
    </row>
    <row r="47" spans="1:6" x14ac:dyDescent="0.3">
      <c r="A47" s="11">
        <v>2</v>
      </c>
      <c r="B47" s="10">
        <v>44885</v>
      </c>
      <c r="C47" s="11" t="s">
        <v>129</v>
      </c>
      <c r="D47" s="11"/>
      <c r="E47" s="11" t="s">
        <v>131</v>
      </c>
    </row>
    <row r="48" spans="1:6" x14ac:dyDescent="0.3">
      <c r="A48" s="11">
        <v>3</v>
      </c>
      <c r="B48" s="10"/>
      <c r="C48" s="11"/>
      <c r="D48" s="11"/>
      <c r="E48" s="11"/>
    </row>
    <row r="49" spans="1:5" ht="15" thickBot="1" x14ac:dyDescent="0.35"/>
    <row r="50" spans="1:5" ht="25.8" thickBot="1" x14ac:dyDescent="0.65">
      <c r="A50" s="74" t="s">
        <v>134</v>
      </c>
      <c r="B50" s="79"/>
      <c r="C50" s="79"/>
      <c r="D50" s="79"/>
      <c r="E50" s="80"/>
    </row>
    <row r="51" spans="1:5" x14ac:dyDescent="0.3">
      <c r="A51" s="1" t="s">
        <v>1</v>
      </c>
      <c r="B51" s="28" t="s">
        <v>2</v>
      </c>
      <c r="C51" s="1" t="s">
        <v>3</v>
      </c>
      <c r="D51" s="1" t="s">
        <v>4</v>
      </c>
      <c r="E51" s="1" t="s">
        <v>14</v>
      </c>
    </row>
    <row r="52" spans="1:5" x14ac:dyDescent="0.3">
      <c r="A52" s="11">
        <v>1</v>
      </c>
      <c r="B52" s="10">
        <v>44911</v>
      </c>
      <c r="C52" s="11" t="s">
        <v>127</v>
      </c>
      <c r="D52" s="11" t="s">
        <v>135</v>
      </c>
      <c r="E52" s="11" t="s">
        <v>121</v>
      </c>
    </row>
    <row r="53" spans="1:5" x14ac:dyDescent="0.3">
      <c r="A53" s="11"/>
      <c r="B53" s="10"/>
      <c r="C53" s="11"/>
      <c r="D53" s="11"/>
      <c r="E53" s="11"/>
    </row>
    <row r="54" spans="1:5" x14ac:dyDescent="0.3">
      <c r="A54" s="11"/>
      <c r="B54" s="10"/>
      <c r="C54" s="11"/>
      <c r="D54" s="11"/>
      <c r="E54" s="11"/>
    </row>
    <row r="55" spans="1:5" ht="15" thickBot="1" x14ac:dyDescent="0.35"/>
    <row r="56" spans="1:5" ht="25.8" thickBot="1" x14ac:dyDescent="0.65">
      <c r="A56" s="74" t="s">
        <v>158</v>
      </c>
      <c r="B56" s="79"/>
      <c r="C56" s="79"/>
      <c r="D56" s="79"/>
      <c r="E56" s="80"/>
    </row>
    <row r="57" spans="1:5" x14ac:dyDescent="0.3">
      <c r="A57" s="1" t="s">
        <v>1</v>
      </c>
      <c r="B57" s="28" t="s">
        <v>2</v>
      </c>
      <c r="C57" s="1" t="s">
        <v>3</v>
      </c>
      <c r="D57" s="1" t="s">
        <v>4</v>
      </c>
      <c r="E57" s="1" t="s">
        <v>14</v>
      </c>
    </row>
    <row r="58" spans="1:5" x14ac:dyDescent="0.3">
      <c r="A58" s="11">
        <v>1</v>
      </c>
      <c r="B58" s="10">
        <v>44927</v>
      </c>
      <c r="C58" s="11" t="s">
        <v>127</v>
      </c>
      <c r="D58" s="11"/>
      <c r="E58" s="11" t="s">
        <v>159</v>
      </c>
    </row>
    <row r="59" spans="1:5" x14ac:dyDescent="0.3">
      <c r="A59" s="11">
        <v>2</v>
      </c>
      <c r="B59" s="10">
        <v>44934</v>
      </c>
      <c r="C59" s="11" t="s">
        <v>127</v>
      </c>
      <c r="D59" s="11"/>
      <c r="E59" s="11" t="s">
        <v>161</v>
      </c>
    </row>
    <row r="60" spans="1:5" x14ac:dyDescent="0.3">
      <c r="A60" s="11">
        <v>3</v>
      </c>
      <c r="B60" s="10">
        <v>44943</v>
      </c>
      <c r="C60" s="11" t="s">
        <v>127</v>
      </c>
      <c r="D60" s="11"/>
      <c r="E60" s="11" t="s">
        <v>67</v>
      </c>
    </row>
    <row r="61" spans="1:5" ht="15" thickBot="1" x14ac:dyDescent="0.35"/>
    <row r="62" spans="1:5" ht="25.8" thickBot="1" x14ac:dyDescent="0.65">
      <c r="A62" s="74" t="s">
        <v>188</v>
      </c>
      <c r="B62" s="79"/>
      <c r="C62" s="79"/>
      <c r="D62" s="79"/>
      <c r="E62" s="80"/>
    </row>
    <row r="63" spans="1:5" x14ac:dyDescent="0.3">
      <c r="A63" s="1" t="s">
        <v>1</v>
      </c>
      <c r="B63" s="28" t="s">
        <v>2</v>
      </c>
      <c r="C63" s="1" t="s">
        <v>3</v>
      </c>
      <c r="D63" s="1" t="s">
        <v>4</v>
      </c>
      <c r="E63" s="1" t="s">
        <v>14</v>
      </c>
    </row>
    <row r="64" spans="1:5" x14ac:dyDescent="0.3">
      <c r="A64" s="11">
        <v>1</v>
      </c>
      <c r="B64" s="10">
        <v>45004</v>
      </c>
      <c r="C64" s="11" t="s">
        <v>127</v>
      </c>
      <c r="D64" s="11"/>
      <c r="E64" s="11" t="s">
        <v>189</v>
      </c>
    </row>
    <row r="65" spans="1:5" x14ac:dyDescent="0.3">
      <c r="A65" s="11">
        <v>2</v>
      </c>
      <c r="B65" s="10"/>
      <c r="C65" s="11"/>
      <c r="D65" s="11"/>
      <c r="E65" s="11"/>
    </row>
    <row r="66" spans="1:5" x14ac:dyDescent="0.3">
      <c r="A66" s="11">
        <v>3</v>
      </c>
      <c r="B66" s="10"/>
      <c r="C66" s="11"/>
      <c r="D66" s="11"/>
      <c r="E66" s="11"/>
    </row>
    <row r="67" spans="1:5" ht="15" thickBot="1" x14ac:dyDescent="0.35"/>
    <row r="68" spans="1:5" ht="25.8" thickBot="1" x14ac:dyDescent="0.65">
      <c r="A68" s="74" t="s">
        <v>210</v>
      </c>
      <c r="B68" s="79"/>
      <c r="C68" s="79"/>
      <c r="D68" s="79"/>
      <c r="E68" s="80"/>
    </row>
    <row r="69" spans="1:5" x14ac:dyDescent="0.3">
      <c r="A69" s="1" t="s">
        <v>1</v>
      </c>
      <c r="B69" s="28" t="s">
        <v>2</v>
      </c>
      <c r="C69" s="1" t="s">
        <v>3</v>
      </c>
      <c r="D69" s="1" t="s">
        <v>4</v>
      </c>
      <c r="E69" s="1" t="s">
        <v>14</v>
      </c>
    </row>
    <row r="70" spans="1:5" x14ac:dyDescent="0.3">
      <c r="A70" s="11">
        <v>1</v>
      </c>
      <c r="B70" s="10">
        <v>45070</v>
      </c>
      <c r="C70" s="11" t="s">
        <v>203</v>
      </c>
      <c r="D70" s="11"/>
      <c r="E70" s="11" t="s">
        <v>131</v>
      </c>
    </row>
    <row r="71" spans="1:5" x14ac:dyDescent="0.3">
      <c r="A71" s="11">
        <v>2</v>
      </c>
      <c r="B71" s="10"/>
      <c r="C71" s="11"/>
      <c r="D71" s="11"/>
      <c r="E71" s="11"/>
    </row>
    <row r="72" spans="1:5" x14ac:dyDescent="0.3">
      <c r="A72" s="11">
        <v>3</v>
      </c>
      <c r="B72" s="10"/>
      <c r="C72" s="11"/>
      <c r="D72" s="11"/>
      <c r="E72" s="11"/>
    </row>
    <row r="73" spans="1:5" ht="15" thickBot="1" x14ac:dyDescent="0.35"/>
    <row r="74" spans="1:5" ht="25.8" thickBot="1" x14ac:dyDescent="0.65">
      <c r="A74" s="74" t="s">
        <v>251</v>
      </c>
      <c r="B74" s="79"/>
      <c r="C74" s="79"/>
      <c r="D74" s="79"/>
      <c r="E74" s="80"/>
    </row>
    <row r="75" spans="1:5" x14ac:dyDescent="0.3">
      <c r="A75" s="1" t="s">
        <v>1</v>
      </c>
      <c r="B75" s="28" t="s">
        <v>2</v>
      </c>
      <c r="C75" s="1" t="s">
        <v>3</v>
      </c>
      <c r="D75" s="1" t="s">
        <v>4</v>
      </c>
      <c r="E75" s="1" t="s">
        <v>14</v>
      </c>
    </row>
    <row r="76" spans="1:5" x14ac:dyDescent="0.3">
      <c r="A76" s="11">
        <v>1</v>
      </c>
      <c r="B76" s="10">
        <v>45098</v>
      </c>
      <c r="C76" s="11" t="s">
        <v>127</v>
      </c>
      <c r="D76" s="11"/>
      <c r="E76" s="11" t="s">
        <v>250</v>
      </c>
    </row>
    <row r="77" spans="1:5" x14ac:dyDescent="0.3">
      <c r="A77" s="11">
        <v>2</v>
      </c>
      <c r="B77" s="10"/>
      <c r="C77" s="11"/>
      <c r="D77" s="11"/>
      <c r="E77" s="11"/>
    </row>
    <row r="78" spans="1:5" x14ac:dyDescent="0.3">
      <c r="A78" s="11">
        <v>3</v>
      </c>
      <c r="B78" s="10"/>
      <c r="C78" s="11"/>
      <c r="D78" s="11"/>
      <c r="E78" s="11"/>
    </row>
    <row r="79" spans="1:5" ht="15" thickBot="1" x14ac:dyDescent="0.35"/>
    <row r="80" spans="1:5" ht="25.8" thickBot="1" x14ac:dyDescent="0.65">
      <c r="A80" s="74" t="s">
        <v>273</v>
      </c>
      <c r="B80" s="79"/>
      <c r="C80" s="79"/>
      <c r="D80" s="79"/>
      <c r="E80" s="80"/>
    </row>
    <row r="81" spans="1:5" x14ac:dyDescent="0.3">
      <c r="A81" s="1" t="s">
        <v>1</v>
      </c>
      <c r="B81" s="28" t="s">
        <v>2</v>
      </c>
      <c r="C81" s="1" t="s">
        <v>3</v>
      </c>
      <c r="D81" s="1" t="s">
        <v>4</v>
      </c>
      <c r="E81" s="1" t="s">
        <v>14</v>
      </c>
    </row>
    <row r="82" spans="1:5" x14ac:dyDescent="0.3">
      <c r="A82" s="11">
        <v>1</v>
      </c>
      <c r="B82" s="10">
        <v>45158</v>
      </c>
      <c r="C82" s="11" t="s">
        <v>274</v>
      </c>
      <c r="D82" s="11" t="s">
        <v>276</v>
      </c>
      <c r="E82" s="11" t="s">
        <v>275</v>
      </c>
    </row>
    <row r="83" spans="1:5" x14ac:dyDescent="0.3">
      <c r="A83" s="11">
        <v>2</v>
      </c>
      <c r="B83" s="10">
        <v>45158</v>
      </c>
      <c r="C83" s="11" t="s">
        <v>282</v>
      </c>
      <c r="D83" s="11" t="s">
        <v>277</v>
      </c>
      <c r="E83" s="11" t="s">
        <v>278</v>
      </c>
    </row>
    <row r="84" spans="1:5" x14ac:dyDescent="0.3">
      <c r="A84" s="11">
        <v>3</v>
      </c>
      <c r="B84" s="10">
        <v>45161</v>
      </c>
      <c r="C84" s="11" t="s">
        <v>274</v>
      </c>
      <c r="D84" s="11" t="s">
        <v>276</v>
      </c>
      <c r="E84" s="11" t="s">
        <v>283</v>
      </c>
    </row>
    <row r="85" spans="1:5" ht="15" thickBot="1" x14ac:dyDescent="0.35"/>
    <row r="86" spans="1:5" ht="25.8" thickBot="1" x14ac:dyDescent="0.65">
      <c r="A86" s="74" t="s">
        <v>284</v>
      </c>
      <c r="B86" s="79"/>
      <c r="C86" s="79"/>
      <c r="D86" s="79"/>
      <c r="E86" s="80"/>
    </row>
    <row r="87" spans="1:5" x14ac:dyDescent="0.3">
      <c r="A87" s="1" t="s">
        <v>1</v>
      </c>
      <c r="B87" s="28" t="s">
        <v>2</v>
      </c>
      <c r="C87" s="1" t="s">
        <v>3</v>
      </c>
      <c r="D87" s="1" t="s">
        <v>4</v>
      </c>
      <c r="E87" s="1" t="s">
        <v>14</v>
      </c>
    </row>
    <row r="88" spans="1:5" x14ac:dyDescent="0.3">
      <c r="A88" s="11">
        <v>1</v>
      </c>
      <c r="B88" s="10">
        <v>45174</v>
      </c>
      <c r="C88" s="11" t="s">
        <v>203</v>
      </c>
      <c r="D88" s="11" t="s">
        <v>285</v>
      </c>
      <c r="E88" s="11">
        <v>200</v>
      </c>
    </row>
    <row r="89" spans="1:5" x14ac:dyDescent="0.3">
      <c r="A89" s="11">
        <v>2</v>
      </c>
      <c r="B89" s="10">
        <v>45182</v>
      </c>
      <c r="C89" s="11" t="s">
        <v>274</v>
      </c>
      <c r="D89" s="11" t="s">
        <v>276</v>
      </c>
      <c r="E89" s="11" t="s">
        <v>289</v>
      </c>
    </row>
    <row r="90" spans="1:5" x14ac:dyDescent="0.3">
      <c r="A90" s="11">
        <v>3</v>
      </c>
      <c r="B90" s="10">
        <v>45189</v>
      </c>
      <c r="C90" s="11" t="s">
        <v>279</v>
      </c>
      <c r="D90" s="11" t="s">
        <v>285</v>
      </c>
      <c r="E90" s="11">
        <v>200</v>
      </c>
    </row>
    <row r="91" spans="1:5" x14ac:dyDescent="0.3">
      <c r="A91" s="11">
        <v>4</v>
      </c>
      <c r="B91" s="10">
        <v>45198</v>
      </c>
      <c r="C91" s="11" t="s">
        <v>274</v>
      </c>
      <c r="D91" s="11" t="s">
        <v>276</v>
      </c>
      <c r="E91" s="11" t="s">
        <v>297</v>
      </c>
    </row>
    <row r="92" spans="1:5" x14ac:dyDescent="0.3">
      <c r="A92" s="11">
        <v>5</v>
      </c>
      <c r="B92" s="10">
        <v>45198</v>
      </c>
      <c r="C92" s="11" t="s">
        <v>279</v>
      </c>
      <c r="D92" s="11" t="s">
        <v>285</v>
      </c>
      <c r="E92" s="11">
        <v>300</v>
      </c>
    </row>
    <row r="93" spans="1:5" ht="15" thickBot="1" x14ac:dyDescent="0.35">
      <c r="A93" s="11"/>
      <c r="B93" s="11"/>
      <c r="C93" s="11"/>
      <c r="D93" s="11"/>
      <c r="E93" s="11"/>
    </row>
    <row r="94" spans="1:5" ht="25.8" thickBot="1" x14ac:dyDescent="0.65">
      <c r="A94" s="74" t="s">
        <v>299</v>
      </c>
      <c r="B94" s="79"/>
      <c r="C94" s="79"/>
      <c r="D94" s="79"/>
      <c r="E94" s="80"/>
    </row>
    <row r="95" spans="1:5" x14ac:dyDescent="0.3">
      <c r="A95" s="1" t="s">
        <v>1</v>
      </c>
      <c r="B95" s="28" t="s">
        <v>2</v>
      </c>
      <c r="C95" s="1" t="s">
        <v>3</v>
      </c>
      <c r="D95" s="1" t="s">
        <v>4</v>
      </c>
      <c r="E95" s="1" t="s">
        <v>14</v>
      </c>
    </row>
    <row r="96" spans="1:5" x14ac:dyDescent="0.3">
      <c r="A96" s="11">
        <v>1</v>
      </c>
      <c r="B96" s="10">
        <v>45201</v>
      </c>
      <c r="C96" s="11" t="s">
        <v>203</v>
      </c>
      <c r="D96" s="11" t="s">
        <v>285</v>
      </c>
      <c r="E96" s="11">
        <v>100</v>
      </c>
    </row>
    <row r="97" spans="1:5" x14ac:dyDescent="0.3">
      <c r="A97" s="11">
        <v>2</v>
      </c>
      <c r="B97" s="10">
        <v>45204</v>
      </c>
      <c r="C97" s="11" t="s">
        <v>203</v>
      </c>
      <c r="D97" s="11" t="s">
        <v>285</v>
      </c>
      <c r="E97" s="11">
        <v>300</v>
      </c>
    </row>
    <row r="98" spans="1:5" x14ac:dyDescent="0.3">
      <c r="A98" s="11">
        <v>3</v>
      </c>
      <c r="B98" s="10">
        <v>45205</v>
      </c>
      <c r="C98" s="11" t="s">
        <v>203</v>
      </c>
      <c r="D98" s="11" t="s">
        <v>285</v>
      </c>
      <c r="E98" s="11">
        <v>100</v>
      </c>
    </row>
    <row r="99" spans="1:5" x14ac:dyDescent="0.3">
      <c r="A99" s="11">
        <v>4</v>
      </c>
      <c r="B99" s="10">
        <v>45217</v>
      </c>
      <c r="C99" s="11" t="s">
        <v>203</v>
      </c>
      <c r="D99" s="11" t="s">
        <v>285</v>
      </c>
      <c r="E99" s="11">
        <v>666</v>
      </c>
    </row>
    <row r="100" spans="1:5" x14ac:dyDescent="0.3">
      <c r="A100" s="11">
        <v>5</v>
      </c>
      <c r="B100" s="10">
        <v>45219</v>
      </c>
      <c r="C100" s="11" t="s">
        <v>309</v>
      </c>
      <c r="D100" s="11" t="s">
        <v>277</v>
      </c>
      <c r="E100" s="11">
        <v>1800</v>
      </c>
    </row>
    <row r="101" spans="1:5" x14ac:dyDescent="0.3">
      <c r="A101" s="11">
        <v>6</v>
      </c>
      <c r="B101" s="10">
        <v>45220</v>
      </c>
      <c r="C101" s="11" t="s">
        <v>203</v>
      </c>
      <c r="D101" s="11" t="s">
        <v>285</v>
      </c>
      <c r="E101" s="11">
        <v>333</v>
      </c>
    </row>
    <row r="102" spans="1:5" x14ac:dyDescent="0.3">
      <c r="A102" s="11"/>
      <c r="B102" s="11"/>
      <c r="C102" s="11"/>
      <c r="D102" s="11"/>
      <c r="E102" s="11"/>
    </row>
    <row r="103" spans="1:5" ht="15" thickBot="1" x14ac:dyDescent="0.35"/>
    <row r="104" spans="1:5" ht="25.8" thickBot="1" x14ac:dyDescent="0.65">
      <c r="A104" s="74" t="s">
        <v>318</v>
      </c>
      <c r="B104" s="79"/>
      <c r="C104" s="79"/>
      <c r="D104" s="79"/>
      <c r="E104" s="80"/>
    </row>
    <row r="105" spans="1:5" x14ac:dyDescent="0.3">
      <c r="A105" s="1" t="s">
        <v>1</v>
      </c>
      <c r="B105" s="28" t="s">
        <v>2</v>
      </c>
      <c r="C105" s="1" t="s">
        <v>3</v>
      </c>
      <c r="D105" s="1" t="s">
        <v>4</v>
      </c>
      <c r="E105" s="1" t="s">
        <v>14</v>
      </c>
    </row>
    <row r="106" spans="1:5" x14ac:dyDescent="0.3">
      <c r="A106" s="11">
        <v>1</v>
      </c>
      <c r="B106" s="10">
        <v>45231</v>
      </c>
      <c r="C106" s="11" t="s">
        <v>317</v>
      </c>
      <c r="D106" s="11"/>
      <c r="E106" s="11">
        <v>160</v>
      </c>
    </row>
    <row r="107" spans="1:5" ht="15" thickBot="1" x14ac:dyDescent="0.35">
      <c r="A107" s="11"/>
      <c r="B107" s="10"/>
      <c r="C107" s="11"/>
      <c r="D107" s="11"/>
      <c r="E107" s="11"/>
    </row>
    <row r="108" spans="1:5" ht="25.8" thickBot="1" x14ac:dyDescent="0.65">
      <c r="A108" s="74" t="s">
        <v>318</v>
      </c>
      <c r="B108" s="79"/>
      <c r="C108" s="79"/>
      <c r="D108" s="79"/>
      <c r="E108" s="80"/>
    </row>
    <row r="109" spans="1:5" x14ac:dyDescent="0.3">
      <c r="A109" s="1" t="s">
        <v>1</v>
      </c>
      <c r="B109" s="28" t="s">
        <v>2</v>
      </c>
      <c r="C109" s="1" t="s">
        <v>3</v>
      </c>
      <c r="D109" s="1" t="s">
        <v>4</v>
      </c>
      <c r="E109" s="1" t="s">
        <v>14</v>
      </c>
    </row>
    <row r="110" spans="1:5" x14ac:dyDescent="0.3">
      <c r="A110" s="11">
        <v>1</v>
      </c>
      <c r="B110" s="10">
        <v>45277</v>
      </c>
      <c r="C110" s="11" t="s">
        <v>309</v>
      </c>
      <c r="D110" s="11" t="s">
        <v>277</v>
      </c>
      <c r="E110" s="11">
        <v>125</v>
      </c>
    </row>
    <row r="111" spans="1:5" x14ac:dyDescent="0.3">
      <c r="A111" s="11"/>
      <c r="B111" s="10"/>
      <c r="C111" s="11"/>
      <c r="D111" s="11"/>
      <c r="E111" s="11"/>
    </row>
    <row r="112" spans="1:5" x14ac:dyDescent="0.3">
      <c r="A112" s="11"/>
      <c r="B112" s="10"/>
      <c r="C112" s="11"/>
      <c r="D112" s="11"/>
      <c r="E112" s="11"/>
    </row>
    <row r="113" spans="1:5" x14ac:dyDescent="0.3">
      <c r="A113" s="11"/>
      <c r="B113" s="10"/>
      <c r="C113" s="11"/>
      <c r="D113" s="11"/>
      <c r="E113" s="11"/>
    </row>
    <row r="114" spans="1:5" x14ac:dyDescent="0.3">
      <c r="A114" s="11"/>
      <c r="B114" s="10"/>
      <c r="C114" s="11"/>
      <c r="D114" s="11"/>
      <c r="E114" s="11"/>
    </row>
    <row r="115" spans="1:5" x14ac:dyDescent="0.3">
      <c r="A115" s="11"/>
      <c r="B115" s="11"/>
      <c r="C115" s="11"/>
      <c r="D115" s="11"/>
      <c r="E115" s="11"/>
    </row>
    <row r="119" spans="1:5" ht="15" thickBot="1" x14ac:dyDescent="0.35"/>
    <row r="120" spans="1:5" ht="25.8" thickBot="1" x14ac:dyDescent="0.65">
      <c r="A120" s="74" t="s">
        <v>336</v>
      </c>
      <c r="B120" s="79"/>
      <c r="C120" s="79"/>
      <c r="D120" s="79"/>
      <c r="E120" s="80"/>
    </row>
    <row r="121" spans="1:5" x14ac:dyDescent="0.3">
      <c r="A121" s="1" t="s">
        <v>1</v>
      </c>
      <c r="B121" s="28" t="s">
        <v>2</v>
      </c>
      <c r="C121" s="1" t="s">
        <v>3</v>
      </c>
      <c r="D121" s="1" t="s">
        <v>4</v>
      </c>
      <c r="E121" s="1" t="s">
        <v>14</v>
      </c>
    </row>
    <row r="122" spans="1:5" x14ac:dyDescent="0.3">
      <c r="A122" s="11">
        <v>1</v>
      </c>
      <c r="B122" s="10">
        <v>45508</v>
      </c>
      <c r="C122" s="11" t="s">
        <v>333</v>
      </c>
      <c r="D122" s="11"/>
      <c r="E122" s="11">
        <v>200</v>
      </c>
    </row>
    <row r="123" spans="1:5" x14ac:dyDescent="0.3">
      <c r="A123" s="11"/>
      <c r="B123" s="10"/>
      <c r="C123" s="11"/>
      <c r="D123" s="11"/>
      <c r="E123" s="11"/>
    </row>
    <row r="124" spans="1:5" x14ac:dyDescent="0.3">
      <c r="A124" s="11"/>
      <c r="B124" s="10"/>
      <c r="C124" s="11"/>
      <c r="D124" s="11"/>
      <c r="E124" s="11"/>
    </row>
    <row r="125" spans="1:5" x14ac:dyDescent="0.3">
      <c r="A125" s="11"/>
      <c r="B125" s="10"/>
      <c r="C125" s="11"/>
      <c r="D125" s="11"/>
      <c r="E125" s="11"/>
    </row>
    <row r="126" spans="1:5" x14ac:dyDescent="0.3">
      <c r="A126" s="11"/>
      <c r="B126" s="10"/>
      <c r="C126" s="11"/>
      <c r="D126" s="11"/>
      <c r="E126" s="11"/>
    </row>
    <row r="127" spans="1:5" x14ac:dyDescent="0.3">
      <c r="A127" s="11"/>
      <c r="B127" s="11"/>
      <c r="C127" s="11"/>
      <c r="D127" s="11"/>
      <c r="E127" s="11"/>
    </row>
    <row r="128" spans="1:5" ht="15" thickBot="1" x14ac:dyDescent="0.35"/>
    <row r="129" spans="1:5" ht="25.8" thickBot="1" x14ac:dyDescent="0.65">
      <c r="A129" s="74" t="s">
        <v>345</v>
      </c>
      <c r="B129" s="79"/>
      <c r="C129" s="79"/>
      <c r="D129" s="79"/>
      <c r="E129" s="80"/>
    </row>
    <row r="130" spans="1:5" x14ac:dyDescent="0.3">
      <c r="A130" s="1" t="s">
        <v>1</v>
      </c>
      <c r="B130" s="28" t="s">
        <v>2</v>
      </c>
      <c r="C130" s="1" t="s">
        <v>3</v>
      </c>
      <c r="D130" s="1" t="s">
        <v>4</v>
      </c>
      <c r="E130" s="1" t="s">
        <v>14</v>
      </c>
    </row>
    <row r="131" spans="1:5" x14ac:dyDescent="0.3">
      <c r="A131" s="11">
        <v>1</v>
      </c>
      <c r="B131" s="10">
        <v>45543</v>
      </c>
      <c r="C131" s="11" t="s">
        <v>346</v>
      </c>
      <c r="D131" s="11"/>
      <c r="E131" s="11">
        <v>100</v>
      </c>
    </row>
    <row r="132" spans="1:5" x14ac:dyDescent="0.3">
      <c r="A132" s="11"/>
      <c r="B132" s="10"/>
      <c r="C132" s="11"/>
      <c r="D132" s="11"/>
      <c r="E132" s="11"/>
    </row>
    <row r="133" spans="1:5" x14ac:dyDescent="0.3">
      <c r="A133" s="11"/>
      <c r="B133" s="10"/>
      <c r="C133" s="11"/>
      <c r="D133" s="11"/>
      <c r="E133" s="11"/>
    </row>
    <row r="134" spans="1:5" x14ac:dyDescent="0.3">
      <c r="A134" s="11"/>
      <c r="B134" s="10"/>
      <c r="C134" s="11"/>
      <c r="D134" s="11"/>
      <c r="E134" s="11"/>
    </row>
    <row r="135" spans="1:5" x14ac:dyDescent="0.3">
      <c r="A135" s="11"/>
      <c r="B135" s="10"/>
      <c r="C135" s="11"/>
      <c r="D135" s="11"/>
      <c r="E135" s="11"/>
    </row>
    <row r="136" spans="1:5" x14ac:dyDescent="0.3">
      <c r="A136" s="11"/>
      <c r="B136" s="11"/>
      <c r="C136" s="11"/>
      <c r="D136" s="11"/>
      <c r="E136" s="11"/>
    </row>
    <row r="138" spans="1:5" ht="15" thickBot="1" x14ac:dyDescent="0.35"/>
    <row r="139" spans="1:5" ht="25.8" thickBot="1" x14ac:dyDescent="0.65">
      <c r="A139" s="74" t="s">
        <v>360</v>
      </c>
      <c r="B139" s="79"/>
      <c r="C139" s="79"/>
      <c r="D139" s="79"/>
      <c r="E139" s="80"/>
    </row>
    <row r="140" spans="1:5" x14ac:dyDescent="0.3">
      <c r="A140" s="1" t="s">
        <v>1</v>
      </c>
      <c r="B140" s="28" t="s">
        <v>2</v>
      </c>
      <c r="C140" s="1" t="s">
        <v>3</v>
      </c>
      <c r="D140" s="1" t="s">
        <v>4</v>
      </c>
      <c r="E140" s="1" t="s">
        <v>14</v>
      </c>
    </row>
    <row r="141" spans="1:5" x14ac:dyDescent="0.3">
      <c r="A141" s="11">
        <v>1</v>
      </c>
      <c r="B141" s="10">
        <v>45992</v>
      </c>
      <c r="C141" s="11" t="s">
        <v>361</v>
      </c>
      <c r="D141" s="11"/>
      <c r="E141" s="11">
        <v>150</v>
      </c>
    </row>
    <row r="142" spans="1:5" x14ac:dyDescent="0.3">
      <c r="A142" s="11"/>
      <c r="B142" s="10"/>
      <c r="C142" s="11"/>
      <c r="D142" s="11"/>
      <c r="E142" s="11"/>
    </row>
    <row r="143" spans="1:5" x14ac:dyDescent="0.3">
      <c r="A143" s="11"/>
      <c r="B143" s="10"/>
      <c r="C143" s="11"/>
      <c r="D143" s="11"/>
      <c r="E143" s="11"/>
    </row>
    <row r="144" spans="1:5" x14ac:dyDescent="0.3">
      <c r="A144" s="11"/>
      <c r="B144" s="10"/>
      <c r="C144" s="11"/>
      <c r="D144" s="11"/>
      <c r="E144" s="11"/>
    </row>
    <row r="145" spans="1:5" x14ac:dyDescent="0.3">
      <c r="A145" s="11"/>
      <c r="B145" s="10"/>
      <c r="C145" s="11"/>
      <c r="D145" s="11"/>
      <c r="E145" s="11"/>
    </row>
    <row r="146" spans="1:5" x14ac:dyDescent="0.3">
      <c r="A146" s="11"/>
      <c r="B146" s="11"/>
      <c r="C146" s="11"/>
      <c r="D146" s="11"/>
      <c r="E146" s="11"/>
    </row>
  </sheetData>
  <mergeCells count="20">
    <mergeCell ref="A62:E62"/>
    <mergeCell ref="A56:E56"/>
    <mergeCell ref="A50:E50"/>
    <mergeCell ref="A44:E44"/>
    <mergeCell ref="A33:E33"/>
    <mergeCell ref="A1:E1"/>
    <mergeCell ref="A6:E6"/>
    <mergeCell ref="A12:E12"/>
    <mergeCell ref="A18:E18"/>
    <mergeCell ref="A27:E27"/>
    <mergeCell ref="A139:E139"/>
    <mergeCell ref="A68:E68"/>
    <mergeCell ref="A108:E108"/>
    <mergeCell ref="A104:E104"/>
    <mergeCell ref="A94:E94"/>
    <mergeCell ref="A129:E129"/>
    <mergeCell ref="A86:E86"/>
    <mergeCell ref="A80:E80"/>
    <mergeCell ref="A120:E120"/>
    <mergeCell ref="A74:E7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7"/>
  <sheetViews>
    <sheetView topLeftCell="A46" workbookViewId="0">
      <selection activeCell="I55" sqref="I55"/>
    </sheetView>
  </sheetViews>
  <sheetFormatPr defaultRowHeight="14.4" x14ac:dyDescent="0.3"/>
  <cols>
    <col min="2" max="2" width="10.33203125" bestFit="1" customWidth="1"/>
    <col min="3" max="3" width="32" bestFit="1" customWidth="1"/>
    <col min="4" max="4" width="17.6640625" bestFit="1" customWidth="1"/>
    <col min="5" max="5" width="17.88671875" bestFit="1" customWidth="1"/>
  </cols>
  <sheetData>
    <row r="1" spans="1:5" ht="25.8" thickBot="1" x14ac:dyDescent="0.65">
      <c r="A1" s="74" t="s">
        <v>136</v>
      </c>
      <c r="B1" s="79"/>
      <c r="C1" s="79"/>
      <c r="D1" s="79"/>
      <c r="E1" s="80"/>
    </row>
    <row r="2" spans="1:5" x14ac:dyDescent="0.3">
      <c r="A2" s="1" t="s">
        <v>1</v>
      </c>
      <c r="B2" s="28" t="s">
        <v>2</v>
      </c>
      <c r="C2" s="1" t="s">
        <v>3</v>
      </c>
      <c r="D2" s="1" t="s">
        <v>4</v>
      </c>
      <c r="E2" s="1" t="s">
        <v>14</v>
      </c>
    </row>
    <row r="3" spans="1:5" x14ac:dyDescent="0.3">
      <c r="A3" s="11">
        <v>1</v>
      </c>
      <c r="B3" s="10">
        <v>44919</v>
      </c>
      <c r="C3" s="11" t="s">
        <v>137</v>
      </c>
      <c r="D3" s="11" t="s">
        <v>138</v>
      </c>
      <c r="E3" s="11" t="s">
        <v>139</v>
      </c>
    </row>
    <row r="4" spans="1:5" x14ac:dyDescent="0.3">
      <c r="A4" s="81">
        <v>2</v>
      </c>
      <c r="B4" s="83">
        <v>44925</v>
      </c>
      <c r="C4" s="81" t="s">
        <v>149</v>
      </c>
      <c r="D4" s="11" t="s">
        <v>150</v>
      </c>
      <c r="E4" s="11" t="s">
        <v>151</v>
      </c>
    </row>
    <row r="5" spans="1:5" x14ac:dyDescent="0.3">
      <c r="A5" s="82"/>
      <c r="B5" s="84"/>
      <c r="C5" s="82"/>
      <c r="D5" s="11" t="s">
        <v>153</v>
      </c>
      <c r="E5" s="11" t="s">
        <v>152</v>
      </c>
    </row>
    <row r="6" spans="1:5" x14ac:dyDescent="0.3">
      <c r="A6" s="11"/>
      <c r="B6" s="11"/>
      <c r="C6" s="11"/>
      <c r="D6" s="11"/>
      <c r="E6" s="11"/>
    </row>
    <row r="7" spans="1:5" x14ac:dyDescent="0.3">
      <c r="A7" s="11"/>
      <c r="B7" s="11"/>
      <c r="C7" s="11"/>
      <c r="D7" s="11"/>
      <c r="E7" s="11"/>
    </row>
    <row r="9" spans="1:5" ht="15" thickBot="1" x14ac:dyDescent="0.35"/>
    <row r="10" spans="1:5" ht="25.8" thickBot="1" x14ac:dyDescent="0.65">
      <c r="A10" s="74" t="s">
        <v>168</v>
      </c>
      <c r="B10" s="79"/>
      <c r="C10" s="79"/>
      <c r="D10" s="79"/>
      <c r="E10" s="80"/>
    </row>
    <row r="11" spans="1:5" x14ac:dyDescent="0.3">
      <c r="A11" s="1" t="s">
        <v>1</v>
      </c>
      <c r="B11" s="28" t="s">
        <v>2</v>
      </c>
      <c r="C11" s="1" t="s">
        <v>3</v>
      </c>
      <c r="D11" s="1" t="s">
        <v>4</v>
      </c>
      <c r="E11" s="1" t="s">
        <v>14</v>
      </c>
    </row>
    <row r="12" spans="1:5" x14ac:dyDescent="0.3">
      <c r="A12" s="81">
        <v>1</v>
      </c>
      <c r="B12" s="83">
        <v>44962</v>
      </c>
      <c r="C12" s="81" t="s">
        <v>169</v>
      </c>
      <c r="D12" s="11" t="s">
        <v>170</v>
      </c>
      <c r="E12" s="11" t="s">
        <v>171</v>
      </c>
    </row>
    <row r="13" spans="1:5" x14ac:dyDescent="0.3">
      <c r="A13" s="86"/>
      <c r="B13" s="85"/>
      <c r="C13" s="86"/>
      <c r="D13" s="11" t="s">
        <v>172</v>
      </c>
      <c r="E13" s="11" t="s">
        <v>173</v>
      </c>
    </row>
    <row r="14" spans="1:5" x14ac:dyDescent="0.3">
      <c r="A14" s="82"/>
      <c r="B14" s="84"/>
      <c r="C14" s="82"/>
      <c r="D14" s="11" t="s">
        <v>174</v>
      </c>
      <c r="E14" s="11"/>
    </row>
    <row r="15" spans="1:5" x14ac:dyDescent="0.3">
      <c r="A15" s="11"/>
      <c r="B15" s="11"/>
      <c r="C15" s="11"/>
      <c r="D15" s="11"/>
      <c r="E15" s="11"/>
    </row>
    <row r="16" spans="1:5" x14ac:dyDescent="0.3">
      <c r="A16" s="11"/>
      <c r="B16" s="11"/>
      <c r="C16" s="11"/>
      <c r="D16" s="11"/>
      <c r="E16" s="11"/>
    </row>
    <row r="18" spans="1:5" ht="15" thickBot="1" x14ac:dyDescent="0.35"/>
    <row r="19" spans="1:5" ht="25.8" thickBot="1" x14ac:dyDescent="0.65">
      <c r="A19" s="74" t="s">
        <v>195</v>
      </c>
      <c r="B19" s="79"/>
      <c r="C19" s="79"/>
      <c r="D19" s="79"/>
      <c r="E19" s="80"/>
    </row>
    <row r="20" spans="1:5" x14ac:dyDescent="0.3">
      <c r="A20" s="1" t="s">
        <v>1</v>
      </c>
      <c r="B20" s="28" t="s">
        <v>2</v>
      </c>
      <c r="C20" s="1" t="s">
        <v>3</v>
      </c>
      <c r="D20" s="1" t="s">
        <v>4</v>
      </c>
      <c r="E20" s="1" t="s">
        <v>14</v>
      </c>
    </row>
    <row r="21" spans="1:5" x14ac:dyDescent="0.3">
      <c r="A21" s="23">
        <v>1</v>
      </c>
      <c r="B21" s="24">
        <v>45025</v>
      </c>
      <c r="C21" s="23" t="s">
        <v>196</v>
      </c>
      <c r="D21" s="11" t="s">
        <v>197</v>
      </c>
      <c r="E21" s="11" t="s">
        <v>198</v>
      </c>
    </row>
    <row r="22" spans="1:5" x14ac:dyDescent="0.3">
      <c r="A22" s="23"/>
      <c r="B22" s="24"/>
      <c r="C22" s="23"/>
      <c r="D22" s="11"/>
      <c r="E22" s="11"/>
    </row>
    <row r="23" spans="1:5" ht="15" thickBot="1" x14ac:dyDescent="0.35">
      <c r="A23" s="23"/>
      <c r="B23" s="24"/>
      <c r="C23" s="23"/>
      <c r="D23" s="11"/>
      <c r="E23" s="11"/>
    </row>
    <row r="24" spans="1:5" ht="25.8" thickBot="1" x14ac:dyDescent="0.65">
      <c r="A24" s="74" t="s">
        <v>206</v>
      </c>
      <c r="B24" s="79"/>
      <c r="C24" s="79"/>
      <c r="D24" s="79"/>
      <c r="E24" s="80"/>
    </row>
    <row r="25" spans="1:5" x14ac:dyDescent="0.3">
      <c r="A25" s="1" t="s">
        <v>1</v>
      </c>
      <c r="B25" s="28" t="s">
        <v>2</v>
      </c>
      <c r="C25" s="1" t="s">
        <v>3</v>
      </c>
      <c r="D25" s="1" t="s">
        <v>4</v>
      </c>
      <c r="E25" s="1" t="s">
        <v>14</v>
      </c>
    </row>
    <row r="26" spans="1:5" x14ac:dyDescent="0.3">
      <c r="A26" s="11">
        <v>1</v>
      </c>
      <c r="B26" s="10">
        <v>45056</v>
      </c>
      <c r="C26" s="23" t="s">
        <v>196</v>
      </c>
      <c r="D26" s="11" t="s">
        <v>207</v>
      </c>
      <c r="E26" s="11" t="s">
        <v>208</v>
      </c>
    </row>
    <row r="27" spans="1:5" x14ac:dyDescent="0.3">
      <c r="A27" s="11"/>
      <c r="B27" s="11"/>
      <c r="C27" s="11"/>
      <c r="D27" s="11"/>
      <c r="E27" s="11"/>
    </row>
    <row r="28" spans="1:5" ht="15" thickBot="1" x14ac:dyDescent="0.35">
      <c r="A28" s="11"/>
      <c r="B28" s="11"/>
      <c r="C28" s="11"/>
      <c r="D28" s="11"/>
      <c r="E28" s="11"/>
    </row>
    <row r="29" spans="1:5" ht="25.8" thickBot="1" x14ac:dyDescent="0.65">
      <c r="A29" s="74" t="s">
        <v>268</v>
      </c>
      <c r="B29" s="79"/>
      <c r="C29" s="79"/>
      <c r="D29" s="79"/>
      <c r="E29" s="80"/>
    </row>
    <row r="30" spans="1:5" x14ac:dyDescent="0.3">
      <c r="A30" s="1" t="s">
        <v>1</v>
      </c>
      <c r="B30" s="28" t="s">
        <v>2</v>
      </c>
      <c r="C30" s="1" t="s">
        <v>3</v>
      </c>
      <c r="D30" s="1" t="s">
        <v>4</v>
      </c>
      <c r="E30" s="1" t="s">
        <v>14</v>
      </c>
    </row>
    <row r="31" spans="1:5" x14ac:dyDescent="0.3">
      <c r="A31" s="11">
        <v>1</v>
      </c>
      <c r="B31" s="10">
        <v>45141</v>
      </c>
      <c r="C31" s="11" t="s">
        <v>269</v>
      </c>
      <c r="D31" s="11" t="s">
        <v>270</v>
      </c>
      <c r="E31" s="11" t="s">
        <v>271</v>
      </c>
    </row>
    <row r="32" spans="1:5" x14ac:dyDescent="0.3">
      <c r="A32" s="11"/>
      <c r="B32" s="11"/>
      <c r="C32" s="11"/>
      <c r="D32" s="11"/>
      <c r="E32" s="11"/>
    </row>
    <row r="33" spans="1:5" ht="15" thickBot="1" x14ac:dyDescent="0.35"/>
    <row r="34" spans="1:5" ht="25.8" thickBot="1" x14ac:dyDescent="0.65">
      <c r="A34" s="74" t="s">
        <v>293</v>
      </c>
      <c r="B34" s="79"/>
      <c r="C34" s="79"/>
      <c r="D34" s="79"/>
      <c r="E34" s="80"/>
    </row>
    <row r="35" spans="1:5" x14ac:dyDescent="0.3">
      <c r="A35" s="1" t="s">
        <v>1</v>
      </c>
      <c r="B35" s="28" t="s">
        <v>2</v>
      </c>
      <c r="C35" s="1" t="s">
        <v>3</v>
      </c>
      <c r="D35" s="1" t="s">
        <v>4</v>
      </c>
      <c r="E35" s="1" t="s">
        <v>14</v>
      </c>
    </row>
    <row r="36" spans="1:5" x14ac:dyDescent="0.3">
      <c r="A36" s="11">
        <v>1</v>
      </c>
      <c r="B36" s="10">
        <v>45195</v>
      </c>
      <c r="C36" s="11" t="s">
        <v>294</v>
      </c>
      <c r="D36" s="11" t="s">
        <v>295</v>
      </c>
      <c r="E36" s="11" t="s">
        <v>296</v>
      </c>
    </row>
    <row r="37" spans="1:5" x14ac:dyDescent="0.3">
      <c r="A37" s="11"/>
      <c r="B37" s="11"/>
      <c r="C37" s="11"/>
      <c r="D37" s="11"/>
      <c r="E37" s="11"/>
    </row>
    <row r="38" spans="1:5" ht="15" thickBot="1" x14ac:dyDescent="0.35"/>
    <row r="39" spans="1:5" ht="25.8" thickBot="1" x14ac:dyDescent="0.65">
      <c r="A39" s="74" t="s">
        <v>305</v>
      </c>
      <c r="B39" s="79"/>
      <c r="C39" s="79"/>
      <c r="D39" s="79"/>
      <c r="E39" s="80"/>
    </row>
    <row r="40" spans="1:5" x14ac:dyDescent="0.3">
      <c r="A40" s="1" t="s">
        <v>1</v>
      </c>
      <c r="B40" s="28" t="s">
        <v>2</v>
      </c>
      <c r="C40" s="1" t="s">
        <v>3</v>
      </c>
      <c r="D40" s="1" t="s">
        <v>4</v>
      </c>
      <c r="E40" s="1" t="s">
        <v>14</v>
      </c>
    </row>
    <row r="41" spans="1:5" x14ac:dyDescent="0.3">
      <c r="A41" s="11">
        <v>1</v>
      </c>
      <c r="B41" s="10">
        <v>45209</v>
      </c>
      <c r="C41" s="11" t="s">
        <v>306</v>
      </c>
      <c r="D41" s="11" t="s">
        <v>307</v>
      </c>
      <c r="E41" s="11" t="s">
        <v>308</v>
      </c>
    </row>
    <row r="42" spans="1:5" x14ac:dyDescent="0.3">
      <c r="A42" s="11"/>
      <c r="B42" s="11"/>
      <c r="C42" s="11"/>
      <c r="D42" s="11"/>
      <c r="E42" s="11"/>
    </row>
    <row r="49" spans="1:6" ht="25.2" x14ac:dyDescent="0.6">
      <c r="A49" s="100" t="s">
        <v>400</v>
      </c>
      <c r="B49" s="100"/>
      <c r="C49" s="100"/>
      <c r="D49" s="100"/>
      <c r="E49" s="100"/>
    </row>
    <row r="50" spans="1:6" x14ac:dyDescent="0.3">
      <c r="A50" s="58" t="s">
        <v>1</v>
      </c>
      <c r="B50" s="58" t="s">
        <v>2</v>
      </c>
      <c r="C50" s="58" t="s">
        <v>3</v>
      </c>
      <c r="D50" s="58" t="s">
        <v>4</v>
      </c>
      <c r="E50" s="58" t="s">
        <v>14</v>
      </c>
    </row>
    <row r="51" spans="1:6" x14ac:dyDescent="0.3">
      <c r="A51" s="11">
        <v>1</v>
      </c>
      <c r="B51" s="10">
        <v>46106</v>
      </c>
      <c r="C51" s="43" t="s">
        <v>400</v>
      </c>
      <c r="D51" s="11" t="s">
        <v>401</v>
      </c>
      <c r="E51" s="11"/>
    </row>
    <row r="52" spans="1:6" x14ac:dyDescent="0.3">
      <c r="A52" s="11">
        <v>2</v>
      </c>
      <c r="B52" s="10">
        <v>46110</v>
      </c>
      <c r="C52" s="43" t="s">
        <v>400</v>
      </c>
      <c r="D52" s="11" t="s">
        <v>412</v>
      </c>
      <c r="E52" s="11"/>
    </row>
    <row r="53" spans="1:6" x14ac:dyDescent="0.3">
      <c r="A53" s="43"/>
      <c r="B53" s="10">
        <v>46110</v>
      </c>
      <c r="C53" s="43" t="s">
        <v>410</v>
      </c>
      <c r="D53" s="43"/>
      <c r="E53" s="43" t="s">
        <v>411</v>
      </c>
    </row>
    <row r="54" spans="1:6" x14ac:dyDescent="0.3">
      <c r="A54" s="43"/>
      <c r="B54" s="54">
        <v>46112</v>
      </c>
      <c r="C54" s="43" t="s">
        <v>400</v>
      </c>
      <c r="D54" s="11" t="s">
        <v>414</v>
      </c>
      <c r="E54" s="43"/>
    </row>
    <row r="55" spans="1:6" x14ac:dyDescent="0.3">
      <c r="A55" s="43"/>
      <c r="B55" s="54">
        <v>46113</v>
      </c>
      <c r="C55" s="43" t="s">
        <v>400</v>
      </c>
      <c r="D55" s="11" t="s">
        <v>416</v>
      </c>
      <c r="E55" s="43"/>
    </row>
    <row r="56" spans="1:6" x14ac:dyDescent="0.3">
      <c r="A56" s="43"/>
      <c r="B56" s="54">
        <v>46116</v>
      </c>
      <c r="C56" s="43" t="s">
        <v>419</v>
      </c>
      <c r="D56" s="11" t="s">
        <v>420</v>
      </c>
      <c r="E56" s="43"/>
    </row>
    <row r="57" spans="1:6" x14ac:dyDescent="0.3">
      <c r="A57" s="43"/>
      <c r="B57" s="54">
        <v>46122</v>
      </c>
      <c r="C57" s="43" t="s">
        <v>427</v>
      </c>
      <c r="D57" s="11"/>
      <c r="E57" s="43">
        <v>700</v>
      </c>
    </row>
    <row r="58" spans="1:6" x14ac:dyDescent="0.3">
      <c r="A58" s="43"/>
      <c r="B58" s="54">
        <v>46125</v>
      </c>
      <c r="C58" s="43" t="s">
        <v>419</v>
      </c>
      <c r="D58" s="11">
        <v>60</v>
      </c>
      <c r="E58" s="43">
        <v>38700</v>
      </c>
    </row>
    <row r="59" spans="1:6" x14ac:dyDescent="0.3">
      <c r="A59" s="43"/>
      <c r="B59" s="54">
        <v>46127</v>
      </c>
      <c r="C59" s="43" t="s">
        <v>433</v>
      </c>
      <c r="D59" s="11"/>
      <c r="E59" s="43">
        <v>380</v>
      </c>
    </row>
    <row r="60" spans="1:6" x14ac:dyDescent="0.3">
      <c r="A60" s="43"/>
      <c r="B60" s="43"/>
      <c r="C60" s="43" t="s">
        <v>434</v>
      </c>
      <c r="D60" s="11"/>
      <c r="E60" s="43">
        <v>120</v>
      </c>
    </row>
    <row r="61" spans="1:6" x14ac:dyDescent="0.3">
      <c r="A61" s="43"/>
      <c r="B61" s="43"/>
      <c r="C61" s="43" t="s">
        <v>436</v>
      </c>
      <c r="D61" s="11"/>
      <c r="E61" s="43">
        <v>200</v>
      </c>
    </row>
    <row r="62" spans="1:6" x14ac:dyDescent="0.3">
      <c r="A62" s="43"/>
      <c r="B62" s="54">
        <v>46130</v>
      </c>
      <c r="C62" s="43" t="s">
        <v>419</v>
      </c>
      <c r="D62" s="11">
        <v>40</v>
      </c>
      <c r="E62" s="43"/>
    </row>
    <row r="63" spans="1:6" x14ac:dyDescent="0.3">
      <c r="A63" s="43"/>
      <c r="B63" s="54">
        <v>46133</v>
      </c>
      <c r="C63" s="43" t="s">
        <v>400</v>
      </c>
      <c r="D63" s="11" t="s">
        <v>447</v>
      </c>
      <c r="E63" s="43">
        <v>2300</v>
      </c>
    </row>
    <row r="64" spans="1:6" x14ac:dyDescent="0.3">
      <c r="A64" s="43"/>
      <c r="B64" s="43"/>
      <c r="C64" s="43" t="s">
        <v>419</v>
      </c>
      <c r="D64" s="11">
        <v>60</v>
      </c>
      <c r="E64" s="43">
        <v>41000</v>
      </c>
      <c r="F64" t="s">
        <v>441</v>
      </c>
    </row>
    <row r="65" spans="1:5" x14ac:dyDescent="0.3">
      <c r="A65" s="43"/>
      <c r="B65" s="54">
        <v>46134</v>
      </c>
      <c r="C65" s="43" t="s">
        <v>419</v>
      </c>
      <c r="D65" s="11">
        <v>60</v>
      </c>
      <c r="E65" s="43"/>
    </row>
    <row r="66" spans="1:5" x14ac:dyDescent="0.3">
      <c r="A66" s="43"/>
      <c r="B66" s="54">
        <v>46135</v>
      </c>
      <c r="C66" s="43" t="s">
        <v>419</v>
      </c>
      <c r="D66" s="11">
        <v>60</v>
      </c>
      <c r="E66" s="43"/>
    </row>
    <row r="67" spans="1:5" x14ac:dyDescent="0.3">
      <c r="A67" s="43"/>
      <c r="B67" s="54">
        <v>46136</v>
      </c>
      <c r="C67" s="43" t="s">
        <v>419</v>
      </c>
      <c r="D67" s="11">
        <v>60</v>
      </c>
      <c r="E67" s="43"/>
    </row>
    <row r="68" spans="1:5" x14ac:dyDescent="0.3">
      <c r="A68" s="43"/>
      <c r="B68" s="54">
        <v>46138</v>
      </c>
      <c r="C68" s="43" t="s">
        <v>419</v>
      </c>
      <c r="D68" s="11">
        <v>60</v>
      </c>
      <c r="E68" s="43"/>
    </row>
    <row r="69" spans="1:5" x14ac:dyDescent="0.3">
      <c r="A69" s="43"/>
      <c r="B69" s="54">
        <v>46139</v>
      </c>
      <c r="C69" s="43" t="s">
        <v>419</v>
      </c>
      <c r="D69" s="11">
        <v>35</v>
      </c>
      <c r="E69" s="43"/>
    </row>
    <row r="70" spans="1:5" x14ac:dyDescent="0.3">
      <c r="A70" s="43"/>
      <c r="B70" s="54">
        <v>46148</v>
      </c>
      <c r="C70" s="43" t="s">
        <v>450</v>
      </c>
      <c r="D70" s="11">
        <v>3</v>
      </c>
      <c r="E70" s="43">
        <v>1140</v>
      </c>
    </row>
    <row r="71" spans="1:5" x14ac:dyDescent="0.3">
      <c r="A71" s="43"/>
      <c r="B71" s="54">
        <v>46159</v>
      </c>
      <c r="C71" s="43" t="s">
        <v>452</v>
      </c>
      <c r="D71" s="11" t="s">
        <v>455</v>
      </c>
      <c r="E71" s="11"/>
    </row>
    <row r="72" spans="1:5" x14ac:dyDescent="0.3">
      <c r="A72" s="43"/>
      <c r="B72" s="54">
        <v>46160</v>
      </c>
      <c r="C72" s="43" t="s">
        <v>453</v>
      </c>
      <c r="D72" s="11">
        <v>1</v>
      </c>
      <c r="E72" s="11" t="s">
        <v>454</v>
      </c>
    </row>
    <row r="73" spans="1:5" x14ac:dyDescent="0.3">
      <c r="A73" s="43"/>
      <c r="B73" s="54">
        <v>46160</v>
      </c>
      <c r="C73" s="43" t="s">
        <v>452</v>
      </c>
      <c r="D73" s="11" t="s">
        <v>456</v>
      </c>
      <c r="E73" s="11"/>
    </row>
    <row r="74" spans="1:5" x14ac:dyDescent="0.3">
      <c r="A74" s="43"/>
      <c r="B74" s="54">
        <v>46161</v>
      </c>
      <c r="C74" s="43" t="s">
        <v>452</v>
      </c>
      <c r="D74" s="11" t="s">
        <v>457</v>
      </c>
      <c r="E74" s="11" t="s">
        <v>458</v>
      </c>
    </row>
    <row r="75" spans="1:5" x14ac:dyDescent="0.3">
      <c r="A75" s="43"/>
      <c r="B75" s="54">
        <v>46168</v>
      </c>
      <c r="C75" s="43" t="s">
        <v>488</v>
      </c>
      <c r="D75" s="11" t="s">
        <v>489</v>
      </c>
      <c r="E75" s="43"/>
    </row>
    <row r="76" spans="1:5" x14ac:dyDescent="0.3">
      <c r="A76" s="43"/>
      <c r="B76" s="54">
        <v>46169</v>
      </c>
      <c r="C76" s="43" t="s">
        <v>488</v>
      </c>
      <c r="D76" s="11" t="s">
        <v>490</v>
      </c>
      <c r="E76" s="43"/>
    </row>
    <row r="77" spans="1:5" x14ac:dyDescent="0.3">
      <c r="A77" s="43"/>
      <c r="B77" s="43"/>
      <c r="C77" s="43"/>
      <c r="D77" s="43"/>
      <c r="E77" s="43"/>
    </row>
    <row r="78" spans="1:5" x14ac:dyDescent="0.3">
      <c r="A78" s="43"/>
      <c r="B78" s="43"/>
      <c r="C78" s="43"/>
      <c r="D78" s="43"/>
      <c r="E78" s="43"/>
    </row>
    <row r="79" spans="1:5" x14ac:dyDescent="0.3">
      <c r="A79" s="43"/>
      <c r="B79" s="43"/>
      <c r="C79" s="43"/>
      <c r="D79" s="43"/>
      <c r="E79" s="43"/>
    </row>
    <row r="80" spans="1:5" x14ac:dyDescent="0.3">
      <c r="A80" s="43"/>
      <c r="B80" s="43"/>
      <c r="C80" s="43"/>
      <c r="D80" s="43"/>
      <c r="E80" s="43"/>
    </row>
    <row r="81" spans="1:5" x14ac:dyDescent="0.3">
      <c r="A81" s="43"/>
      <c r="B81" s="43"/>
      <c r="C81" s="43"/>
      <c r="D81" s="43"/>
      <c r="E81" s="43"/>
    </row>
    <row r="82" spans="1:5" x14ac:dyDescent="0.3">
      <c r="A82" s="43"/>
      <c r="B82" s="43"/>
      <c r="C82" s="43"/>
      <c r="D82" s="43"/>
      <c r="E82" s="43"/>
    </row>
    <row r="83" spans="1:5" x14ac:dyDescent="0.3">
      <c r="A83" s="43"/>
      <c r="B83" s="43"/>
      <c r="C83" s="43"/>
      <c r="D83" s="43"/>
      <c r="E83" s="43"/>
    </row>
    <row r="84" spans="1:5" x14ac:dyDescent="0.3">
      <c r="A84" s="43"/>
      <c r="B84" s="43"/>
      <c r="C84" s="43"/>
      <c r="D84" s="43"/>
      <c r="E84" s="43"/>
    </row>
    <row r="85" spans="1:5" x14ac:dyDescent="0.3">
      <c r="A85" s="43"/>
      <c r="B85" s="43"/>
      <c r="C85" s="43"/>
      <c r="D85" s="43"/>
      <c r="E85" s="43"/>
    </row>
    <row r="86" spans="1:5" x14ac:dyDescent="0.3">
      <c r="A86" s="43"/>
      <c r="B86" s="43"/>
      <c r="C86" s="43"/>
      <c r="D86" s="43"/>
      <c r="E86" s="43"/>
    </row>
    <row r="87" spans="1:5" x14ac:dyDescent="0.3">
      <c r="A87" s="43"/>
      <c r="B87" s="43"/>
      <c r="C87" s="43"/>
      <c r="D87" s="43"/>
      <c r="E87" s="43"/>
    </row>
  </sheetData>
  <mergeCells count="14">
    <mergeCell ref="A49:E49"/>
    <mergeCell ref="A39:E39"/>
    <mergeCell ref="A34:E34"/>
    <mergeCell ref="A29:E29"/>
    <mergeCell ref="A1:E1"/>
    <mergeCell ref="C4:C5"/>
    <mergeCell ref="B4:B5"/>
    <mergeCell ref="A4:A5"/>
    <mergeCell ref="A10:E10"/>
    <mergeCell ref="A24:E24"/>
    <mergeCell ref="A19:E19"/>
    <mergeCell ref="C12:C14"/>
    <mergeCell ref="B12:B14"/>
    <mergeCell ref="A12:A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20"/>
  <sheetViews>
    <sheetView workbookViewId="0">
      <selection activeCell="C21" sqref="C21"/>
    </sheetView>
  </sheetViews>
  <sheetFormatPr defaultRowHeight="14.4" x14ac:dyDescent="0.3"/>
  <cols>
    <col min="1" max="1" width="16.44140625" customWidth="1"/>
    <col min="2" max="2" width="7.6640625" bestFit="1" customWidth="1"/>
    <col min="3" max="3" width="5.44140625" bestFit="1" customWidth="1"/>
    <col min="7" max="7" width="20.33203125" customWidth="1"/>
    <col min="8" max="8" width="6.6640625" customWidth="1"/>
    <col min="13" max="14" width="0" hidden="1" customWidth="1"/>
  </cols>
  <sheetData>
    <row r="3" spans="1:14" x14ac:dyDescent="0.3">
      <c r="A3" s="47" t="s">
        <v>240</v>
      </c>
    </row>
    <row r="4" spans="1:14" x14ac:dyDescent="0.3">
      <c r="A4" s="47" t="s">
        <v>238</v>
      </c>
      <c r="B4" s="47" t="s">
        <v>226</v>
      </c>
      <c r="C4" t="s">
        <v>241</v>
      </c>
    </row>
    <row r="5" spans="1:14" x14ac:dyDescent="0.3">
      <c r="A5" t="s">
        <v>108</v>
      </c>
      <c r="B5" t="s">
        <v>228</v>
      </c>
      <c r="C5">
        <v>333</v>
      </c>
      <c r="F5" s="48" t="s">
        <v>244</v>
      </c>
      <c r="G5" s="48" t="s">
        <v>238</v>
      </c>
      <c r="H5" s="48" t="s">
        <v>247</v>
      </c>
      <c r="I5" s="48" t="s">
        <v>226</v>
      </c>
      <c r="J5" s="48" t="s">
        <v>241</v>
      </c>
      <c r="K5" s="48" t="s">
        <v>245</v>
      </c>
      <c r="L5" s="48" t="s">
        <v>246</v>
      </c>
    </row>
    <row r="6" spans="1:14" x14ac:dyDescent="0.3">
      <c r="A6" t="s">
        <v>23</v>
      </c>
      <c r="B6" t="s">
        <v>227</v>
      </c>
      <c r="C6">
        <v>252</v>
      </c>
      <c r="F6" s="43">
        <v>1</v>
      </c>
      <c r="G6" s="43" t="s">
        <v>108</v>
      </c>
      <c r="H6" s="43"/>
      <c r="I6" s="43" t="s">
        <v>228</v>
      </c>
      <c r="J6" s="43">
        <v>333</v>
      </c>
      <c r="K6" s="43">
        <v>11</v>
      </c>
      <c r="L6" s="43">
        <f>J6*K6</f>
        <v>3663</v>
      </c>
    </row>
    <row r="7" spans="1:14" x14ac:dyDescent="0.3">
      <c r="A7" t="s">
        <v>92</v>
      </c>
      <c r="B7" t="s">
        <v>227</v>
      </c>
      <c r="C7">
        <v>227</v>
      </c>
      <c r="F7" s="43">
        <v>2</v>
      </c>
      <c r="G7" s="43" t="s">
        <v>23</v>
      </c>
      <c r="H7" s="43"/>
      <c r="I7" s="43" t="s">
        <v>227</v>
      </c>
      <c r="J7" s="43">
        <v>252</v>
      </c>
      <c r="K7" s="43">
        <v>100</v>
      </c>
      <c r="L7" s="43">
        <f t="shared" ref="L7:L17" si="0">J7*K7</f>
        <v>25200</v>
      </c>
    </row>
    <row r="8" spans="1:14" x14ac:dyDescent="0.3">
      <c r="A8" t="s">
        <v>231</v>
      </c>
      <c r="B8" t="s">
        <v>227</v>
      </c>
      <c r="C8">
        <v>15</v>
      </c>
      <c r="F8" s="43">
        <v>3</v>
      </c>
      <c r="G8" s="43" t="s">
        <v>92</v>
      </c>
      <c r="H8" s="43"/>
      <c r="I8" s="43" t="s">
        <v>227</v>
      </c>
      <c r="J8" s="43">
        <v>227</v>
      </c>
      <c r="K8" s="43">
        <v>120</v>
      </c>
      <c r="L8" s="43">
        <f t="shared" si="0"/>
        <v>27240</v>
      </c>
    </row>
    <row r="9" spans="1:14" x14ac:dyDescent="0.3">
      <c r="A9" t="s">
        <v>232</v>
      </c>
      <c r="B9" t="s">
        <v>228</v>
      </c>
      <c r="C9">
        <v>10</v>
      </c>
      <c r="F9" s="43">
        <v>4</v>
      </c>
      <c r="G9" s="43" t="s">
        <v>231</v>
      </c>
      <c r="H9" s="43"/>
      <c r="I9" s="43" t="s">
        <v>227</v>
      </c>
      <c r="J9" s="43">
        <v>15</v>
      </c>
      <c r="K9" s="43">
        <v>100</v>
      </c>
      <c r="L9" s="43">
        <f t="shared" si="0"/>
        <v>1500</v>
      </c>
    </row>
    <row r="10" spans="1:14" x14ac:dyDescent="0.3">
      <c r="A10" t="s">
        <v>235</v>
      </c>
      <c r="B10" t="s">
        <v>228</v>
      </c>
      <c r="C10">
        <v>22</v>
      </c>
      <c r="F10" s="43">
        <v>5</v>
      </c>
      <c r="G10" s="49" t="s">
        <v>232</v>
      </c>
      <c r="H10" s="49">
        <v>14</v>
      </c>
      <c r="I10" s="49" t="s">
        <v>228</v>
      </c>
      <c r="J10" s="49">
        <v>10</v>
      </c>
      <c r="K10" s="43"/>
      <c r="L10" s="43">
        <f t="shared" si="0"/>
        <v>0</v>
      </c>
      <c r="N10">
        <f>H10*J10</f>
        <v>140</v>
      </c>
    </row>
    <row r="11" spans="1:14" x14ac:dyDescent="0.3">
      <c r="A11" t="s">
        <v>233</v>
      </c>
      <c r="B11" t="s">
        <v>228</v>
      </c>
      <c r="C11">
        <v>27</v>
      </c>
      <c r="F11" s="43">
        <v>6</v>
      </c>
      <c r="G11" s="49" t="s">
        <v>235</v>
      </c>
      <c r="H11" s="49">
        <v>14.6</v>
      </c>
      <c r="I11" s="49" t="s">
        <v>228</v>
      </c>
      <c r="J11" s="49">
        <v>22</v>
      </c>
      <c r="K11" s="43"/>
      <c r="L11" s="43">
        <f t="shared" si="0"/>
        <v>0</v>
      </c>
      <c r="N11">
        <f t="shared" ref="N11:N14" si="1">H11*J11</f>
        <v>321.2</v>
      </c>
    </row>
    <row r="12" spans="1:14" x14ac:dyDescent="0.3">
      <c r="A12" t="s">
        <v>236</v>
      </c>
      <c r="B12" t="s">
        <v>228</v>
      </c>
      <c r="C12">
        <v>22</v>
      </c>
      <c r="F12" s="43">
        <v>7</v>
      </c>
      <c r="G12" s="49" t="s">
        <v>233</v>
      </c>
      <c r="H12" s="49">
        <v>6</v>
      </c>
      <c r="I12" s="49" t="s">
        <v>228</v>
      </c>
      <c r="J12" s="49">
        <v>27</v>
      </c>
      <c r="K12" s="43"/>
      <c r="L12" s="43">
        <f t="shared" si="0"/>
        <v>0</v>
      </c>
      <c r="N12">
        <f t="shared" si="1"/>
        <v>162</v>
      </c>
    </row>
    <row r="13" spans="1:14" x14ac:dyDescent="0.3">
      <c r="A13" t="s">
        <v>234</v>
      </c>
      <c r="B13" t="s">
        <v>228</v>
      </c>
      <c r="C13">
        <v>74</v>
      </c>
      <c r="F13" s="43">
        <v>8</v>
      </c>
      <c r="G13" s="49" t="s">
        <v>236</v>
      </c>
      <c r="H13" s="49">
        <v>6.6</v>
      </c>
      <c r="I13" s="49" t="s">
        <v>228</v>
      </c>
      <c r="J13" s="49">
        <v>22</v>
      </c>
      <c r="K13" s="43"/>
      <c r="L13" s="43">
        <f t="shared" si="0"/>
        <v>0</v>
      </c>
      <c r="N13">
        <f t="shared" si="1"/>
        <v>145.19999999999999</v>
      </c>
    </row>
    <row r="14" spans="1:14" x14ac:dyDescent="0.3">
      <c r="A14" t="s">
        <v>86</v>
      </c>
      <c r="B14" t="s">
        <v>227</v>
      </c>
      <c r="C14">
        <v>73</v>
      </c>
      <c r="F14" s="43">
        <v>9</v>
      </c>
      <c r="G14" s="49" t="s">
        <v>234</v>
      </c>
      <c r="H14" s="49">
        <v>7</v>
      </c>
      <c r="I14" s="49" t="s">
        <v>228</v>
      </c>
      <c r="J14" s="49">
        <v>74</v>
      </c>
      <c r="K14" s="43"/>
      <c r="L14" s="43">
        <f t="shared" si="0"/>
        <v>0</v>
      </c>
      <c r="N14">
        <f t="shared" si="1"/>
        <v>518</v>
      </c>
    </row>
    <row r="15" spans="1:14" x14ac:dyDescent="0.3">
      <c r="A15" t="s">
        <v>243</v>
      </c>
      <c r="B15" t="s">
        <v>228</v>
      </c>
      <c r="C15">
        <v>5</v>
      </c>
      <c r="F15" s="43">
        <v>10</v>
      </c>
      <c r="G15" s="43" t="s">
        <v>86</v>
      </c>
      <c r="H15" s="43"/>
      <c r="I15" s="43" t="s">
        <v>227</v>
      </c>
      <c r="J15" s="43">
        <v>73</v>
      </c>
      <c r="K15" s="43">
        <v>350</v>
      </c>
      <c r="L15" s="43">
        <f t="shared" si="0"/>
        <v>25550</v>
      </c>
    </row>
    <row r="16" spans="1:14" x14ac:dyDescent="0.3">
      <c r="A16" t="s">
        <v>239</v>
      </c>
      <c r="C16">
        <v>1060</v>
      </c>
      <c r="F16" s="43">
        <v>11</v>
      </c>
      <c r="G16" s="49" t="s">
        <v>243</v>
      </c>
      <c r="H16" s="49"/>
      <c r="I16" s="49" t="s">
        <v>228</v>
      </c>
      <c r="J16" s="49">
        <v>5</v>
      </c>
      <c r="K16" s="43"/>
      <c r="L16" s="43">
        <f t="shared" si="0"/>
        <v>0</v>
      </c>
    </row>
    <row r="17" spans="6:14" x14ac:dyDescent="0.3">
      <c r="F17" s="43">
        <v>12</v>
      </c>
      <c r="G17" s="52" t="s">
        <v>249</v>
      </c>
      <c r="H17" s="52"/>
      <c r="I17" s="52" t="s">
        <v>248</v>
      </c>
      <c r="J17" s="52">
        <v>500</v>
      </c>
      <c r="K17" s="43">
        <v>72</v>
      </c>
      <c r="L17" s="43">
        <f t="shared" si="0"/>
        <v>36000</v>
      </c>
    </row>
    <row r="18" spans="6:14" x14ac:dyDescent="0.3">
      <c r="F18" s="43"/>
      <c r="G18" s="49"/>
      <c r="H18" s="43"/>
      <c r="I18" s="49"/>
      <c r="J18" s="49"/>
      <c r="K18" s="43"/>
      <c r="L18" s="43"/>
    </row>
    <row r="19" spans="6:14" x14ac:dyDescent="0.3">
      <c r="F19" s="43"/>
      <c r="G19" s="43" t="s">
        <v>239</v>
      </c>
      <c r="H19" s="43"/>
      <c r="I19" s="43"/>
      <c r="J19" s="43">
        <v>1060</v>
      </c>
      <c r="K19" s="43"/>
      <c r="L19" s="51">
        <f>SUM(L6:L17)</f>
        <v>119153</v>
      </c>
      <c r="N19" s="50">
        <f>SUM(N6:N16)</f>
        <v>1286.4000000000001</v>
      </c>
    </row>
    <row r="20" spans="6:14" x14ac:dyDescent="0.3">
      <c r="N20">
        <f>N19/40</f>
        <v>32.160000000000004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workbookViewId="0">
      <selection activeCell="K26" sqref="K26"/>
    </sheetView>
  </sheetViews>
  <sheetFormatPr defaultRowHeight="14.4" x14ac:dyDescent="0.3"/>
  <cols>
    <col min="1" max="1" width="9.44140625" style="26" bestFit="1" customWidth="1"/>
    <col min="2" max="2" width="14.33203125" customWidth="1"/>
    <col min="3" max="3" width="29.33203125" customWidth="1"/>
    <col min="4" max="4" width="15.5546875" customWidth="1"/>
    <col min="5" max="5" width="9.33203125" bestFit="1" customWidth="1"/>
  </cols>
  <sheetData>
    <row r="1" spans="1:6" x14ac:dyDescent="0.3">
      <c r="C1" s="44" t="s">
        <v>242</v>
      </c>
    </row>
    <row r="2" spans="1:6" ht="30" customHeight="1" x14ac:dyDescent="0.3">
      <c r="A2" s="45" t="s">
        <v>229</v>
      </c>
      <c r="B2" s="45" t="s">
        <v>2</v>
      </c>
      <c r="C2" s="45" t="s">
        <v>230</v>
      </c>
      <c r="D2" s="46" t="s">
        <v>238</v>
      </c>
      <c r="E2" s="45" t="s">
        <v>237</v>
      </c>
      <c r="F2" s="45" t="s">
        <v>226</v>
      </c>
    </row>
    <row r="3" spans="1:6" x14ac:dyDescent="0.3">
      <c r="A3" s="11" t="s">
        <v>95</v>
      </c>
      <c r="B3" s="10">
        <v>45071</v>
      </c>
      <c r="C3" s="11" t="s">
        <v>127</v>
      </c>
      <c r="D3" s="11" t="s">
        <v>86</v>
      </c>
      <c r="E3" s="11">
        <v>3</v>
      </c>
      <c r="F3" s="11" t="s">
        <v>227</v>
      </c>
    </row>
    <row r="4" spans="1:6" x14ac:dyDescent="0.3">
      <c r="A4" s="11" t="s">
        <v>95</v>
      </c>
      <c r="B4" s="10">
        <v>45074</v>
      </c>
      <c r="C4" s="11" t="s">
        <v>203</v>
      </c>
      <c r="D4" s="11" t="s">
        <v>86</v>
      </c>
      <c r="E4" s="11">
        <v>7</v>
      </c>
      <c r="F4" s="11" t="s">
        <v>227</v>
      </c>
    </row>
    <row r="5" spans="1:6" x14ac:dyDescent="0.3">
      <c r="A5" s="11" t="s">
        <v>95</v>
      </c>
      <c r="B5" s="10">
        <v>45081</v>
      </c>
      <c r="C5" s="11" t="s">
        <v>203</v>
      </c>
      <c r="D5" s="11" t="s">
        <v>86</v>
      </c>
      <c r="E5" s="11">
        <v>5</v>
      </c>
      <c r="F5" s="11" t="s">
        <v>227</v>
      </c>
    </row>
    <row r="6" spans="1:6" x14ac:dyDescent="0.3">
      <c r="A6" s="11" t="s">
        <v>95</v>
      </c>
      <c r="B6" s="10">
        <v>45089</v>
      </c>
      <c r="C6" s="11" t="s">
        <v>203</v>
      </c>
      <c r="D6" s="11" t="s">
        <v>86</v>
      </c>
      <c r="E6" s="11">
        <v>4</v>
      </c>
      <c r="F6" s="11" t="s">
        <v>227</v>
      </c>
    </row>
    <row r="7" spans="1:6" x14ac:dyDescent="0.3">
      <c r="A7" s="11" t="s">
        <v>95</v>
      </c>
      <c r="B7" s="10">
        <v>45092</v>
      </c>
      <c r="C7" s="11" t="s">
        <v>203</v>
      </c>
      <c r="D7" s="11" t="s">
        <v>86</v>
      </c>
      <c r="E7" s="11">
        <v>12</v>
      </c>
      <c r="F7" s="11" t="s">
        <v>227</v>
      </c>
    </row>
    <row r="8" spans="1:6" x14ac:dyDescent="0.3">
      <c r="A8" s="11" t="s">
        <v>95</v>
      </c>
      <c r="B8" s="10">
        <v>45094</v>
      </c>
      <c r="C8" s="11" t="s">
        <v>203</v>
      </c>
      <c r="D8" s="11" t="s">
        <v>86</v>
      </c>
      <c r="E8" s="11">
        <v>12</v>
      </c>
      <c r="F8" s="11" t="s">
        <v>227</v>
      </c>
    </row>
    <row r="9" spans="1:6" x14ac:dyDescent="0.3">
      <c r="A9" s="11" t="s">
        <v>95</v>
      </c>
      <c r="B9" s="10">
        <v>45095</v>
      </c>
      <c r="C9" s="11" t="s">
        <v>203</v>
      </c>
      <c r="D9" s="11" t="s">
        <v>86</v>
      </c>
      <c r="E9" s="11">
        <v>10</v>
      </c>
      <c r="F9" s="11" t="s">
        <v>227</v>
      </c>
    </row>
    <row r="10" spans="1:6" x14ac:dyDescent="0.3">
      <c r="A10" s="11" t="s">
        <v>225</v>
      </c>
      <c r="B10" s="10">
        <v>45072</v>
      </c>
      <c r="C10" s="11" t="s">
        <v>129</v>
      </c>
      <c r="D10" s="11" t="s">
        <v>243</v>
      </c>
      <c r="E10" s="11">
        <v>5</v>
      </c>
      <c r="F10" s="11" t="s">
        <v>228</v>
      </c>
    </row>
    <row r="11" spans="1:6" x14ac:dyDescent="0.3">
      <c r="A11" s="11" t="s">
        <v>23</v>
      </c>
      <c r="B11" s="10">
        <v>45071</v>
      </c>
      <c r="C11" s="11" t="s">
        <v>129</v>
      </c>
      <c r="D11" s="11" t="s">
        <v>23</v>
      </c>
      <c r="E11" s="11">
        <v>12</v>
      </c>
      <c r="F11" s="11" t="s">
        <v>227</v>
      </c>
    </row>
    <row r="12" spans="1:6" x14ac:dyDescent="0.3">
      <c r="A12" s="11" t="s">
        <v>23</v>
      </c>
      <c r="B12" s="10">
        <v>45073</v>
      </c>
      <c r="C12" s="11" t="s">
        <v>129</v>
      </c>
      <c r="D12" s="11" t="s">
        <v>23</v>
      </c>
      <c r="E12" s="11">
        <v>50</v>
      </c>
      <c r="F12" s="11" t="s">
        <v>227</v>
      </c>
    </row>
    <row r="13" spans="1:6" x14ac:dyDescent="0.3">
      <c r="A13" s="11" t="s">
        <v>23</v>
      </c>
      <c r="B13" s="10">
        <v>45081</v>
      </c>
      <c r="C13" s="11" t="s">
        <v>193</v>
      </c>
      <c r="D13" s="11" t="s">
        <v>23</v>
      </c>
      <c r="E13" s="11">
        <v>15</v>
      </c>
      <c r="F13" s="11" t="s">
        <v>227</v>
      </c>
    </row>
    <row r="14" spans="1:6" x14ac:dyDescent="0.3">
      <c r="A14" s="11" t="s">
        <v>23</v>
      </c>
      <c r="B14" s="10">
        <v>45092</v>
      </c>
      <c r="C14" s="11" t="s">
        <v>129</v>
      </c>
      <c r="D14" s="11" t="s">
        <v>23</v>
      </c>
      <c r="E14" s="11">
        <v>50</v>
      </c>
      <c r="F14" s="11" t="s">
        <v>227</v>
      </c>
    </row>
    <row r="15" spans="1:6" x14ac:dyDescent="0.3">
      <c r="A15" s="11" t="s">
        <v>23</v>
      </c>
      <c r="B15" s="10">
        <v>45094</v>
      </c>
      <c r="C15" s="11" t="s">
        <v>129</v>
      </c>
      <c r="D15" s="11" t="s">
        <v>23</v>
      </c>
      <c r="E15" s="11">
        <v>25</v>
      </c>
      <c r="F15" s="11" t="s">
        <v>227</v>
      </c>
    </row>
    <row r="16" spans="1:6" x14ac:dyDescent="0.3">
      <c r="A16" s="11" t="s">
        <v>23</v>
      </c>
      <c r="B16" s="10">
        <v>45095</v>
      </c>
      <c r="C16" s="11" t="s">
        <v>129</v>
      </c>
      <c r="D16" s="11" t="s">
        <v>23</v>
      </c>
      <c r="E16" s="11">
        <v>25</v>
      </c>
      <c r="F16" s="11" t="s">
        <v>227</v>
      </c>
    </row>
    <row r="17" spans="1:6" x14ac:dyDescent="0.3">
      <c r="A17" s="11" t="s">
        <v>23</v>
      </c>
      <c r="B17" s="10">
        <v>45095</v>
      </c>
      <c r="C17" s="11" t="s">
        <v>129</v>
      </c>
      <c r="D17" s="11" t="s">
        <v>23</v>
      </c>
      <c r="E17" s="11">
        <v>25</v>
      </c>
      <c r="F17" s="11" t="s">
        <v>227</v>
      </c>
    </row>
    <row r="18" spans="1:6" x14ac:dyDescent="0.3">
      <c r="A18" s="11" t="s">
        <v>92</v>
      </c>
      <c r="B18" s="10">
        <v>45071</v>
      </c>
      <c r="C18" s="11" t="s">
        <v>127</v>
      </c>
      <c r="D18" s="11" t="s">
        <v>92</v>
      </c>
      <c r="E18" s="11">
        <v>12</v>
      </c>
      <c r="F18" s="11" t="s">
        <v>227</v>
      </c>
    </row>
    <row r="19" spans="1:6" x14ac:dyDescent="0.3">
      <c r="A19" s="11" t="s">
        <v>92</v>
      </c>
      <c r="B19" s="10">
        <v>45073</v>
      </c>
      <c r="C19" s="11" t="s">
        <v>127</v>
      </c>
      <c r="D19" s="11" t="s">
        <v>92</v>
      </c>
      <c r="E19" s="11">
        <v>40</v>
      </c>
      <c r="F19" s="11" t="s">
        <v>227</v>
      </c>
    </row>
    <row r="20" spans="1:6" x14ac:dyDescent="0.3">
      <c r="A20" s="11" t="s">
        <v>92</v>
      </c>
      <c r="B20" s="10">
        <v>45074</v>
      </c>
      <c r="C20" s="11" t="s">
        <v>193</v>
      </c>
      <c r="D20" s="11" t="s">
        <v>92</v>
      </c>
      <c r="E20" s="11">
        <v>25</v>
      </c>
      <c r="F20" s="11" t="s">
        <v>227</v>
      </c>
    </row>
    <row r="21" spans="1:6" x14ac:dyDescent="0.3">
      <c r="A21" s="11" t="s">
        <v>92</v>
      </c>
      <c r="B21" s="10">
        <v>45089</v>
      </c>
      <c r="C21" s="11" t="s">
        <v>193</v>
      </c>
      <c r="D21" s="11" t="s">
        <v>92</v>
      </c>
      <c r="E21" s="11">
        <v>25</v>
      </c>
      <c r="F21" s="11" t="s">
        <v>227</v>
      </c>
    </row>
    <row r="22" spans="1:6" x14ac:dyDescent="0.3">
      <c r="A22" s="11" t="s">
        <v>92</v>
      </c>
      <c r="B22" s="10">
        <v>45092</v>
      </c>
      <c r="C22" s="11" t="s">
        <v>193</v>
      </c>
      <c r="D22" s="11" t="s">
        <v>92</v>
      </c>
      <c r="E22" s="11">
        <v>25</v>
      </c>
      <c r="F22" s="11" t="s">
        <v>227</v>
      </c>
    </row>
    <row r="23" spans="1:6" x14ac:dyDescent="0.3">
      <c r="A23" s="11" t="s">
        <v>92</v>
      </c>
      <c r="B23" s="10">
        <v>45094</v>
      </c>
      <c r="C23" s="11" t="s">
        <v>193</v>
      </c>
      <c r="D23" s="11" t="s">
        <v>92</v>
      </c>
      <c r="E23" s="11">
        <v>25</v>
      </c>
      <c r="F23" s="11" t="s">
        <v>227</v>
      </c>
    </row>
    <row r="24" spans="1:6" x14ac:dyDescent="0.3">
      <c r="A24" s="11" t="s">
        <v>92</v>
      </c>
      <c r="B24" s="10">
        <v>45095</v>
      </c>
      <c r="C24" s="11" t="s">
        <v>193</v>
      </c>
      <c r="D24" s="11" t="s">
        <v>92</v>
      </c>
      <c r="E24" s="11">
        <v>25</v>
      </c>
      <c r="F24" s="11" t="s">
        <v>227</v>
      </c>
    </row>
    <row r="25" spans="1:6" x14ac:dyDescent="0.3">
      <c r="A25" s="11" t="s">
        <v>92</v>
      </c>
      <c r="B25" s="10">
        <v>45095</v>
      </c>
      <c r="C25" s="11" t="s">
        <v>193</v>
      </c>
      <c r="D25" s="40" t="s">
        <v>231</v>
      </c>
      <c r="E25" s="11">
        <v>15</v>
      </c>
      <c r="F25" s="11" t="s">
        <v>227</v>
      </c>
    </row>
    <row r="26" spans="1:6" x14ac:dyDescent="0.3">
      <c r="A26" s="11" t="s">
        <v>108</v>
      </c>
      <c r="B26" s="10">
        <v>45070</v>
      </c>
      <c r="C26" s="11" t="s">
        <v>203</v>
      </c>
      <c r="D26" s="11" t="s">
        <v>108</v>
      </c>
      <c r="E26" s="11">
        <v>333</v>
      </c>
      <c r="F26" s="11" t="s">
        <v>228</v>
      </c>
    </row>
    <row r="27" spans="1:6" x14ac:dyDescent="0.3">
      <c r="A27" s="11" t="s">
        <v>225</v>
      </c>
      <c r="B27" s="10">
        <v>45090</v>
      </c>
      <c r="C27" s="11" t="s">
        <v>196</v>
      </c>
      <c r="D27" s="11" t="s">
        <v>232</v>
      </c>
      <c r="E27" s="11">
        <v>10</v>
      </c>
      <c r="F27" s="11" t="s">
        <v>228</v>
      </c>
    </row>
    <row r="28" spans="1:6" x14ac:dyDescent="0.3">
      <c r="A28" s="11" t="s">
        <v>225</v>
      </c>
      <c r="B28" s="10">
        <v>45090</v>
      </c>
      <c r="C28" s="11" t="s">
        <v>196</v>
      </c>
      <c r="D28" s="11" t="s">
        <v>233</v>
      </c>
      <c r="E28" s="11">
        <v>27</v>
      </c>
      <c r="F28" s="11" t="s">
        <v>228</v>
      </c>
    </row>
    <row r="29" spans="1:6" x14ac:dyDescent="0.3">
      <c r="A29" s="11" t="s">
        <v>225</v>
      </c>
      <c r="B29" s="10">
        <v>45090</v>
      </c>
      <c r="C29" s="11" t="s">
        <v>196</v>
      </c>
      <c r="D29" s="11" t="s">
        <v>234</v>
      </c>
      <c r="E29" s="11">
        <v>74</v>
      </c>
      <c r="F29" s="11" t="s">
        <v>228</v>
      </c>
    </row>
    <row r="30" spans="1:6" x14ac:dyDescent="0.3">
      <c r="A30" s="11" t="s">
        <v>225</v>
      </c>
      <c r="B30" s="10">
        <v>45090</v>
      </c>
      <c r="C30" s="11" t="s">
        <v>196</v>
      </c>
      <c r="D30" s="11" t="s">
        <v>235</v>
      </c>
      <c r="E30" s="11">
        <v>22</v>
      </c>
      <c r="F30" s="11" t="s">
        <v>228</v>
      </c>
    </row>
    <row r="31" spans="1:6" x14ac:dyDescent="0.3">
      <c r="A31" s="11" t="s">
        <v>225</v>
      </c>
      <c r="B31" s="10">
        <v>45090</v>
      </c>
      <c r="C31" s="11" t="s">
        <v>196</v>
      </c>
      <c r="D31" s="11" t="s">
        <v>236</v>
      </c>
      <c r="E31" s="11">
        <v>22</v>
      </c>
      <c r="F31" s="11" t="s">
        <v>228</v>
      </c>
    </row>
    <row r="32" spans="1:6" x14ac:dyDescent="0.3">
      <c r="A32" s="11" t="s">
        <v>23</v>
      </c>
      <c r="B32" s="10">
        <v>45097</v>
      </c>
      <c r="C32" s="11" t="s">
        <v>127</v>
      </c>
      <c r="D32" s="11" t="s">
        <v>23</v>
      </c>
      <c r="E32" s="11">
        <v>50</v>
      </c>
      <c r="F32" s="11" t="s">
        <v>227</v>
      </c>
    </row>
    <row r="33" spans="1:6" x14ac:dyDescent="0.3">
      <c r="A33" s="11" t="s">
        <v>92</v>
      </c>
      <c r="B33" s="10">
        <v>45097</v>
      </c>
      <c r="C33" s="11" t="s">
        <v>193</v>
      </c>
      <c r="D33" s="11" t="s">
        <v>92</v>
      </c>
      <c r="E33" s="11">
        <v>50</v>
      </c>
      <c r="F33" s="11" t="s">
        <v>227</v>
      </c>
    </row>
    <row r="34" spans="1:6" x14ac:dyDescent="0.3">
      <c r="A34" s="11" t="s">
        <v>95</v>
      </c>
      <c r="B34" s="10">
        <v>45097</v>
      </c>
      <c r="C34" s="11" t="s">
        <v>193</v>
      </c>
      <c r="D34" s="11" t="s">
        <v>86</v>
      </c>
      <c r="E34" s="11">
        <v>20</v>
      </c>
      <c r="F34" s="11" t="s">
        <v>227</v>
      </c>
    </row>
    <row r="36" spans="1:6" x14ac:dyDescent="0.3">
      <c r="B36" s="41">
        <v>45074</v>
      </c>
      <c r="C36" s="42" t="s">
        <v>214</v>
      </c>
      <c r="D36" s="42" t="s">
        <v>92</v>
      </c>
      <c r="E36" s="42" t="s">
        <v>26</v>
      </c>
    </row>
  </sheetData>
  <autoFilter ref="A2:F2" xr:uid="{00000000-0009-0000-0000-000007000000}"/>
  <pageMargins left="0.7" right="0.7" top="0.75" bottom="0.75" header="0.3" footer="0.3"/>
  <pageSetup orientation="portrait" horizontalDpi="4294967292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AC8F-A4E4-4E6B-9384-C069BA75029D}">
  <dimension ref="A1:P28"/>
  <sheetViews>
    <sheetView topLeftCell="A10" workbookViewId="0">
      <selection activeCell="O19" sqref="O19"/>
    </sheetView>
  </sheetViews>
  <sheetFormatPr defaultRowHeight="14.4" x14ac:dyDescent="0.3"/>
  <cols>
    <col min="2" max="2" width="10.33203125" bestFit="1" customWidth="1"/>
    <col min="3" max="3" width="14.77734375" bestFit="1" customWidth="1"/>
    <col min="4" max="4" width="13.33203125" bestFit="1" customWidth="1"/>
    <col min="5" max="5" width="11.21875" bestFit="1" customWidth="1"/>
    <col min="7" max="7" width="16.109375" bestFit="1" customWidth="1"/>
    <col min="8" max="8" width="9.88671875" bestFit="1" customWidth="1"/>
    <col min="9" max="9" width="14.88671875" bestFit="1" customWidth="1"/>
    <col min="10" max="11" width="14.88671875" customWidth="1"/>
    <col min="12" max="12" width="10.5546875" bestFit="1" customWidth="1"/>
    <col min="16" max="16" width="10.33203125" bestFit="1" customWidth="1"/>
  </cols>
  <sheetData>
    <row r="1" spans="1:12" ht="20.399999999999999" x14ac:dyDescent="0.35">
      <c r="A1" s="111" t="s">
        <v>459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</row>
    <row r="2" spans="1:12" ht="20.399999999999999" x14ac:dyDescent="0.35">
      <c r="A2" s="101"/>
      <c r="B2" s="102"/>
      <c r="C2" s="102"/>
      <c r="D2" s="102"/>
      <c r="E2" s="102"/>
      <c r="F2" s="102"/>
      <c r="G2" s="103"/>
      <c r="H2" s="104" t="s">
        <v>460</v>
      </c>
      <c r="I2" s="105"/>
      <c r="J2" s="106" t="s">
        <v>461</v>
      </c>
      <c r="K2" s="107"/>
      <c r="L2" s="59"/>
    </row>
    <row r="3" spans="1:12" x14ac:dyDescent="0.3">
      <c r="A3" s="60" t="s">
        <v>244</v>
      </c>
      <c r="B3" s="60" t="s">
        <v>2</v>
      </c>
      <c r="C3" s="60" t="s">
        <v>362</v>
      </c>
      <c r="D3" s="60" t="s">
        <v>462</v>
      </c>
      <c r="E3" s="60" t="s">
        <v>237</v>
      </c>
      <c r="F3" s="60" t="s">
        <v>226</v>
      </c>
      <c r="G3" s="60" t="s">
        <v>463</v>
      </c>
      <c r="H3" s="60" t="s">
        <v>464</v>
      </c>
      <c r="I3" s="60" t="s">
        <v>465</v>
      </c>
      <c r="J3" s="60" t="s">
        <v>2</v>
      </c>
      <c r="K3" s="60" t="s">
        <v>246</v>
      </c>
      <c r="L3" s="60" t="s">
        <v>466</v>
      </c>
    </row>
    <row r="4" spans="1:12" x14ac:dyDescent="0.3">
      <c r="A4" s="11">
        <v>1</v>
      </c>
      <c r="B4" s="54">
        <v>46161</v>
      </c>
      <c r="C4" s="11" t="s">
        <v>467</v>
      </c>
      <c r="D4" s="11">
        <v>5422</v>
      </c>
      <c r="E4" s="11">
        <v>4</v>
      </c>
      <c r="F4" s="11" t="s">
        <v>468</v>
      </c>
      <c r="G4" s="11">
        <f>28*4</f>
        <v>112</v>
      </c>
      <c r="H4" s="61">
        <v>2500</v>
      </c>
      <c r="I4" s="61">
        <v>500</v>
      </c>
      <c r="J4" s="62">
        <v>46162</v>
      </c>
      <c r="K4" s="61">
        <v>5000</v>
      </c>
      <c r="L4" s="43"/>
    </row>
    <row r="5" spans="1:12" x14ac:dyDescent="0.3">
      <c r="A5" s="11">
        <v>2</v>
      </c>
      <c r="B5" s="54">
        <v>46161</v>
      </c>
      <c r="C5" s="11" t="s">
        <v>467</v>
      </c>
      <c r="D5" s="11">
        <v>1228</v>
      </c>
      <c r="E5" s="11">
        <v>4</v>
      </c>
      <c r="F5" s="11" t="s">
        <v>468</v>
      </c>
      <c r="G5" s="11">
        <f>28*4</f>
        <v>112</v>
      </c>
      <c r="H5" s="61">
        <v>2500</v>
      </c>
      <c r="I5" s="61">
        <v>500</v>
      </c>
      <c r="J5" s="62">
        <v>46164</v>
      </c>
      <c r="K5" s="61">
        <v>10000</v>
      </c>
      <c r="L5" s="43"/>
    </row>
    <row r="6" spans="1:12" x14ac:dyDescent="0.3">
      <c r="A6" s="11">
        <v>3</v>
      </c>
      <c r="B6" s="54">
        <v>46162</v>
      </c>
      <c r="C6" s="11" t="s">
        <v>467</v>
      </c>
      <c r="D6" s="11">
        <v>5422</v>
      </c>
      <c r="E6" s="11">
        <v>3</v>
      </c>
      <c r="F6" s="11" t="s">
        <v>468</v>
      </c>
      <c r="G6" s="11">
        <f>28*3</f>
        <v>84</v>
      </c>
      <c r="H6" s="61">
        <v>2500</v>
      </c>
      <c r="I6" s="61">
        <v>500</v>
      </c>
      <c r="J6" s="62">
        <v>46169</v>
      </c>
      <c r="K6" s="61">
        <v>16000</v>
      </c>
      <c r="L6" s="43"/>
    </row>
    <row r="7" spans="1:12" x14ac:dyDescent="0.3">
      <c r="A7" s="11">
        <v>4</v>
      </c>
      <c r="B7" s="54">
        <v>46163</v>
      </c>
      <c r="C7" s="11" t="s">
        <v>467</v>
      </c>
      <c r="D7" s="11">
        <v>5422</v>
      </c>
      <c r="E7" s="11">
        <v>4</v>
      </c>
      <c r="F7" s="11" t="s">
        <v>468</v>
      </c>
      <c r="G7" s="11">
        <f>28*4</f>
        <v>112</v>
      </c>
      <c r="H7" s="61">
        <v>2500</v>
      </c>
      <c r="I7" s="61">
        <v>500</v>
      </c>
      <c r="J7" s="61"/>
      <c r="K7" s="61"/>
      <c r="L7" s="43"/>
    </row>
    <row r="8" spans="1:12" x14ac:dyDescent="0.3">
      <c r="A8" s="11">
        <v>5</v>
      </c>
      <c r="B8" s="54">
        <v>46164</v>
      </c>
      <c r="C8" s="11" t="s">
        <v>467</v>
      </c>
      <c r="D8" s="11">
        <v>5422</v>
      </c>
      <c r="E8" s="11">
        <v>3</v>
      </c>
      <c r="F8" s="11" t="s">
        <v>468</v>
      </c>
      <c r="G8" s="11">
        <f>28*3</f>
        <v>84</v>
      </c>
      <c r="H8" s="61">
        <v>2500</v>
      </c>
      <c r="I8" s="61">
        <v>500</v>
      </c>
      <c r="J8" s="61"/>
      <c r="K8" s="61"/>
      <c r="L8" s="43"/>
    </row>
    <row r="9" spans="1:12" x14ac:dyDescent="0.3">
      <c r="A9" s="11">
        <v>6</v>
      </c>
      <c r="B9" s="54">
        <v>46168</v>
      </c>
      <c r="C9" s="11" t="s">
        <v>467</v>
      </c>
      <c r="D9" s="11">
        <v>6715</v>
      </c>
      <c r="E9" s="11">
        <v>5</v>
      </c>
      <c r="F9" s="11" t="s">
        <v>468</v>
      </c>
      <c r="G9" s="11">
        <v>64</v>
      </c>
      <c r="H9" s="61">
        <v>4000</v>
      </c>
      <c r="I9" s="61">
        <v>500</v>
      </c>
      <c r="J9" s="61"/>
      <c r="K9" s="61"/>
      <c r="L9" s="43"/>
    </row>
    <row r="10" spans="1:12" x14ac:dyDescent="0.3">
      <c r="A10" s="11">
        <v>7</v>
      </c>
      <c r="B10" s="54">
        <v>46168</v>
      </c>
      <c r="C10" s="11" t="s">
        <v>467</v>
      </c>
      <c r="D10" s="11">
        <v>6315</v>
      </c>
      <c r="E10" s="11">
        <v>5</v>
      </c>
      <c r="F10" s="11" t="s">
        <v>468</v>
      </c>
      <c r="G10" s="11">
        <v>64</v>
      </c>
      <c r="H10" s="61">
        <v>4000</v>
      </c>
      <c r="I10" s="61">
        <v>500</v>
      </c>
      <c r="J10" s="61"/>
      <c r="K10" s="61"/>
      <c r="L10" s="43"/>
    </row>
    <row r="11" spans="1:12" x14ac:dyDescent="0.3">
      <c r="A11" s="11">
        <v>8</v>
      </c>
      <c r="B11" s="54">
        <v>46168</v>
      </c>
      <c r="C11" s="11" t="s">
        <v>467</v>
      </c>
      <c r="D11" s="11">
        <v>9591</v>
      </c>
      <c r="E11" s="11">
        <v>4</v>
      </c>
      <c r="F11" s="11" t="s">
        <v>468</v>
      </c>
      <c r="G11" s="11">
        <v>55</v>
      </c>
      <c r="H11" s="61">
        <v>3000</v>
      </c>
      <c r="I11" s="61">
        <v>500</v>
      </c>
      <c r="J11" s="61"/>
      <c r="K11" s="61"/>
      <c r="L11" s="43"/>
    </row>
    <row r="12" spans="1:12" x14ac:dyDescent="0.3">
      <c r="A12" s="11">
        <v>9</v>
      </c>
      <c r="B12" s="54">
        <v>46168</v>
      </c>
      <c r="C12" s="11" t="s">
        <v>467</v>
      </c>
      <c r="D12" s="11">
        <v>5422</v>
      </c>
      <c r="E12" s="11">
        <v>5</v>
      </c>
      <c r="F12" s="11" t="s">
        <v>468</v>
      </c>
      <c r="G12" s="11">
        <v>64</v>
      </c>
      <c r="H12" s="61">
        <v>3000</v>
      </c>
      <c r="I12" s="61">
        <v>500</v>
      </c>
      <c r="J12" s="61"/>
      <c r="K12" s="61"/>
      <c r="L12" s="43"/>
    </row>
    <row r="13" spans="1:12" x14ac:dyDescent="0.3">
      <c r="A13" s="11">
        <v>10</v>
      </c>
      <c r="B13" s="54">
        <v>46168</v>
      </c>
      <c r="C13" s="11" t="s">
        <v>467</v>
      </c>
      <c r="D13" s="11">
        <v>8933</v>
      </c>
      <c r="E13" s="11">
        <v>4</v>
      </c>
      <c r="F13" s="11" t="s">
        <v>468</v>
      </c>
      <c r="G13" s="11">
        <v>55</v>
      </c>
      <c r="H13" s="61">
        <v>3000</v>
      </c>
      <c r="I13" s="61">
        <v>500</v>
      </c>
      <c r="J13" s="61"/>
      <c r="K13" s="61"/>
      <c r="L13" s="43"/>
    </row>
    <row r="14" spans="1:12" x14ac:dyDescent="0.3">
      <c r="A14" s="66">
        <v>11</v>
      </c>
      <c r="B14" s="67">
        <v>46173</v>
      </c>
      <c r="C14" s="11" t="s">
        <v>467</v>
      </c>
      <c r="D14" s="69"/>
      <c r="E14" s="11">
        <v>7</v>
      </c>
      <c r="F14" s="11" t="s">
        <v>468</v>
      </c>
      <c r="G14" s="11"/>
      <c r="H14" s="61"/>
      <c r="I14" s="61"/>
      <c r="J14" s="61"/>
      <c r="K14" s="61"/>
      <c r="L14" s="43"/>
    </row>
    <row r="15" spans="1:12" x14ac:dyDescent="0.3">
      <c r="A15" s="66"/>
      <c r="B15" s="67"/>
      <c r="C15" s="68"/>
      <c r="D15" s="69"/>
      <c r="E15" s="11"/>
      <c r="F15" s="11"/>
      <c r="G15" s="11"/>
      <c r="H15" s="61"/>
      <c r="I15" s="61"/>
      <c r="J15" s="61"/>
      <c r="K15" s="61"/>
      <c r="L15" s="43"/>
    </row>
    <row r="16" spans="1:12" x14ac:dyDescent="0.3">
      <c r="A16" s="108" t="s">
        <v>469</v>
      </c>
      <c r="B16" s="109"/>
      <c r="C16" s="109"/>
      <c r="D16" s="110"/>
      <c r="E16" s="63">
        <f>SUM(E4:E14)</f>
        <v>48</v>
      </c>
      <c r="F16" s="64"/>
      <c r="G16" s="64"/>
      <c r="H16" s="65">
        <f>SUM(H4:H13)</f>
        <v>29500</v>
      </c>
      <c r="I16" s="65">
        <f>SUM(I4:I13)</f>
        <v>5000</v>
      </c>
      <c r="J16" s="65"/>
      <c r="K16" s="65">
        <f>K4+K5</f>
        <v>15000</v>
      </c>
      <c r="L16" s="64"/>
    </row>
    <row r="18" spans="1:16" x14ac:dyDescent="0.3">
      <c r="P18" s="56"/>
    </row>
    <row r="19" spans="1:16" ht="20.399999999999999" x14ac:dyDescent="0.35">
      <c r="A19" s="111" t="s">
        <v>470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P19" s="56"/>
    </row>
    <row r="20" spans="1:16" ht="20.399999999999999" x14ac:dyDescent="0.35">
      <c r="A20" s="101"/>
      <c r="B20" s="102"/>
      <c r="C20" s="102"/>
      <c r="D20" s="102"/>
      <c r="E20" s="102"/>
      <c r="F20" s="102"/>
      <c r="G20" s="103"/>
      <c r="H20" s="104" t="s">
        <v>460</v>
      </c>
      <c r="I20" s="105"/>
      <c r="J20" s="106" t="s">
        <v>461</v>
      </c>
      <c r="K20" s="107"/>
      <c r="L20" s="59"/>
      <c r="P20" s="56"/>
    </row>
    <row r="21" spans="1:16" x14ac:dyDescent="0.3">
      <c r="A21" s="60" t="s">
        <v>244</v>
      </c>
      <c r="B21" s="60" t="s">
        <v>2</v>
      </c>
      <c r="C21" s="60" t="s">
        <v>362</v>
      </c>
      <c r="D21" s="60" t="s">
        <v>471</v>
      </c>
      <c r="E21" s="60" t="s">
        <v>237</v>
      </c>
      <c r="F21" s="60" t="s">
        <v>226</v>
      </c>
      <c r="G21" s="60"/>
      <c r="H21" s="60" t="s">
        <v>464</v>
      </c>
      <c r="I21" s="60" t="s">
        <v>465</v>
      </c>
      <c r="J21" s="60" t="s">
        <v>2</v>
      </c>
      <c r="K21" s="60" t="s">
        <v>246</v>
      </c>
      <c r="L21" s="60" t="s">
        <v>466</v>
      </c>
      <c r="P21" s="56"/>
    </row>
    <row r="22" spans="1:16" x14ac:dyDescent="0.3">
      <c r="A22" s="11">
        <v>1</v>
      </c>
      <c r="B22" s="54">
        <v>46161</v>
      </c>
      <c r="C22" s="11" t="s">
        <v>472</v>
      </c>
      <c r="D22" s="11" t="s">
        <v>473</v>
      </c>
      <c r="E22" s="11" t="s">
        <v>474</v>
      </c>
      <c r="F22" s="11" t="s">
        <v>475</v>
      </c>
      <c r="G22" s="11"/>
      <c r="H22" s="61">
        <v>7100</v>
      </c>
      <c r="I22" s="61"/>
      <c r="J22" s="62">
        <v>46168</v>
      </c>
      <c r="K22" s="61">
        <v>20000</v>
      </c>
      <c r="L22" s="43"/>
    </row>
    <row r="23" spans="1:16" x14ac:dyDescent="0.3">
      <c r="A23" s="11">
        <v>3</v>
      </c>
      <c r="B23" s="54">
        <v>46162</v>
      </c>
      <c r="C23" s="11" t="s">
        <v>472</v>
      </c>
      <c r="D23" s="11" t="s">
        <v>476</v>
      </c>
      <c r="E23" s="11" t="s">
        <v>477</v>
      </c>
      <c r="F23" s="11" t="s">
        <v>475</v>
      </c>
      <c r="G23" s="11"/>
      <c r="H23" s="61">
        <v>2500</v>
      </c>
      <c r="I23" s="61"/>
      <c r="J23" s="61"/>
      <c r="K23" s="61"/>
      <c r="L23" s="43"/>
    </row>
    <row r="24" spans="1:16" x14ac:dyDescent="0.3">
      <c r="A24" s="11">
        <v>4</v>
      </c>
      <c r="B24" s="54">
        <v>46163</v>
      </c>
      <c r="C24" s="11" t="s">
        <v>472</v>
      </c>
      <c r="D24" s="11" t="s">
        <v>478</v>
      </c>
      <c r="E24" s="11" t="s">
        <v>479</v>
      </c>
      <c r="F24" s="11" t="s">
        <v>475</v>
      </c>
      <c r="G24" s="11"/>
      <c r="H24" s="61">
        <v>2500</v>
      </c>
      <c r="I24" s="61"/>
      <c r="J24" s="61"/>
      <c r="K24" s="61"/>
      <c r="L24" s="43"/>
    </row>
    <row r="25" spans="1:16" x14ac:dyDescent="0.3">
      <c r="A25" s="11">
        <v>5</v>
      </c>
      <c r="B25" s="54">
        <v>46164</v>
      </c>
      <c r="C25" s="11" t="s">
        <v>472</v>
      </c>
      <c r="D25" s="11" t="s">
        <v>480</v>
      </c>
      <c r="E25" s="11" t="s">
        <v>481</v>
      </c>
      <c r="F25" s="11" t="s">
        <v>475</v>
      </c>
      <c r="G25" s="11"/>
      <c r="H25" s="61">
        <v>2500</v>
      </c>
      <c r="I25" s="61"/>
      <c r="J25" s="61"/>
      <c r="K25" s="61"/>
      <c r="L25" s="43"/>
    </row>
    <row r="26" spans="1:16" x14ac:dyDescent="0.3">
      <c r="A26" s="11">
        <v>6</v>
      </c>
      <c r="B26" s="54">
        <v>46168</v>
      </c>
      <c r="C26" s="11" t="s">
        <v>472</v>
      </c>
      <c r="D26" s="11" t="s">
        <v>482</v>
      </c>
      <c r="E26" s="11" t="s">
        <v>483</v>
      </c>
      <c r="F26" s="11" t="s">
        <v>475</v>
      </c>
      <c r="G26" s="11"/>
      <c r="H26" s="61">
        <v>5000</v>
      </c>
      <c r="I26" s="61">
        <v>150</v>
      </c>
      <c r="J26" s="61"/>
      <c r="K26" s="61"/>
      <c r="L26" s="43"/>
    </row>
    <row r="27" spans="1:16" x14ac:dyDescent="0.3">
      <c r="A27" s="66">
        <v>7</v>
      </c>
      <c r="B27" s="67">
        <v>46173</v>
      </c>
      <c r="C27" s="68" t="s">
        <v>472</v>
      </c>
      <c r="D27" s="69"/>
      <c r="E27" s="11"/>
      <c r="F27" s="11"/>
      <c r="G27" s="11"/>
      <c r="H27" s="61"/>
      <c r="I27" s="61"/>
      <c r="J27" s="61"/>
      <c r="K27" s="61"/>
      <c r="L27" s="43"/>
    </row>
    <row r="28" spans="1:16" x14ac:dyDescent="0.3">
      <c r="A28" s="108" t="s">
        <v>469</v>
      </c>
      <c r="B28" s="109"/>
      <c r="C28" s="109"/>
      <c r="D28" s="110"/>
      <c r="E28" s="64" t="s">
        <v>484</v>
      </c>
      <c r="F28" s="64"/>
      <c r="G28" s="64"/>
      <c r="H28" s="65">
        <f>SUM(H22:H26)</f>
        <v>19600</v>
      </c>
      <c r="I28" s="65">
        <f>SUM(I22:I26)</f>
        <v>150</v>
      </c>
      <c r="J28" s="65"/>
      <c r="K28" s="65">
        <f>K22</f>
        <v>20000</v>
      </c>
      <c r="L28" s="64"/>
    </row>
  </sheetData>
  <mergeCells count="10">
    <mergeCell ref="A20:G20"/>
    <mergeCell ref="H20:I20"/>
    <mergeCell ref="J20:K20"/>
    <mergeCell ref="A28:D28"/>
    <mergeCell ref="A1:L1"/>
    <mergeCell ref="A2:G2"/>
    <mergeCell ref="H2:I2"/>
    <mergeCell ref="J2:K2"/>
    <mergeCell ref="A16:D16"/>
    <mergeCell ref="A19:L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5489-1316-4468-A27B-5A135311E26F}">
  <dimension ref="A1:G17"/>
  <sheetViews>
    <sheetView tabSelected="1" workbookViewId="0">
      <selection activeCell="L14" sqref="L14"/>
    </sheetView>
  </sheetViews>
  <sheetFormatPr defaultRowHeight="14.4" x14ac:dyDescent="0.3"/>
  <cols>
    <col min="1" max="1" width="9" bestFit="1" customWidth="1"/>
    <col min="2" max="2" width="22.6640625" bestFit="1" customWidth="1"/>
    <col min="4" max="4" width="9" bestFit="1" customWidth="1"/>
    <col min="5" max="5" width="9.21875" bestFit="1" customWidth="1"/>
    <col min="6" max="6" width="12.33203125" bestFit="1" customWidth="1"/>
  </cols>
  <sheetData>
    <row r="1" spans="1:7" x14ac:dyDescent="0.3">
      <c r="A1" s="129" t="s">
        <v>519</v>
      </c>
      <c r="B1" s="130"/>
      <c r="C1" s="130"/>
      <c r="D1" s="130"/>
      <c r="E1" s="130"/>
      <c r="F1" s="130"/>
      <c r="G1" s="131"/>
    </row>
    <row r="2" spans="1:7" x14ac:dyDescent="0.3">
      <c r="A2" s="132"/>
      <c r="B2" s="133"/>
      <c r="C2" s="133"/>
      <c r="D2" s="133"/>
      <c r="E2" s="133"/>
      <c r="F2" s="133"/>
      <c r="G2" s="134"/>
    </row>
    <row r="3" spans="1:7" x14ac:dyDescent="0.3">
      <c r="A3" s="126" t="s">
        <v>522</v>
      </c>
      <c r="B3" s="127"/>
      <c r="C3" s="127"/>
      <c r="D3" s="127"/>
      <c r="E3" s="127"/>
      <c r="F3" s="127"/>
      <c r="G3" s="128"/>
    </row>
    <row r="4" spans="1:7" x14ac:dyDescent="0.3">
      <c r="A4" s="118" t="s">
        <v>521</v>
      </c>
      <c r="B4" s="60" t="s">
        <v>498</v>
      </c>
      <c r="C4" s="60" t="s">
        <v>499</v>
      </c>
      <c r="D4" s="60" t="s">
        <v>500</v>
      </c>
      <c r="E4" s="60" t="s">
        <v>501</v>
      </c>
      <c r="F4" s="60" t="s">
        <v>502</v>
      </c>
      <c r="G4" s="119" t="s">
        <v>518</v>
      </c>
    </row>
    <row r="5" spans="1:7" x14ac:dyDescent="0.3">
      <c r="A5" s="120">
        <v>1</v>
      </c>
      <c r="B5" s="113" t="s">
        <v>400</v>
      </c>
      <c r="C5" s="112" t="s">
        <v>503</v>
      </c>
      <c r="D5" s="112">
        <f>41.5+40+8+8</f>
        <v>97.5</v>
      </c>
      <c r="E5" s="114">
        <v>1200</v>
      </c>
      <c r="F5" s="114">
        <f>D5*E5</f>
        <v>117000</v>
      </c>
      <c r="G5" s="121"/>
    </row>
    <row r="6" spans="1:7" x14ac:dyDescent="0.3">
      <c r="A6" s="120">
        <v>2</v>
      </c>
      <c r="B6" s="113" t="s">
        <v>504</v>
      </c>
      <c r="C6" s="112" t="s">
        <v>510</v>
      </c>
      <c r="D6" s="112">
        <v>2</v>
      </c>
      <c r="E6" s="114">
        <v>6000</v>
      </c>
      <c r="F6" s="114">
        <f t="shared" ref="F6:F11" si="0">D6*E6</f>
        <v>12000</v>
      </c>
      <c r="G6" s="121"/>
    </row>
    <row r="7" spans="1:7" x14ac:dyDescent="0.3">
      <c r="A7" s="120">
        <v>3</v>
      </c>
      <c r="B7" s="113" t="s">
        <v>505</v>
      </c>
      <c r="C7" s="112" t="s">
        <v>511</v>
      </c>
      <c r="D7" s="112">
        <v>686</v>
      </c>
      <c r="E7" s="114">
        <v>720</v>
      </c>
      <c r="F7" s="114">
        <f t="shared" si="0"/>
        <v>493920</v>
      </c>
      <c r="G7" s="121"/>
    </row>
    <row r="8" spans="1:7" x14ac:dyDescent="0.3">
      <c r="A8" s="120">
        <v>4</v>
      </c>
      <c r="B8" s="113" t="s">
        <v>506</v>
      </c>
      <c r="C8" s="112" t="s">
        <v>512</v>
      </c>
      <c r="D8" s="112">
        <f>232+19+10+8+9</f>
        <v>278</v>
      </c>
      <c r="E8" s="114">
        <v>700</v>
      </c>
      <c r="F8" s="114">
        <f t="shared" si="0"/>
        <v>194600</v>
      </c>
      <c r="G8" s="121"/>
    </row>
    <row r="9" spans="1:7" x14ac:dyDescent="0.3">
      <c r="A9" s="120">
        <v>5</v>
      </c>
      <c r="B9" s="113" t="s">
        <v>507</v>
      </c>
      <c r="C9" s="112" t="s">
        <v>511</v>
      </c>
      <c r="D9" s="112">
        <v>686</v>
      </c>
      <c r="E9" s="114">
        <v>350</v>
      </c>
      <c r="F9" s="114">
        <f t="shared" si="0"/>
        <v>240100</v>
      </c>
      <c r="G9" s="121"/>
    </row>
    <row r="10" spans="1:7" x14ac:dyDescent="0.3">
      <c r="A10" s="120">
        <v>6</v>
      </c>
      <c r="B10" s="113" t="s">
        <v>508</v>
      </c>
      <c r="C10" s="112" t="s">
        <v>513</v>
      </c>
      <c r="D10" s="112">
        <f>26+6</f>
        <v>32</v>
      </c>
      <c r="E10" s="114">
        <v>3500</v>
      </c>
      <c r="F10" s="114">
        <f t="shared" si="0"/>
        <v>112000</v>
      </c>
      <c r="G10" s="121"/>
    </row>
    <row r="11" spans="1:7" x14ac:dyDescent="0.3">
      <c r="A11" s="120">
        <v>7</v>
      </c>
      <c r="B11" s="113" t="s">
        <v>509</v>
      </c>
      <c r="C11" s="112" t="s">
        <v>513</v>
      </c>
      <c r="D11" s="112">
        <v>24</v>
      </c>
      <c r="E11" s="114">
        <v>3500</v>
      </c>
      <c r="F11" s="114">
        <f t="shared" si="0"/>
        <v>84000</v>
      </c>
      <c r="G11" s="121"/>
    </row>
    <row r="12" spans="1:7" x14ac:dyDescent="0.3">
      <c r="A12" s="120">
        <v>8</v>
      </c>
      <c r="B12" s="113" t="s">
        <v>452</v>
      </c>
      <c r="C12" s="112" t="s">
        <v>340</v>
      </c>
      <c r="D12" s="112" t="s">
        <v>340</v>
      </c>
      <c r="E12" s="112" t="s">
        <v>515</v>
      </c>
      <c r="F12" s="114">
        <v>80000</v>
      </c>
      <c r="G12" s="121"/>
    </row>
    <row r="13" spans="1:7" x14ac:dyDescent="0.3">
      <c r="A13" s="120">
        <v>9</v>
      </c>
      <c r="B13" s="113" t="s">
        <v>514</v>
      </c>
      <c r="C13" s="112" t="s">
        <v>340</v>
      </c>
      <c r="D13" s="112" t="s">
        <v>340</v>
      </c>
      <c r="E13" s="112" t="s">
        <v>515</v>
      </c>
      <c r="F13" s="114">
        <v>35000</v>
      </c>
      <c r="G13" s="121"/>
    </row>
    <row r="14" spans="1:7" x14ac:dyDescent="0.3">
      <c r="A14" s="120">
        <v>10</v>
      </c>
      <c r="B14" s="113" t="s">
        <v>516</v>
      </c>
      <c r="C14" s="112" t="s">
        <v>340</v>
      </c>
      <c r="D14" s="112" t="s">
        <v>340</v>
      </c>
      <c r="E14" s="112" t="s">
        <v>515</v>
      </c>
      <c r="F14" s="114">
        <v>25000</v>
      </c>
      <c r="G14" s="121"/>
    </row>
    <row r="15" spans="1:7" x14ac:dyDescent="0.3">
      <c r="A15" s="120">
        <v>11</v>
      </c>
      <c r="B15" s="113" t="s">
        <v>517</v>
      </c>
      <c r="C15" s="112" t="s">
        <v>512</v>
      </c>
      <c r="D15" s="112">
        <f>15+1+2+2</f>
        <v>20</v>
      </c>
      <c r="E15" s="114">
        <v>800</v>
      </c>
      <c r="F15" s="114">
        <f>D15*E15</f>
        <v>16000</v>
      </c>
      <c r="G15" s="121"/>
    </row>
    <row r="16" spans="1:7" x14ac:dyDescent="0.3">
      <c r="A16" s="122" t="s">
        <v>520</v>
      </c>
      <c r="B16" s="115"/>
      <c r="C16" s="115"/>
      <c r="D16" s="115"/>
      <c r="E16" s="116"/>
      <c r="F16" s="117">
        <f>SUM(F5:F15)</f>
        <v>1409620</v>
      </c>
      <c r="G16" s="123"/>
    </row>
    <row r="17" spans="1:7" ht="15" thickBot="1" x14ac:dyDescent="0.35">
      <c r="A17" s="124"/>
      <c r="B17" s="98"/>
      <c r="C17" s="98"/>
      <c r="D17" s="98"/>
      <c r="E17" s="98"/>
      <c r="F17" s="98"/>
      <c r="G17" s="125"/>
    </row>
  </sheetData>
  <mergeCells count="4">
    <mergeCell ref="A1:G2"/>
    <mergeCell ref="A16:E16"/>
    <mergeCell ref="A17:G17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LABOUR</vt:lpstr>
      <vt:lpstr>CEMENT</vt:lpstr>
      <vt:lpstr>TMT</vt:lpstr>
      <vt:lpstr>SAND</vt:lpstr>
      <vt:lpstr>STONE</vt:lpstr>
      <vt:lpstr>BRICKS</vt:lpstr>
      <vt:lpstr>OTHER'S</vt:lpstr>
      <vt:lpstr>SUMMERY</vt:lpstr>
      <vt:lpstr>12.05 TO 20.06</vt:lpstr>
      <vt:lpstr>DUMPER</vt:lpstr>
      <vt:lpstr>35D HOT 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Md Junaid Islam seikh</cp:lastModifiedBy>
  <cp:lastPrinted>2023-06-20T13:50:34Z</cp:lastPrinted>
  <dcterms:created xsi:type="dcterms:W3CDTF">2022-06-25T10:39:12Z</dcterms:created>
  <dcterms:modified xsi:type="dcterms:W3CDTF">2026-06-23T07:01:27Z</dcterms:modified>
</cp:coreProperties>
</file>