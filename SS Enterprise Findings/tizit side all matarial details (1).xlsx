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NAGALAND TIZIT/"/>
    </mc:Choice>
  </mc:AlternateContent>
  <xr:revisionPtr revIDLastSave="1147" documentId="13_ncr:1_{4D47EDAA-1C74-4C34-AF08-FB98DEDF2399}" xr6:coauthVersionLast="47" xr6:coauthVersionMax="47" xr10:uidLastSave="{442647C3-74A6-4A67-9774-AB459ED2AC60}"/>
  <bookViews>
    <workbookView xWindow="-108" yWindow="-108" windowWidth="23256" windowHeight="12456" activeTab="1" xr2:uid="{00000000-000D-0000-FFFF-FFFF00000000}"/>
  </bookViews>
  <sheets>
    <sheet name="MATARIAL DETAILS" sheetId="1" r:id="rId1"/>
    <sheet name="MODI &amp; CO" sheetId="7" r:id="rId2"/>
    <sheet name="SHEET" sheetId="14" r:id="rId3"/>
    <sheet name="GANGA NEW PART" sheetId="13" state="hidden" r:id="rId4"/>
    <sheet name="GANGA" sheetId="16" r:id="rId5"/>
    <sheet name="JAGDAMBA" sheetId="17" r:id="rId6"/>
    <sheet name="Sheet1" sheetId="18" state="hidden" r:id="rId7"/>
    <sheet name="KAMAKHYA" sheetId="21" r:id="rId8"/>
    <sheet name="local purches" sheetId="22" r:id="rId9"/>
    <sheet name="GANGA TILL-08.08.25" sheetId="23" r:id="rId10"/>
    <sheet name="Ganga Summary " sheetId="24" r:id="rId11"/>
    <sheet name="Jagadamba as per s s " sheetId="25" r:id="rId12"/>
  </sheets>
  <definedNames>
    <definedName name="_xlnm._FilterDatabase" localSheetId="4" hidden="1">GANGA!$A$2:$H$56</definedName>
    <definedName name="_xlnm._FilterDatabase" localSheetId="3" hidden="1">'GANGA NEW PART'!$A$2:$G$34</definedName>
    <definedName name="_xlnm._FilterDatabase" localSheetId="1" hidden="1">'MODI &amp; CO'!$A$2:$H$2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9" i="7" l="1"/>
  <c r="N78" i="25"/>
  <c r="M93" i="25"/>
  <c r="K172" i="7"/>
  <c r="G46" i="21"/>
  <c r="K183" i="24"/>
  <c r="K215" i="24" s="1"/>
  <c r="D257" i="24"/>
  <c r="G257" i="24"/>
  <c r="C257" i="24"/>
  <c r="F257" i="24"/>
  <c r="K211" i="24" l="1"/>
  <c r="R66" i="25"/>
  <c r="G160" i="24"/>
  <c r="G154" i="24"/>
  <c r="G153" i="24"/>
  <c r="G141" i="24"/>
  <c r="G140" i="24"/>
  <c r="G83" i="25"/>
  <c r="G139" i="24"/>
  <c r="G138" i="24"/>
  <c r="G183" i="24" s="1"/>
  <c r="F90" i="25"/>
  <c r="K212" i="24"/>
  <c r="H257" i="24"/>
  <c r="K216" i="24" s="1"/>
  <c r="R66" i="17" l="1"/>
  <c r="N70" i="17"/>
  <c r="K210" i="24"/>
  <c r="G82" i="24"/>
  <c r="K199" i="24" s="1"/>
  <c r="G232" i="24"/>
  <c r="K201" i="24" s="1"/>
  <c r="K213" i="24" l="1"/>
  <c r="K217" i="24" s="1"/>
  <c r="H230" i="24"/>
  <c r="H229" i="24"/>
  <c r="H226" i="24"/>
  <c r="H225" i="24"/>
  <c r="F82" i="17"/>
  <c r="K80" i="24"/>
  <c r="K203" i="24" s="1"/>
  <c r="F81" i="25"/>
  <c r="G81" i="25" s="1"/>
  <c r="F81" i="17"/>
  <c r="G81" i="17" s="1"/>
  <c r="H232" i="24" l="1"/>
  <c r="K204" i="24" s="1"/>
  <c r="G71" i="25"/>
  <c r="F78" i="25"/>
  <c r="F77" i="25"/>
  <c r="F76" i="25"/>
  <c r="F74" i="25"/>
  <c r="F73" i="25"/>
  <c r="F72" i="25"/>
  <c r="F71" i="25"/>
  <c r="F70" i="25"/>
  <c r="F69" i="25"/>
  <c r="G69" i="25" s="1"/>
  <c r="F68" i="25"/>
  <c r="F67" i="25"/>
  <c r="F66" i="25"/>
  <c r="F65" i="25"/>
  <c r="G64" i="25"/>
  <c r="F64" i="25"/>
  <c r="G59" i="25"/>
  <c r="F34" i="25"/>
  <c r="F33" i="25"/>
  <c r="F59" i="25" s="1"/>
  <c r="F60" i="25" s="1"/>
  <c r="N28" i="25"/>
  <c r="R5" i="25"/>
  <c r="R6" i="25" s="1"/>
  <c r="R8" i="25" s="1"/>
  <c r="F78" i="17"/>
  <c r="F102" i="25" l="1"/>
  <c r="G102" i="25"/>
  <c r="R63" i="25" s="1"/>
  <c r="R67" i="25" s="1"/>
  <c r="G76" i="17"/>
  <c r="F77" i="17"/>
  <c r="F76" i="17"/>
  <c r="F74" i="17"/>
  <c r="F73" i="17"/>
  <c r="F72" i="17"/>
  <c r="F71" i="17"/>
  <c r="F70" i="17"/>
  <c r="F69" i="17"/>
  <c r="G69" i="17" s="1"/>
  <c r="G64" i="17"/>
  <c r="F68" i="17"/>
  <c r="F67" i="17"/>
  <c r="F65" i="17"/>
  <c r="F66" i="17"/>
  <c r="F64" i="17"/>
  <c r="G91" i="17" l="1"/>
  <c r="R63" i="17" s="1"/>
  <c r="R67" i="17" s="1"/>
  <c r="F91" i="17"/>
  <c r="D232" i="24"/>
  <c r="K200" i="24" s="1"/>
  <c r="C217" i="24"/>
  <c r="G45" i="24"/>
  <c r="K187" i="24" s="1"/>
  <c r="K46" i="24"/>
  <c r="K193" i="24"/>
  <c r="K202" i="24" l="1"/>
  <c r="K206" i="24" s="1"/>
  <c r="V67" i="17"/>
  <c r="E217" i="24"/>
  <c r="F209" i="24"/>
  <c r="F217" i="24" s="1"/>
  <c r="K189" i="24" s="1"/>
  <c r="D209" i="24"/>
  <c r="D217" i="24" l="1"/>
  <c r="K188" i="24" s="1"/>
  <c r="G7" i="23"/>
  <c r="G6" i="23"/>
  <c r="G9" i="23" s="1"/>
  <c r="G13" i="23" s="1"/>
  <c r="G105" i="16"/>
  <c r="G84" i="16"/>
  <c r="G59" i="17"/>
  <c r="R5" i="17"/>
  <c r="N28" i="17"/>
  <c r="J38" i="21"/>
  <c r="M5" i="21" s="1"/>
  <c r="H17" i="21"/>
  <c r="H21" i="21"/>
  <c r="H25" i="21"/>
  <c r="H26" i="21"/>
  <c r="H30" i="21"/>
  <c r="G38" i="21"/>
  <c r="K190" i="24" l="1"/>
  <c r="K194" i="24" s="1"/>
  <c r="M16" i="7"/>
  <c r="K45" i="7"/>
  <c r="M45" i="7" l="1"/>
  <c r="N26" i="7"/>
  <c r="N45" i="7" l="1"/>
  <c r="D5" i="14"/>
  <c r="H114" i="7" l="1"/>
  <c r="H104" i="7" l="1"/>
  <c r="M3" i="21" l="1"/>
  <c r="M4" i="21" s="1"/>
  <c r="H91" i="7" l="1"/>
  <c r="F33" i="17"/>
  <c r="F34" i="17"/>
  <c r="F59" i="17" l="1"/>
  <c r="F60" i="17" s="1"/>
  <c r="H14" i="21"/>
  <c r="H7" i="21"/>
  <c r="H2" i="21"/>
  <c r="M6" i="21" l="1"/>
  <c r="N27" i="7" l="1"/>
  <c r="N28" i="7" s="1"/>
  <c r="N29" i="7" s="1"/>
  <c r="N30" i="7" s="1"/>
  <c r="N31" i="7" s="1"/>
  <c r="N32" i="7" s="1"/>
  <c r="N33" i="7" s="1"/>
  <c r="N34" i="7" s="1"/>
  <c r="N35" i="7" s="1"/>
  <c r="R6" i="17" l="1"/>
  <c r="R8" i="17" s="1"/>
  <c r="H83" i="7" l="1"/>
  <c r="J85" i="7" s="1"/>
  <c r="N24" i="16" l="1"/>
  <c r="K27" i="16"/>
  <c r="K30" i="16" s="1"/>
  <c r="K31" i="16" s="1"/>
  <c r="N28" i="16"/>
  <c r="N29" i="16" s="1"/>
  <c r="N31" i="16" s="1"/>
  <c r="G7" i="14" l="1"/>
  <c r="M17" i="7" l="1"/>
  <c r="M18" i="7" s="1"/>
  <c r="M19" i="7" s="1"/>
  <c r="M20" i="7" s="1"/>
  <c r="M21" i="7" s="1"/>
  <c r="H32" i="16"/>
  <c r="H31" i="16"/>
  <c r="H17" i="16"/>
  <c r="H33" i="16"/>
  <c r="H28" i="16"/>
  <c r="H27" i="16"/>
  <c r="H23" i="16"/>
  <c r="H22" i="16"/>
  <c r="H21" i="16"/>
  <c r="H19" i="16"/>
  <c r="H11" i="16"/>
  <c r="H10" i="16"/>
  <c r="H8" i="16"/>
  <c r="H7" i="16"/>
  <c r="H6" i="16"/>
  <c r="H5" i="16"/>
  <c r="H30" i="16"/>
  <c r="H29" i="16"/>
  <c r="H26" i="16"/>
  <c r="H25" i="16"/>
  <c r="H24" i="16"/>
  <c r="H20" i="16"/>
  <c r="H18" i="16"/>
  <c r="H15" i="16"/>
  <c r="H14" i="16"/>
  <c r="H13" i="16"/>
  <c r="H12" i="16"/>
  <c r="H9" i="16"/>
  <c r="H4" i="16"/>
  <c r="H3" i="16"/>
  <c r="K48" i="16" l="1"/>
  <c r="K50" i="16" s="1"/>
  <c r="K52" i="16" s="1"/>
  <c r="N43" i="16"/>
  <c r="N42" i="16"/>
  <c r="O42" i="16" s="1"/>
  <c r="N41" i="16"/>
  <c r="O41" i="16" s="1"/>
  <c r="O40" i="16"/>
  <c r="O44" i="16" l="1"/>
  <c r="E28" i="18" l="1"/>
  <c r="E32" i="18" l="1"/>
  <c r="E35" i="18"/>
  <c r="E34" i="18"/>
  <c r="E33" i="18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l="1"/>
  <c r="A22" i="18" s="1"/>
  <c r="A23" i="18" s="1"/>
  <c r="A24" i="18" s="1"/>
  <c r="A25" i="18" s="1"/>
  <c r="A26" i="18" s="1"/>
  <c r="A27" i="18" s="1"/>
  <c r="G55" i="16"/>
  <c r="G54" i="16"/>
  <c r="G53" i="16"/>
  <c r="G52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H41" i="7" l="1"/>
  <c r="N5" i="16" l="1"/>
  <c r="N4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l="1"/>
  <c r="A49" i="16" s="1"/>
  <c r="A50" i="16" s="1"/>
  <c r="A51" i="16" s="1"/>
  <c r="A52" i="16" s="1"/>
  <c r="A53" i="16" s="1"/>
  <c r="A54" i="16" s="1"/>
  <c r="A55" i="16" s="1"/>
  <c r="D15" i="14"/>
  <c r="D6" i="14"/>
  <c r="E63" i="7" l="1"/>
  <c r="F42" i="13" l="1"/>
  <c r="E42" i="13"/>
  <c r="G16" i="13" l="1"/>
  <c r="G34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E29" i="7" l="1"/>
  <c r="H11" i="7" l="1"/>
</calcChain>
</file>

<file path=xl/sharedStrings.xml><?xml version="1.0" encoding="utf-8"?>
<sst xmlns="http://schemas.openxmlformats.org/spreadsheetml/2006/main" count="2920" uniqueCount="584">
  <si>
    <t>TIZIT SIDE WORK ALL PARTY METARIALS DETAILS</t>
  </si>
  <si>
    <t xml:space="preserve">SR NO </t>
  </si>
  <si>
    <t>DATE</t>
  </si>
  <si>
    <t>LOCATION</t>
  </si>
  <si>
    <t>MATERILAS</t>
  </si>
  <si>
    <t>TRUCK NO</t>
  </si>
  <si>
    <t>QTY</t>
  </si>
  <si>
    <t>UNIT</t>
  </si>
  <si>
    <t>AMOUNT INCLUDING GST</t>
  </si>
  <si>
    <t>MAR 24-25</t>
  </si>
  <si>
    <t>Shree laxmi to ss office for (tizit)</t>
  </si>
  <si>
    <t>PLATE 16MM</t>
  </si>
  <si>
    <t>WB03C6857</t>
  </si>
  <si>
    <t>KGS</t>
  </si>
  <si>
    <t>FLAT (200X10)</t>
  </si>
  <si>
    <t>FLAT (150X10)</t>
  </si>
  <si>
    <t>PIPE (72X72)</t>
  </si>
  <si>
    <t>WB23C4875</t>
  </si>
  <si>
    <t>PIPE (38X38)</t>
  </si>
  <si>
    <t>PIPE (60X40)</t>
  </si>
  <si>
    <t>PLATE 8MM</t>
  </si>
  <si>
    <t>FLAT (65X8)</t>
  </si>
  <si>
    <t>ANGEL (35X35X5)</t>
  </si>
  <si>
    <t>JOIST/BEAM (200X100)</t>
  </si>
  <si>
    <t>PIPE (150X150)</t>
  </si>
  <si>
    <t>WB26J9184</t>
  </si>
  <si>
    <t>PIPE (38X38),(60X40)</t>
  </si>
  <si>
    <t>TOTAL</t>
  </si>
  <si>
    <t>APRIL 24-25</t>
  </si>
  <si>
    <t>JAGADAMBA H/W TO TIZIT</t>
  </si>
  <si>
    <t>RED BRICKS</t>
  </si>
  <si>
    <t>AS23D6407</t>
  </si>
  <si>
    <t>PCS</t>
  </si>
  <si>
    <t xml:space="preserve">CEMENT </t>
  </si>
  <si>
    <t>AS04AC9238</t>
  </si>
  <si>
    <t>BAGS</t>
  </si>
  <si>
    <t xml:space="preserve">G.P Corrugation </t>
  </si>
  <si>
    <t>NL01K3123</t>
  </si>
  <si>
    <t>G.P Ridging</t>
  </si>
  <si>
    <t xml:space="preserve">RUPESH SINGH TI TIZIT </t>
  </si>
  <si>
    <t xml:space="preserve">SAND </t>
  </si>
  <si>
    <t>CFT</t>
  </si>
  <si>
    <t>MAY 24-25</t>
  </si>
  <si>
    <t xml:space="preserve">GANGA YADAV TO TIZIT </t>
  </si>
  <si>
    <t>SAND</t>
  </si>
  <si>
    <t xml:space="preserve">MODI &amp; CO  (145p+145p) </t>
  </si>
  <si>
    <t>SHEET</t>
  </si>
  <si>
    <t>STONE</t>
  </si>
  <si>
    <t>JUNE 24-25</t>
  </si>
  <si>
    <t>WBM</t>
  </si>
  <si>
    <t>-</t>
  </si>
  <si>
    <t xml:space="preserve">MODI &amp; CO TO TIZIT </t>
  </si>
  <si>
    <t>STONE DUST</t>
  </si>
  <si>
    <t xml:space="preserve">NIKHIL H/W TO TIZIT (240P) </t>
  </si>
  <si>
    <t>TMT - 8MM</t>
  </si>
  <si>
    <t>JAGADAMBA H/W TO TIZIT GP</t>
  </si>
  <si>
    <t>JULY 24-25</t>
  </si>
  <si>
    <t>MODI &amp; CO</t>
  </si>
  <si>
    <t>M.S PIPE (72 X 72)</t>
  </si>
  <si>
    <t>M.S PIPE (40 X 40)</t>
  </si>
  <si>
    <t>M.S PIPE (60 X 40)</t>
  </si>
  <si>
    <t>M.S FLAT BAR ( 200 X 10)</t>
  </si>
  <si>
    <t>M.S FLAT BAR ( 50 X 10)</t>
  </si>
  <si>
    <t>M.S ANGLE ( 40 X 40 X 5)</t>
  </si>
  <si>
    <t>M.S ROD 12 MM</t>
  </si>
  <si>
    <t>M.S ROD 10 MM</t>
  </si>
  <si>
    <t>M.S ROD 16 MM</t>
  </si>
  <si>
    <t>FOUNDATION BOLT</t>
  </si>
  <si>
    <t>WASHER</t>
  </si>
  <si>
    <t>MODI &amp; CO ( TOTAL -9615 KGS)</t>
  </si>
  <si>
    <t>M.S PIPE (50 X 50)</t>
  </si>
  <si>
    <t>M.S BEAM (6" X 3'')</t>
  </si>
  <si>
    <t>M.S BEAM (8" X 4'')</t>
  </si>
  <si>
    <t>AUG 24-25</t>
  </si>
  <si>
    <t>MODI &amp; CO (16'-176p,14'-88p,12'-44p,Rdg-10'-42p)</t>
  </si>
  <si>
    <t>Aluzinc GC Sheet</t>
  </si>
  <si>
    <t xml:space="preserve">MODI &amp; CO </t>
  </si>
  <si>
    <t>0.50mm*18' Baregalvalume</t>
  </si>
  <si>
    <t>unknown</t>
  </si>
  <si>
    <t>217P</t>
  </si>
  <si>
    <t xml:space="preserve">M.S ROD 8MM </t>
  </si>
  <si>
    <t xml:space="preserve">M.S ROD 10 MM </t>
  </si>
  <si>
    <t>KG</t>
  </si>
  <si>
    <t>M.S WIRE</t>
  </si>
  <si>
    <t>SEP 24-25</t>
  </si>
  <si>
    <t>29.08.2024</t>
  </si>
  <si>
    <t>30.08.2024</t>
  </si>
  <si>
    <t>31.08.2024</t>
  </si>
  <si>
    <t>02.09.2024</t>
  </si>
  <si>
    <t>03.09.2024</t>
  </si>
  <si>
    <t>04.09.2024</t>
  </si>
  <si>
    <t>05.09.2024</t>
  </si>
  <si>
    <t>06.09.2024</t>
  </si>
  <si>
    <t>16.09.2024</t>
  </si>
  <si>
    <t>19.09.2024</t>
  </si>
  <si>
    <t>BRIKS</t>
  </si>
  <si>
    <t>20.09.2024</t>
  </si>
  <si>
    <t xml:space="preserve">GANGA YADAV 29.08.2024 TO30.09.2024 </t>
  </si>
  <si>
    <t xml:space="preserve">TOTAL </t>
  </si>
  <si>
    <t>TRIP</t>
  </si>
  <si>
    <t xml:space="preserve">                                                                                            </t>
  </si>
  <si>
    <r>
      <t>TOTAL SHORT DETAILS</t>
    </r>
    <r>
      <rPr>
        <b/>
        <sz val="11"/>
        <color theme="1"/>
        <rFont val="Arial Black"/>
        <family val="2"/>
      </rPr>
      <t>(29-08-24 TO 30-09-24)</t>
    </r>
  </si>
  <si>
    <t>MODI &amp; CO (18'-217p)</t>
  </si>
  <si>
    <t>0.50mm Baregalvalume</t>
  </si>
  <si>
    <t>MODI &amp; CO ( TOTAL -9145 KGS)</t>
  </si>
  <si>
    <t>M.S ROD 8MM (8095)</t>
  </si>
  <si>
    <t>M.S ROD 10 MM (330)</t>
  </si>
  <si>
    <t>M.S ROD 12 MM (745)</t>
  </si>
  <si>
    <t>M.S WIRE  (4 ROLL-100)</t>
  </si>
  <si>
    <t>SOLID SQUARE BAR</t>
  </si>
  <si>
    <t>MS PIPE(40*40)160 PCS</t>
  </si>
  <si>
    <t>MS PIPE(72*72)26 PCS</t>
  </si>
  <si>
    <t>MS PIPE(60*40)60 PCS</t>
  </si>
  <si>
    <t>M.S ANGEL (50*50*5))20PCS</t>
  </si>
  <si>
    <t>M.S BEEM (8"*4")4PCS</t>
  </si>
  <si>
    <t>SELF DRILLING SCREW(55MM)</t>
  </si>
  <si>
    <t>MODI  &amp; CO</t>
  </si>
  <si>
    <t>MS PIPE(50*50*2.8)35 PCS</t>
  </si>
  <si>
    <t>MS PIPE(40*40*2)15 PCS</t>
  </si>
  <si>
    <t>MS PIPE OD 48-5 PCS</t>
  </si>
  <si>
    <t>MS PIPE OD 42-5 PCS</t>
  </si>
  <si>
    <t>16'*.300M=4.88*1.08*176PCS=927.59M2</t>
  </si>
  <si>
    <t xml:space="preserve">14'*.300M=4.20*1.08*88PCS=399.168M2 </t>
  </si>
  <si>
    <t>12'*.300M=3.60*1.08*44PCS=171.07M2</t>
  </si>
  <si>
    <t>10'*.300M=3.00*1.08*42PCS=136.08M2</t>
  </si>
  <si>
    <t>ADV</t>
  </si>
  <si>
    <t>AMT</t>
  </si>
  <si>
    <t>TOTAL AMT</t>
  </si>
  <si>
    <t>SHEED</t>
  </si>
  <si>
    <t xml:space="preserve">NAGA </t>
  </si>
  <si>
    <t>M2</t>
  </si>
  <si>
    <t>TMT</t>
  </si>
  <si>
    <t>RAL LINE</t>
  </si>
  <si>
    <t>STORE</t>
  </si>
  <si>
    <t>18'*.300M=5.40*1.08*217PCS=1265.54M2</t>
  </si>
  <si>
    <t>SI NO.</t>
  </si>
  <si>
    <t>PARTY NAME</t>
  </si>
  <si>
    <t>METARIAL</t>
  </si>
  <si>
    <t>UOM</t>
  </si>
  <si>
    <t xml:space="preserve">METARIAL </t>
  </si>
  <si>
    <t>TOTAL QTY</t>
  </si>
  <si>
    <t>MS PIPE (38*38)100 PCS</t>
  </si>
  <si>
    <t>MS ANGEL (25*25*3)64PCS</t>
  </si>
  <si>
    <t>MS FLAT BAR (25*3)28 PCS</t>
  </si>
  <si>
    <t>MS ROAD 8MM 92 B</t>
  </si>
  <si>
    <t>MS SQUARE BAR(50*50)15PCS</t>
  </si>
  <si>
    <t>MS BEAM(6"*3")3PCS</t>
  </si>
  <si>
    <t>HR SHEET (8*4*10MM)1PCS</t>
  </si>
  <si>
    <t>18'*.300M=5.40*1.08*40PCS=233.28 M2</t>
  </si>
  <si>
    <t>16'*.300M=4.88*1.08*80PCS=421.632 M2</t>
  </si>
  <si>
    <t>14'*.300M=4.20*1.08*50 PCS=226.80 M2</t>
  </si>
  <si>
    <t>12'*.300M=3.60*1.08*140PCS=544.32 M2</t>
  </si>
  <si>
    <t>10'*.300M=3.00*1.08*66PCS=213.84 M2</t>
  </si>
  <si>
    <t>G.C. SHEET 0.40MM</t>
  </si>
  <si>
    <t>MS PIPE 72X72-6 PCS</t>
  </si>
  <si>
    <t xml:space="preserve">GREENPLY </t>
  </si>
  <si>
    <t>GREENPLY</t>
  </si>
  <si>
    <t>SHEET DETAILS</t>
  </si>
  <si>
    <t>BILLING AMT</t>
  </si>
  <si>
    <t>BILLING QTY</t>
  </si>
  <si>
    <t>17.07.2024-05.10.2024</t>
  </si>
  <si>
    <t>28.10.2024</t>
  </si>
  <si>
    <t>SHEET DETAILS 17.07.2024-05.10.2024</t>
  </si>
  <si>
    <t>CLOSE</t>
  </si>
  <si>
    <t>30.10.2024</t>
  </si>
  <si>
    <t>07.11.2024</t>
  </si>
  <si>
    <t>SI NO</t>
  </si>
  <si>
    <t xml:space="preserve">SI NO </t>
  </si>
  <si>
    <t>JAGDAMBA 06.11.2024 TO TILL</t>
  </si>
  <si>
    <t>GST</t>
  </si>
  <si>
    <t>06.11.2024</t>
  </si>
  <si>
    <t>BRICKS</t>
  </si>
  <si>
    <t>TRAN/LOA/UNLOA</t>
  </si>
  <si>
    <t>BOX PIPE</t>
  </si>
  <si>
    <t>CEMENT</t>
  </si>
  <si>
    <t>BAG</t>
  </si>
  <si>
    <t>SHIDE</t>
  </si>
  <si>
    <t>MODI &amp;CO</t>
  </si>
  <si>
    <t>BLOCK BRICKS</t>
  </si>
  <si>
    <t>18.11.2024</t>
  </si>
  <si>
    <r>
      <t>TOTAL SHORT DETAILS</t>
    </r>
    <r>
      <rPr>
        <b/>
        <sz val="11"/>
        <color theme="1"/>
        <rFont val="Arial Black"/>
        <family val="2"/>
      </rPr>
      <t>(30-09-24 TO 20.11.24)</t>
    </r>
  </si>
  <si>
    <t>TOTAL DUE</t>
  </si>
  <si>
    <t>A</t>
  </si>
  <si>
    <t>B</t>
  </si>
  <si>
    <t>A+B</t>
  </si>
  <si>
    <t xml:space="preserve">METARIAL NOT RECIVED </t>
  </si>
  <si>
    <t>GANGA YADAV METARIAL DETAILS(30-09-2024 TO 20-11-2024)</t>
  </si>
  <si>
    <t>PRIVIUOS DUE 27.09.24</t>
  </si>
  <si>
    <t>TOTAL DUE AMT</t>
  </si>
  <si>
    <t>PAYMENT( 27.09.24 TO 21.11.24)</t>
  </si>
  <si>
    <t>PRESENT AMT(27.09.24 TO 21.11.2024)</t>
  </si>
  <si>
    <r>
      <t xml:space="preserve">TOTAL SHORT DETAILS GANGA YADAV </t>
    </r>
    <r>
      <rPr>
        <b/>
        <sz val="11"/>
        <color theme="1"/>
        <rFont val="Arial Black"/>
        <family val="2"/>
      </rPr>
      <t>(30-09-24 TO 20.11.24)</t>
    </r>
  </si>
  <si>
    <t>PAYMENT HISTORY</t>
  </si>
  <si>
    <t>09.10.2024</t>
  </si>
  <si>
    <t>OLD BOOK</t>
  </si>
  <si>
    <t xml:space="preserve"> PAYMENT 12.11.2024</t>
  </si>
  <si>
    <t xml:space="preserve"> PAYMENT 21.11.2024</t>
  </si>
  <si>
    <t>TOTAL NEW PAYMENT</t>
  </si>
  <si>
    <t>PRESENT DUE</t>
  </si>
  <si>
    <t>TOTAL PRESENT AMT</t>
  </si>
  <si>
    <t>TOTAL PAYMENT</t>
  </si>
  <si>
    <t>TOTAL PAY (09.10.24)</t>
  </si>
  <si>
    <t>TOTAL PRIVIOUS DUE (27.09.24)</t>
  </si>
  <si>
    <t>PRIVIOUS OLD DUE</t>
  </si>
  <si>
    <t>NEW  BOOK</t>
  </si>
  <si>
    <t>23.11.2024 PAYMENT</t>
  </si>
  <si>
    <t xml:space="preserve">TOTAL PAYMENT COMPLET </t>
  </si>
  <si>
    <t>PAYMENT 23.11.24</t>
  </si>
  <si>
    <t>TOTAL  PAYMENT COMPLET (TILL DT TO 07.11.2024)</t>
  </si>
  <si>
    <t>FUL AND FINAL PAYMENT COMPLET (TILL DT TO 07.11.2024)</t>
  </si>
  <si>
    <t>PAYMENT DETAILS</t>
  </si>
  <si>
    <t>21.11.2024</t>
  </si>
  <si>
    <t>22.11.2024</t>
  </si>
  <si>
    <t>PAYMENT</t>
  </si>
  <si>
    <t>14.11.2024</t>
  </si>
  <si>
    <t>17.12.2024</t>
  </si>
  <si>
    <t>16'</t>
  </si>
  <si>
    <t>MODI &amp; CO 146+146</t>
  </si>
  <si>
    <t>MODI &amp; CO (16'-146p,18'-146 P)</t>
  </si>
  <si>
    <t>16'*.300MM=4.88*1.08*146PCS=769.478</t>
  </si>
  <si>
    <t>18'*.300MM=5.40*1.08*146PCS=851.472</t>
  </si>
  <si>
    <t>G.C SHEET</t>
  </si>
  <si>
    <t>19.12.2024</t>
  </si>
  <si>
    <t>31.12.2024</t>
  </si>
  <si>
    <t>28.12.2024</t>
  </si>
  <si>
    <t>MS BEAM (150MM -8PCS)</t>
  </si>
  <si>
    <t>MS PIPE 72*72-47PCS</t>
  </si>
  <si>
    <t>MS PIPE 40*40*2.1MM-55PCS</t>
  </si>
  <si>
    <t>MS PIPE 50*50*2.8MM-14PCS</t>
  </si>
  <si>
    <t>MS BEAM 125MM-4PCS</t>
  </si>
  <si>
    <t>HR PLATE 8MM 8*4-1PCS</t>
  </si>
  <si>
    <t>COLOUR SHEET 0.45MM(12'-28PCS)(14'-38PCS)</t>
  </si>
  <si>
    <t>12'*.300M=3.60*1.08*28 PCS=108.64M2</t>
  </si>
  <si>
    <t>14'*.300M=4.20*1.08*38PCS=172.368M2</t>
  </si>
  <si>
    <t>07.01.2025</t>
  </si>
  <si>
    <t>NEW PART(KAMAKHYA STONE CRUSHER)</t>
  </si>
  <si>
    <t xml:space="preserve">KAMAKHYA </t>
  </si>
  <si>
    <t>12.01.2025</t>
  </si>
  <si>
    <t>LOCAL PURCHES NABIN</t>
  </si>
  <si>
    <t>13.01.2025</t>
  </si>
  <si>
    <t>20.01.2025</t>
  </si>
  <si>
    <t>CEMENT(DALMIA)</t>
  </si>
  <si>
    <t>13.12.2024</t>
  </si>
  <si>
    <t>23.01.2025</t>
  </si>
  <si>
    <t>24.01.2025</t>
  </si>
  <si>
    <t>TMT 12MM</t>
  </si>
  <si>
    <t>22.01.2025</t>
  </si>
  <si>
    <t>25.01.2025</t>
  </si>
  <si>
    <t>31.01.2025</t>
  </si>
  <si>
    <t>30.01.2025</t>
  </si>
  <si>
    <t>05.02.2025</t>
  </si>
  <si>
    <t>06.02.2025</t>
  </si>
  <si>
    <t>08.02.2025</t>
  </si>
  <si>
    <t>14.02.2025</t>
  </si>
  <si>
    <t>TMT 8MM</t>
  </si>
  <si>
    <t>11.02.2025</t>
  </si>
  <si>
    <t>25.02.2025</t>
  </si>
  <si>
    <t>MS PIPE 72x72-28 PCS</t>
  </si>
  <si>
    <t>MS PIPE 50x50-15 PCS</t>
  </si>
  <si>
    <t>MS PIPE 40x40-20 PCS</t>
  </si>
  <si>
    <t>MS PIPE 60x40-88 PCS</t>
  </si>
  <si>
    <t>MS ROAD 8MM-10B</t>
  </si>
  <si>
    <t>MS PLATE 1500X2100X16MM</t>
  </si>
  <si>
    <t>COLOUR SHEET 0.45MM(16'-8PCS)(14'-16PCS)</t>
  </si>
  <si>
    <t>GC SHEET 0.40MM(20'-85PCS)</t>
  </si>
  <si>
    <t>14'*300M=4.20*1.08*16PCS=72.576 M2</t>
  </si>
  <si>
    <t>16'*300M=4.80*1.08*8PCS=41.472 M2</t>
  </si>
  <si>
    <t>26.02.2025</t>
  </si>
  <si>
    <t>J.S</t>
  </si>
  <si>
    <t>bag</t>
  </si>
  <si>
    <t>cement(duro prime)</t>
  </si>
  <si>
    <t>10.01.2024</t>
  </si>
  <si>
    <t>11.04.2025</t>
  </si>
  <si>
    <t>IDBI</t>
  </si>
  <si>
    <t>15.05.2024</t>
  </si>
  <si>
    <t>CASH</t>
  </si>
  <si>
    <t>18.06.2024</t>
  </si>
  <si>
    <t>31.07.2024</t>
  </si>
  <si>
    <t>14.08.2024</t>
  </si>
  <si>
    <t>20.07.2024</t>
  </si>
  <si>
    <t>UJJIVAN</t>
  </si>
  <si>
    <t>28.08.2024</t>
  </si>
  <si>
    <t>11.11.2024</t>
  </si>
  <si>
    <t>JAGDAMBA PAYMENT</t>
  </si>
  <si>
    <t>A PART BILL</t>
  </si>
  <si>
    <t>B PART BILL</t>
  </si>
  <si>
    <t>BILL DETAILS FIRST TO TILL</t>
  </si>
  <si>
    <t>TOTAL BILL</t>
  </si>
  <si>
    <t>28.02.2025</t>
  </si>
  <si>
    <t xml:space="preserve">DATE </t>
  </si>
  <si>
    <t>PAYMENT DATE</t>
  </si>
  <si>
    <t>AMOUNT</t>
  </si>
  <si>
    <t>DUE</t>
  </si>
  <si>
    <t>10.02.2025</t>
  </si>
  <si>
    <t>TMT 10MM</t>
  </si>
  <si>
    <t>TMT 16MM</t>
  </si>
  <si>
    <t>16.02.2025</t>
  </si>
  <si>
    <t>TMT 25MM</t>
  </si>
  <si>
    <t>TIZIT J.S</t>
  </si>
  <si>
    <t>J.S (S.M INTORIAR)</t>
  </si>
  <si>
    <t>J.S ENTERPRISE</t>
  </si>
  <si>
    <t>20'*300M=6*1.08*85PCS=550.80 M2</t>
  </si>
  <si>
    <t>01.03.2025</t>
  </si>
  <si>
    <t>08.03.2025</t>
  </si>
  <si>
    <t>04.03.2025</t>
  </si>
  <si>
    <t>21.02.2025</t>
  </si>
  <si>
    <t>05.03.2025</t>
  </si>
  <si>
    <t>11.03.2025</t>
  </si>
  <si>
    <t>19.03.2025</t>
  </si>
  <si>
    <t>ANGEL 40*40</t>
  </si>
  <si>
    <t>20.03.2025</t>
  </si>
  <si>
    <t>21.03.2025</t>
  </si>
  <si>
    <t xml:space="preserve">BRICKS CASH </t>
  </si>
  <si>
    <t>SAND CASH</t>
  </si>
  <si>
    <t>18.03.2025</t>
  </si>
  <si>
    <t>MS PIPE 72x72-35 PCS</t>
  </si>
  <si>
    <t>MS PIPE 50x50-20 PCS</t>
  </si>
  <si>
    <t>MS PIPE 40x40-55 PCS</t>
  </si>
  <si>
    <t>HR PLATE 8*4*12MM-1PCS</t>
  </si>
  <si>
    <t>MS BEEM 10"-8PCS</t>
  </si>
  <si>
    <t>M.S FLAT BAR 100*6-1PCS</t>
  </si>
  <si>
    <t>M.S PIPE 60*60-62 PCS</t>
  </si>
  <si>
    <t>MS BEAM 8*4+3PCS</t>
  </si>
  <si>
    <t>FOUNDATION BOLT 2'*25MM-32 PCS</t>
  </si>
  <si>
    <t>13.03.2025</t>
  </si>
  <si>
    <t>22.03.2025</t>
  </si>
  <si>
    <t>SL NO</t>
  </si>
  <si>
    <t>REMARKS</t>
  </si>
  <si>
    <t>A PART BILL LESS</t>
  </si>
  <si>
    <t>10.04.2025</t>
  </si>
  <si>
    <t>SUMMERY</t>
  </si>
  <si>
    <t>01.04.2025</t>
  </si>
  <si>
    <t>MS BEAM 250*125 9PCS</t>
  </si>
  <si>
    <t>MS PIPE</t>
  </si>
  <si>
    <t>MS BEAM</t>
  </si>
  <si>
    <t>JS</t>
  </si>
  <si>
    <t>MS PIPE 72*72</t>
  </si>
  <si>
    <t>MS PIPE 50*50</t>
  </si>
  <si>
    <t>MS PIPE 40*40</t>
  </si>
  <si>
    <t>MS CHANNEL 125*65</t>
  </si>
  <si>
    <t xml:space="preserve"> </t>
  </si>
  <si>
    <t>HOLO 60*40-25 PCS</t>
  </si>
  <si>
    <t>ALUMINIUM ROLLED 24*4'</t>
  </si>
  <si>
    <t xml:space="preserve">M.S ANGLE 40*40*5-20PCS </t>
  </si>
  <si>
    <t>GC SHEET 0.40MM(18'-155PCS,20'-270PCS)</t>
  </si>
  <si>
    <t>COLOUR SHEET0.40 MM(10'-68 PCS)</t>
  </si>
  <si>
    <t>GC SHEET</t>
  </si>
  <si>
    <t>18'*.300MM=5.40*1.08*155PCS=903.96 M2</t>
  </si>
  <si>
    <t>20'*.300MM=6*1.08*270 PCS =1749.60 M2</t>
  </si>
  <si>
    <t>10'*.300 MM=3*1.08*68 PCS=220.32 M2</t>
  </si>
  <si>
    <t>AMIT</t>
  </si>
  <si>
    <t>WRONG BILL</t>
  </si>
  <si>
    <t>Sand</t>
  </si>
  <si>
    <t>Cft</t>
  </si>
  <si>
    <t>MODI &amp; CO - (BILL AMT - 3,92,393)</t>
  </si>
  <si>
    <t>M.S PIPE 40*40-50P</t>
  </si>
  <si>
    <t>M.S PIPE 72*72-33P</t>
  </si>
  <si>
    <t>M.S ROD - 8MM-40B</t>
  </si>
  <si>
    <t>M.S ROD - 16MM-10B</t>
  </si>
  <si>
    <t>M.S ROD - 10MM-20B</t>
  </si>
  <si>
    <t>M.S ROD - 12MM-20B</t>
  </si>
  <si>
    <t>MODI &amp; CO - (BILL AMT - 3,40,150)</t>
  </si>
  <si>
    <t>M.S ROD - 10MM-41B</t>
  </si>
  <si>
    <t>M.S ROD - 12MM-64B</t>
  </si>
  <si>
    <t>M.S PIPE(LIGHT) 40*40-20P</t>
  </si>
  <si>
    <t>M.S PIPE(HEAVY) 40*40-20P</t>
  </si>
  <si>
    <t>PURCHASE</t>
  </si>
  <si>
    <t>C PART BILL - TILL DATE</t>
  </si>
  <si>
    <t>MODI &amp; CO - ( BILL AMT-5,22,012)</t>
  </si>
  <si>
    <t>M.S PIPE 60*40-140P</t>
  </si>
  <si>
    <t>M.S PLATE 10MM (8*4)-1P</t>
  </si>
  <si>
    <t>M.S PLATE 12MM (4*4)-1P</t>
  </si>
  <si>
    <t>M.S PLATE 16MM (400MM*400MM)-5P</t>
  </si>
  <si>
    <t>SELF SCREW-55MM</t>
  </si>
  <si>
    <t xml:space="preserve">Bare Galvalume </t>
  </si>
  <si>
    <t>Sqm</t>
  </si>
  <si>
    <t xml:space="preserve">Aluzinc GC Sheet </t>
  </si>
  <si>
    <t xml:space="preserve">BILL DETAILS </t>
  </si>
  <si>
    <t xml:space="preserve">PAYMENT DETAILS </t>
  </si>
  <si>
    <t>FULL PAID</t>
  </si>
  <si>
    <t>SS-PAYMENT</t>
  </si>
  <si>
    <t xml:space="preserve">MODI-BILL </t>
  </si>
  <si>
    <t xml:space="preserve">DUE BALANCE </t>
  </si>
  <si>
    <t>MODI &amp; CO DETAILS PAYMENT- SS ENTERPRISE</t>
  </si>
  <si>
    <t>J.S ENTERPRISE-BILLING PART</t>
  </si>
  <si>
    <t>OTHER'S BILL TELL BY DADA</t>
  </si>
  <si>
    <t>MODI &amp; CO - (BILL AMT - 57,612)</t>
  </si>
  <si>
    <t>M.S PIPE 40*40-30P</t>
  </si>
  <si>
    <t>M.S PIPE 60*40-21P</t>
  </si>
  <si>
    <t>FOUNDATION BOLTS IRON 25*18-12P</t>
  </si>
  <si>
    <t>MODI &amp; CO - (BILL AMT - 3,43,220)</t>
  </si>
  <si>
    <t>Aluzinc GC Sheet (3925.3 Kgs)</t>
  </si>
  <si>
    <t>MODI &amp; CO - (BILL AMT - 432)</t>
  </si>
  <si>
    <t>Aluzinc GC Sheet (4.9 Kgs)</t>
  </si>
  <si>
    <t xml:space="preserve">TMT 16MM </t>
  </si>
  <si>
    <t>CEMENT(SHAKTI)</t>
  </si>
  <si>
    <t>PAYMENT- all clear jagadamba payment upto 31.12.24</t>
  </si>
  <si>
    <t xml:space="preserve">TOTAL DUE </t>
  </si>
  <si>
    <t xml:space="preserve">STONE </t>
  </si>
  <si>
    <t>OLD DUE - UP TO 20.10.25 PAYMENT</t>
  </si>
  <si>
    <t>CURRENT DUE UPTO - TILL 07.08.25</t>
  </si>
  <si>
    <t>TOTAL PAYMENT UPTO - TILL 07.08.25</t>
  </si>
  <si>
    <t>NO DUE UPTO-7/8/25 FULL &amp; FINAL PAID</t>
  </si>
  <si>
    <t>TOTAL DUE (EXTRA PAID)</t>
  </si>
  <si>
    <t xml:space="preserve">GANGA </t>
  </si>
  <si>
    <t>GANGA YADAV (WBM)</t>
  </si>
  <si>
    <t xml:space="preserve">GANGA TO TIZIT </t>
  </si>
  <si>
    <t>GANGA TO TIZIT</t>
  </si>
  <si>
    <t xml:space="preserve">GANGA YADAV </t>
  </si>
  <si>
    <t>stone chips</t>
  </si>
  <si>
    <t>GANGA TO GREEN PLY</t>
  </si>
  <si>
    <t>WMB</t>
  </si>
  <si>
    <t>SAND 400</t>
  </si>
  <si>
    <t>METAL 400</t>
  </si>
  <si>
    <t>METAL</t>
  </si>
  <si>
    <t xml:space="preserve">STONE DUST </t>
  </si>
  <si>
    <t xml:space="preserve">stone chips </t>
  </si>
  <si>
    <t>SANJU A/C-IDBI-8578-NILAM DEVI</t>
  </si>
  <si>
    <t>DIDI A/C-ICICI-0259-GANGA DAYAL</t>
  </si>
  <si>
    <t>DIDI A/C-IDBI-4749-NILAM DEVI</t>
  </si>
  <si>
    <t>DIDI A/C-ICICI-0259-NILAM DEVI</t>
  </si>
  <si>
    <t xml:space="preserve">NEW PART-GANGA </t>
  </si>
  <si>
    <t>DESCRIPTION</t>
  </si>
  <si>
    <t>JCB</t>
  </si>
  <si>
    <t>RATE</t>
  </si>
  <si>
    <t>DAYS</t>
  </si>
  <si>
    <t>DUMPER</t>
  </si>
  <si>
    <t>22.05.25 TO 02.08.25 TOTAL MATERILAS</t>
  </si>
  <si>
    <t>TOTAL :(R.S)</t>
  </si>
  <si>
    <t>LESS : PAYMENT (OIL)-(R.S)</t>
  </si>
  <si>
    <t>LESS : OLD PAYMENT (R.S)</t>
  </si>
  <si>
    <t>GANGA YADAV DETAILS UPTO - 08.08.25</t>
  </si>
  <si>
    <t>GROSS DUE AMOUNT :(R.S)</t>
  </si>
  <si>
    <t>LESS : NEW PAYMENT (TOTAL):(R.S)</t>
  </si>
  <si>
    <t>OLD PAYMENT</t>
  </si>
  <si>
    <t>SANJU A/C-IDBI-8578-TO-NILAM DEVI</t>
  </si>
  <si>
    <t>GANGA -MATERIALS</t>
  </si>
  <si>
    <t xml:space="preserve">Date </t>
  </si>
  <si>
    <t>OIL GIVEN BY J S</t>
  </si>
  <si>
    <t>JCB-AMT</t>
  </si>
  <si>
    <t>Dum-AMT</t>
  </si>
  <si>
    <t>Description</t>
  </si>
  <si>
    <t>Amount</t>
  </si>
  <si>
    <t xml:space="preserve">Total Payment </t>
  </si>
  <si>
    <t>Materials Value upto - 22.05.25 to 02.08.25</t>
  </si>
  <si>
    <t>Jcb Value Upto- 19.05.25 to 04.08.25</t>
  </si>
  <si>
    <t>Dumper Value Upto-21.05.25 to 02.08.25</t>
  </si>
  <si>
    <t>Less :</t>
  </si>
  <si>
    <t>Oil Given By J.S</t>
  </si>
  <si>
    <t xml:space="preserve">Old Payment </t>
  </si>
  <si>
    <t>New Payments</t>
  </si>
  <si>
    <t>Total Amount :</t>
  </si>
  <si>
    <t>Manira Bibi A/C-IDBI-4749-TO-NILAM DEVI</t>
  </si>
  <si>
    <t>Manira Bibi A/C-ICICI-0259-TO-NILAM DEVI</t>
  </si>
  <si>
    <t>Manira Bibi A/C-ICICI-0259-TO-GANGA DAYAL</t>
  </si>
  <si>
    <t>JCB (Days)</t>
  </si>
  <si>
    <t>Dumper(Days)</t>
  </si>
  <si>
    <t>PRE-PRESS- Cutting Jcb ,Dumper&amp; oil</t>
  </si>
  <si>
    <t>SANJU A/C-IDBI-8578-TO- rajdev sharma</t>
  </si>
  <si>
    <t>account no -207386 - nilam devi</t>
  </si>
  <si>
    <t>Full and final paid - upto 07.08.25</t>
  </si>
  <si>
    <t>SANJU A/C-IDBI-8578-TO- Purvi Chubey</t>
  </si>
  <si>
    <t>SANJU A/C-IDBI-8578-TO- Nilam Devi</t>
  </si>
  <si>
    <t>STONE 3/4</t>
  </si>
  <si>
    <t xml:space="preserve">NEW PART </t>
  </si>
  <si>
    <t>Cement</t>
  </si>
  <si>
    <t>MODI &amp; CO - (BILL AMT - 1,76,000 )</t>
  </si>
  <si>
    <t>MODI &amp; CO - (BILL AMT -3,78,265)</t>
  </si>
  <si>
    <t>M.S PIPE - 42 OD - 33 PCS</t>
  </si>
  <si>
    <t>M.S PIPE - 60 OD - 44 PCS</t>
  </si>
  <si>
    <t>M.S PIPE - 60 x 40 - 85 PCS</t>
  </si>
  <si>
    <t>M S ROD 8MM(DP)-21BDL</t>
  </si>
  <si>
    <t>TMT REBAR (RUNGTA STEEL) 8MM-36BD</t>
  </si>
  <si>
    <t>SANJU A/C-IDBI-8578-TO- MR.GANGA DYAL YADAV</t>
  </si>
  <si>
    <t>RAFIK CHAKDER A/C-IDBI-6651-TO- MR.GANGA DYAL YADAV</t>
  </si>
  <si>
    <t>NEW PART GANGA</t>
  </si>
  <si>
    <t>TOTAL MATERIALS VALUE UPTO 25.08.25 :</t>
  </si>
  <si>
    <t>Ganga Summary Sheet - UPTO -20.08.25</t>
  </si>
  <si>
    <t>Ganga Summary Sheet - New Part</t>
  </si>
  <si>
    <t>OIL</t>
  </si>
  <si>
    <t>50 LTR</t>
  </si>
  <si>
    <t xml:space="preserve"> BILL AMOUNT </t>
  </si>
  <si>
    <t xml:space="preserve">LESS : PAYMENT </t>
  </si>
  <si>
    <t>TMT - 16MM (964-KGS)</t>
  </si>
  <si>
    <t>BUNDLE</t>
  </si>
  <si>
    <t>TMT REBAR (RUNGTA STEEL) 10MM-64BD</t>
  </si>
  <si>
    <t>TMT REBAR (RUNGTA STEEL) 12MM-33BD</t>
  </si>
  <si>
    <t>TMT REBAR (RUNGTA STEEL) 16MM-35BD</t>
  </si>
  <si>
    <t>MODI &amp; CO - (BILL AMT - 1,82,000 )</t>
  </si>
  <si>
    <t>OPENING SHOWING BY JAGADAMBA</t>
  </si>
  <si>
    <t>MODI &amp; CO - (BILL AMT -5,47,937)</t>
  </si>
  <si>
    <t>70 LTR</t>
  </si>
  <si>
    <t>PAYMENT- all clear jagadamba payment upto 1/8/25 Telling by sir amount will adjust with jagadamba but as per bill due amount - 19,057</t>
  </si>
  <si>
    <t>Date</t>
  </si>
  <si>
    <t xml:space="preserve">Description </t>
  </si>
  <si>
    <t>Qty</t>
  </si>
  <si>
    <t>Unit</t>
  </si>
  <si>
    <t xml:space="preserve">Amount </t>
  </si>
  <si>
    <t>As Per Challan</t>
  </si>
  <si>
    <t xml:space="preserve">Challan Date </t>
  </si>
  <si>
    <t xml:space="preserve">JAGDAMBA PAYMENT </t>
  </si>
  <si>
    <t>Cash Purchase</t>
  </si>
  <si>
    <t>NEW PAYMENT DETAILS</t>
  </si>
  <si>
    <t>CASH - DADA</t>
  </si>
  <si>
    <t>Total Due Ganga (FULL PAID)</t>
  </si>
  <si>
    <t>RAFIK CHAKDER A/C-IDBI-6651-TO- HOTEL ANJANA NIVAS</t>
  </si>
  <si>
    <t>SANJU A/C-IDBI-8578-TO- Bablu Kr Yadav</t>
  </si>
  <si>
    <t>RAFIK CHAKDER A/C-IDBI-6651-TO-Bablu Kr Yadav</t>
  </si>
  <si>
    <t>RAFIK CHAKDER A/C-BOB-6651-TO-Bablu Kr Yadav</t>
  </si>
  <si>
    <t>Manira Bibi A/C-IDBI-4749-TO-Bablu Kr Yadav</t>
  </si>
  <si>
    <t>MIJANUR RAHAMAN MOLLA A/C-IDBI-7386-TO-Bablu Kr Yadav</t>
  </si>
  <si>
    <t>Materials Value upto - 29.08.25 to 30.10.25</t>
  </si>
  <si>
    <t xml:space="preserve">Jcb Value </t>
  </si>
  <si>
    <t xml:space="preserve">Dumper Value </t>
  </si>
  <si>
    <t>MODI &amp; CO - (BILL AMT - 2,58,000)</t>
  </si>
  <si>
    <t>TOTAL NEW MATERIALS VALUE UPTO</t>
  </si>
  <si>
    <t>Manira Bibi A/C-ICICI-0259-TO-Bablu Kr Yadav</t>
  </si>
  <si>
    <t>M.S ROD - 10MM-14B</t>
  </si>
  <si>
    <t>M.S ROD - 12MM-63B</t>
  </si>
  <si>
    <t>M.S ROD - 16MM-21B</t>
  </si>
  <si>
    <t>FOUNDATION BOLT IRON (25*18 - 20P)</t>
  </si>
  <si>
    <t>SELF DRILLING SCREW(25MM - 1 BOX)</t>
  </si>
  <si>
    <t>SELF DRILLING SCREW(55MM - 6 BOX-250P)</t>
  </si>
  <si>
    <t>MODI &amp; CO - (BILL AMT - 2,85,212)</t>
  </si>
  <si>
    <t>BARE GALVALUME SQM (436.1692 - SQM)</t>
  </si>
  <si>
    <t>BARE GALVALUME SQM (566.3740 - SQM)</t>
  </si>
  <si>
    <t>COLOUR SHEET (190.5 KGS)</t>
  </si>
  <si>
    <t>ALUZINC GC SHEET (457.8 KGS)</t>
  </si>
  <si>
    <t>MODI &amp; CO - (BILL AMT - 3,64,281)</t>
  </si>
  <si>
    <t xml:space="preserve">TMT - 16 MM </t>
  </si>
  <si>
    <t xml:space="preserve">TMT - 8 MM </t>
  </si>
  <si>
    <t>UNKNOWN</t>
  </si>
  <si>
    <t>MODI &amp; CO - (BILL AMT - 2,24,315 )</t>
  </si>
  <si>
    <t>TOTAL upto 30.10.25</t>
  </si>
  <si>
    <t>Ganga Summary Sheet - New Part-upto -30.10.25</t>
  </si>
  <si>
    <t>GANGA JCB-NEW PART-upto-30.10.25</t>
  </si>
  <si>
    <t>GANGA JCB-NEW PART-upto</t>
  </si>
  <si>
    <t>No Slip</t>
  </si>
  <si>
    <t>MODI &amp; CO - (BILL AMT - 4,39,489 )</t>
  </si>
  <si>
    <t>M.S PIPE - 150 x 150 - 7 PCS</t>
  </si>
  <si>
    <t>M.S PIPE - 100 x 100 - 14 PCS</t>
  </si>
  <si>
    <t>M.S PIPE - 60 x 40 - 30 PCS</t>
  </si>
  <si>
    <t>M.S PIPE - 60 x 40 - 20 PCS</t>
  </si>
  <si>
    <t>M.S PIPE - 72 x 72 - 8 PCS</t>
  </si>
  <si>
    <t>M.S PIPE - 40 x 40 - 3 PCS</t>
  </si>
  <si>
    <t>M.S PIPE - 60 OD - 12 PCS</t>
  </si>
  <si>
    <t>M.S BEAM -125 X 75 - 3 PCS</t>
  </si>
  <si>
    <t>M.S BEAM -250 X 125 - 3 PCS</t>
  </si>
  <si>
    <t>M.S PLATE 16MM 20" X 20" - 4PCS</t>
  </si>
  <si>
    <t>M.S PLATE 12MM 1200MM X 1500MM - 1PCS</t>
  </si>
  <si>
    <t>Bag</t>
  </si>
  <si>
    <t>TMT- 16 MM</t>
  </si>
  <si>
    <t>Unknown</t>
  </si>
  <si>
    <t>MODI &amp; CO - (BILL AMT - 1,58,690 )</t>
  </si>
  <si>
    <t>Bricks</t>
  </si>
  <si>
    <t>Pcs</t>
  </si>
  <si>
    <t>Payment -20/9/25</t>
  </si>
  <si>
    <t>IMRAN MOLLICK (SBI-3986) TO ADITY KUMAR (SBI - 2830)</t>
  </si>
  <si>
    <t>SANJU MONDAL (SBI-8769) TO ADITY KUMAR (SBI - 2830)</t>
  </si>
  <si>
    <t>SANJU MONDAL (SBI-8769) TO MR. BABLU KR YADAV (SBI-0828)</t>
  </si>
  <si>
    <t>IMRAN MOLLICK (SBI-3986) TO MR. BABLU KR YADAV (SBI-0828)</t>
  </si>
  <si>
    <t>MD RAFIK CHAKDER (IDBI-6651) TO DIBYAJYOTI (HDFC-0985)</t>
  </si>
  <si>
    <t>Old Extra Payment</t>
  </si>
  <si>
    <t>Nurnahar (Axis-8404) TO MR. BABLU KR YADAV (SBI-0828)</t>
  </si>
  <si>
    <t>MODI &amp; CO - (BILL AMT - 1,96,229)</t>
  </si>
  <si>
    <t>TMT REBAR (RUNGTA STEEL) 8MM-37 BD</t>
  </si>
  <si>
    <t>12FT SHEET</t>
  </si>
  <si>
    <t xml:space="preserve">10 FT SHEET </t>
  </si>
  <si>
    <t>SCREW</t>
  </si>
  <si>
    <t>BANDING WIRE</t>
  </si>
  <si>
    <t>SANJU MONDAL (SBI-8769) TO ADITY KUMAR (SBI - 3875)</t>
  </si>
  <si>
    <t>Nurnahar (Axis-8404) TO ADITY KUMAR (SBI - 3875)</t>
  </si>
  <si>
    <t>IMRAN MOLLICK (SBI-3986) TO ADITY KUMAR (SBI - 3875)</t>
  </si>
  <si>
    <t>Total Due Ganga Till New Due -24.02.26</t>
  </si>
  <si>
    <t>Total Due Ganga Till New Due -30.10.25</t>
  </si>
  <si>
    <t>Materials Value upto (31.10.25 to 24.02.26)</t>
  </si>
  <si>
    <t>M.S ROD 8MM - 19 BD @56</t>
  </si>
  <si>
    <t>TMT REBAR (RUNGTA STEEL) 8MM-10 BD @59</t>
  </si>
  <si>
    <t xml:space="preserve">JS ENTERPRISE </t>
  </si>
  <si>
    <t>Total Due Upto 23.03.26</t>
  </si>
  <si>
    <t xml:space="preserve">As per modi statement </t>
  </si>
  <si>
    <t>due - 6,14,229</t>
  </si>
  <si>
    <t>MIJANUR RAHAMAN MOLLA A/C-IDBI-7386-TO-Birbahadur Yadav</t>
  </si>
  <si>
    <t>As per Jagadamba total due balance 2,56,220 upto 19/01/26-10,983 up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</si>
</sst>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name val="Calibri"/>
      <family val="2"/>
      <scheme val="minor"/>
    </font>
    <font>
      <b/>
      <i/>
      <sz val="16"/>
      <color theme="1"/>
      <name val="Arial Black"/>
      <family val="2"/>
    </font>
    <font>
      <b/>
      <i/>
      <sz val="18"/>
      <color theme="1"/>
      <name val="Cambria"/>
      <family val="1"/>
      <scheme val="major"/>
    </font>
    <font>
      <b/>
      <i/>
      <sz val="18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6"/>
      <color theme="1"/>
      <name val="Arial Black"/>
      <family val="2"/>
    </font>
    <font>
      <sz val="18"/>
      <color theme="1"/>
      <name val="Arial Black"/>
      <family val="2"/>
    </font>
    <font>
      <b/>
      <sz val="10"/>
      <color theme="1"/>
      <name val="Arial Black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name val="Arial Black"/>
      <family val="2"/>
    </font>
    <font>
      <sz val="11"/>
      <color rgb="FFFF0000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lgerian"/>
      <family val="5"/>
    </font>
    <font>
      <b/>
      <sz val="11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Arial Rounded MT Bold"/>
      <family val="2"/>
    </font>
    <font>
      <sz val="12"/>
      <color theme="1"/>
      <name val="Algerian"/>
      <family val="5"/>
    </font>
    <font>
      <b/>
      <sz val="12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0"/>
      <color theme="1"/>
      <name val="Arial Black"/>
      <family val="2"/>
    </font>
    <font>
      <b/>
      <sz val="12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1">
    <xf numFmtId="0" fontId="0" fillId="0" borderId="0" xfId="0"/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8" xfId="1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0" fontId="0" fillId="0" borderId="5" xfId="0" applyBorder="1"/>
    <xf numFmtId="0" fontId="0" fillId="0" borderId="12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164" fontId="0" fillId="0" borderId="21" xfId="1" applyFont="1" applyBorder="1" applyAlignment="1">
      <alignment horizontal="center" vertical="center"/>
    </xf>
    <xf numFmtId="164" fontId="0" fillId="0" borderId="5" xfId="1" applyFont="1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4" fontId="0" fillId="0" borderId="5" xfId="0" applyNumberFormat="1" applyBorder="1"/>
    <xf numFmtId="0" fontId="4" fillId="0" borderId="5" xfId="0" applyFont="1" applyBorder="1" applyAlignment="1">
      <alignment horizontal="center" vertical="center" wrapText="1"/>
    </xf>
    <xf numFmtId="0" fontId="0" fillId="0" borderId="4" xfId="0" applyBorder="1"/>
    <xf numFmtId="14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4" fontId="0" fillId="0" borderId="24" xfId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164" fontId="0" fillId="0" borderId="26" xfId="1" applyFont="1" applyBorder="1" applyAlignment="1">
      <alignment horizontal="center" vertical="center"/>
    </xf>
    <xf numFmtId="164" fontId="0" fillId="0" borderId="36" xfId="1" applyFont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4" fontId="0" fillId="0" borderId="33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6" fillId="0" borderId="5" xfId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43" fontId="12" fillId="0" borderId="0" xfId="0" applyNumberFormat="1" applyFont="1"/>
    <xf numFmtId="164" fontId="11" fillId="0" borderId="0" xfId="0" applyNumberFormat="1" applyFont="1"/>
    <xf numFmtId="0" fontId="0" fillId="0" borderId="16" xfId="0" applyBorder="1" applyAlignment="1">
      <alignment horizontal="center"/>
    </xf>
    <xf numFmtId="14" fontId="0" fillId="0" borderId="17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0" fillId="0" borderId="38" xfId="0" applyBorder="1"/>
    <xf numFmtId="164" fontId="10" fillId="0" borderId="29" xfId="1" applyFont="1" applyBorder="1" applyAlignment="1">
      <alignment horizontal="center" vertical="center"/>
    </xf>
    <xf numFmtId="164" fontId="0" fillId="0" borderId="38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164" fontId="11" fillId="0" borderId="30" xfId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/>
    </xf>
    <xf numFmtId="165" fontId="0" fillId="0" borderId="5" xfId="1" applyNumberFormat="1" applyFont="1" applyBorder="1"/>
    <xf numFmtId="165" fontId="0" fillId="0" borderId="23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165" fontId="11" fillId="0" borderId="30" xfId="1" applyNumberFormat="1" applyFont="1" applyBorder="1" applyAlignment="1">
      <alignment horizontal="center" vertical="center"/>
    </xf>
    <xf numFmtId="164" fontId="0" fillId="0" borderId="25" xfId="1" applyFont="1" applyBorder="1" applyAlignment="1">
      <alignment horizontal="center" vertical="center"/>
    </xf>
    <xf numFmtId="0" fontId="0" fillId="0" borderId="30" xfId="0" applyBorder="1"/>
    <xf numFmtId="0" fontId="0" fillId="0" borderId="7" xfId="0" applyBorder="1"/>
    <xf numFmtId="0" fontId="0" fillId="0" borderId="12" xfId="0" applyBorder="1"/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0" fillId="0" borderId="13" xfId="0" applyBorder="1"/>
    <xf numFmtId="0" fontId="0" fillId="0" borderId="21" xfId="0" applyBorder="1"/>
    <xf numFmtId="164" fontId="19" fillId="0" borderId="5" xfId="0" applyNumberFormat="1" applyFont="1" applyBorder="1" applyAlignment="1">
      <alignment horizontal="center" vertical="center"/>
    </xf>
    <xf numFmtId="43" fontId="0" fillId="0" borderId="0" xfId="0" applyNumberFormat="1"/>
    <xf numFmtId="0" fontId="20" fillId="4" borderId="5" xfId="0" applyFont="1" applyFill="1" applyBorder="1" applyAlignment="1">
      <alignment horizontal="center" vertical="center" wrapText="1"/>
    </xf>
    <xf numFmtId="0" fontId="21" fillId="0" borderId="5" xfId="0" applyFont="1" applyBorder="1"/>
    <xf numFmtId="0" fontId="21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11" fillId="0" borderId="40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41" xfId="0" applyFont="1" applyBorder="1"/>
    <xf numFmtId="0" fontId="11" fillId="0" borderId="42" xfId="0" applyFont="1" applyBorder="1"/>
    <xf numFmtId="0" fontId="11" fillId="0" borderId="43" xfId="0" applyFont="1" applyBorder="1"/>
    <xf numFmtId="0" fontId="25" fillId="0" borderId="5" xfId="0" applyFont="1" applyBorder="1"/>
    <xf numFmtId="0" fontId="0" fillId="0" borderId="41" xfId="0" applyBorder="1"/>
    <xf numFmtId="0" fontId="0" fillId="0" borderId="45" xfId="0" applyBorder="1"/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1" xfId="0" applyBorder="1"/>
    <xf numFmtId="0" fontId="0" fillId="0" borderId="44" xfId="0" applyBorder="1"/>
    <xf numFmtId="0" fontId="12" fillId="0" borderId="46" xfId="0" applyFont="1" applyBorder="1"/>
    <xf numFmtId="0" fontId="10" fillId="12" borderId="44" xfId="0" applyFont="1" applyFill="1" applyBorder="1" applyAlignment="1">
      <alignment horizontal="center"/>
    </xf>
    <xf numFmtId="0" fontId="10" fillId="12" borderId="45" xfId="0" applyFont="1" applyFill="1" applyBorder="1" applyAlignment="1">
      <alignment horizontal="center"/>
    </xf>
    <xf numFmtId="0" fontId="10" fillId="12" borderId="46" xfId="0" applyFont="1" applyFill="1" applyBorder="1"/>
    <xf numFmtId="0" fontId="0" fillId="0" borderId="42" xfId="0" applyBorder="1"/>
    <xf numFmtId="0" fontId="0" fillId="0" borderId="42" xfId="0" applyBorder="1" applyAlignment="1">
      <alignment horizontal="center"/>
    </xf>
    <xf numFmtId="0" fontId="25" fillId="0" borderId="12" xfId="0" applyFont="1" applyBorder="1"/>
    <xf numFmtId="0" fontId="25" fillId="0" borderId="5" xfId="0" applyFont="1" applyBorder="1" applyAlignment="1">
      <alignment horizontal="center"/>
    </xf>
    <xf numFmtId="0" fontId="25" fillId="0" borderId="5" xfId="0" applyFont="1" applyBorder="1" applyAlignment="1">
      <alignment vertical="center"/>
    </xf>
    <xf numFmtId="0" fontId="25" fillId="0" borderId="4" xfId="0" applyFont="1" applyBorder="1"/>
    <xf numFmtId="0" fontId="10" fillId="12" borderId="47" xfId="0" applyFont="1" applyFill="1" applyBorder="1" applyAlignment="1">
      <alignment horizontal="center"/>
    </xf>
    <xf numFmtId="0" fontId="10" fillId="0" borderId="52" xfId="0" applyFont="1" applyBorder="1" applyAlignment="1">
      <alignment horizontal="right"/>
    </xf>
    <xf numFmtId="0" fontId="10" fillId="12" borderId="1" xfId="0" applyFont="1" applyFill="1" applyBorder="1" applyAlignment="1">
      <alignment horizontal="center"/>
    </xf>
    <xf numFmtId="0" fontId="10" fillId="0" borderId="36" xfId="0" applyFont="1" applyBorder="1" applyAlignment="1">
      <alignment horizontal="right"/>
    </xf>
    <xf numFmtId="0" fontId="10" fillId="0" borderId="26" xfId="0" applyFont="1" applyBorder="1" applyAlignment="1">
      <alignment horizontal="right"/>
    </xf>
    <xf numFmtId="0" fontId="25" fillId="0" borderId="55" xfId="0" applyFont="1" applyBorder="1"/>
    <xf numFmtId="0" fontId="25" fillId="12" borderId="48" xfId="0" applyFont="1" applyFill="1" applyBorder="1" applyAlignment="1">
      <alignment horizontal="center"/>
    </xf>
    <xf numFmtId="0" fontId="25" fillId="0" borderId="53" xfId="0" applyFont="1" applyBorder="1" applyAlignment="1">
      <alignment horizontal="center"/>
    </xf>
    <xf numFmtId="0" fontId="26" fillId="0" borderId="22" xfId="0" applyFont="1" applyBorder="1"/>
    <xf numFmtId="0" fontId="26" fillId="0" borderId="54" xfId="0" applyFon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14" borderId="5" xfId="0" applyFill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24" fillId="0" borderId="0" xfId="0" applyFont="1"/>
    <xf numFmtId="0" fontId="24" fillId="0" borderId="44" xfId="0" applyFont="1" applyBorder="1" applyAlignment="1">
      <alignment horizontal="center"/>
    </xf>
    <xf numFmtId="0" fontId="24" fillId="0" borderId="45" xfId="0" applyFont="1" applyBorder="1" applyAlignment="1">
      <alignment horizontal="center"/>
    </xf>
    <xf numFmtId="0" fontId="24" fillId="0" borderId="46" xfId="0" applyFont="1" applyBorder="1" applyAlignment="1">
      <alignment horizontal="center"/>
    </xf>
    <xf numFmtId="14" fontId="21" fillId="0" borderId="5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/>
    <xf numFmtId="0" fontId="0" fillId="0" borderId="39" xfId="0" applyBorder="1"/>
    <xf numFmtId="0" fontId="25" fillId="0" borderId="0" xfId="0" applyFont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5" fillId="0" borderId="6" xfId="0" applyFont="1" applyBorder="1"/>
    <xf numFmtId="0" fontId="29" fillId="0" borderId="61" xfId="0" applyFont="1" applyBorder="1"/>
    <xf numFmtId="0" fontId="11" fillId="0" borderId="45" xfId="0" applyFont="1" applyBorder="1"/>
    <xf numFmtId="0" fontId="25" fillId="0" borderId="43" xfId="0" applyFont="1" applyBorder="1"/>
    <xf numFmtId="0" fontId="21" fillId="0" borderId="13" xfId="0" applyFont="1" applyBorder="1" applyAlignment="1">
      <alignment horizontal="center"/>
    </xf>
    <xf numFmtId="0" fontId="0" fillId="0" borderId="40" xfId="0" applyBorder="1" applyAlignment="1">
      <alignment horizont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0" fillId="0" borderId="41" xfId="0" applyBorder="1" applyAlignment="1">
      <alignment horizontal="center"/>
    </xf>
    <xf numFmtId="14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28" xfId="0" applyBorder="1"/>
    <xf numFmtId="0" fontId="0" fillId="0" borderId="59" xfId="0" applyBorder="1"/>
    <xf numFmtId="0" fontId="0" fillId="0" borderId="29" xfId="0" applyBorder="1"/>
    <xf numFmtId="0" fontId="0" fillId="0" borderId="58" xfId="0" applyBorder="1"/>
    <xf numFmtId="0" fontId="0" fillId="0" borderId="61" xfId="0" applyBorder="1"/>
    <xf numFmtId="0" fontId="11" fillId="0" borderId="12" xfId="0" applyFont="1" applyBorder="1"/>
    <xf numFmtId="0" fontId="11" fillId="0" borderId="13" xfId="0" applyFont="1" applyBorder="1"/>
    <xf numFmtId="0" fontId="25" fillId="0" borderId="21" xfId="0" applyFont="1" applyBorder="1"/>
    <xf numFmtId="0" fontId="25" fillId="0" borderId="27" xfId="0" applyFont="1" applyBorder="1"/>
    <xf numFmtId="0" fontId="25" fillId="0" borderId="1" xfId="0" applyFont="1" applyBorder="1"/>
    <xf numFmtId="0" fontId="31" fillId="0" borderId="30" xfId="0" applyFont="1" applyBorder="1"/>
    <xf numFmtId="0" fontId="23" fillId="3" borderId="44" xfId="0" applyFont="1" applyFill="1" applyBorder="1" applyAlignment="1">
      <alignment horizontal="center"/>
    </xf>
    <xf numFmtId="0" fontId="23" fillId="3" borderId="45" xfId="0" applyFont="1" applyFill="1" applyBorder="1" applyAlignment="1">
      <alignment horizontal="center"/>
    </xf>
    <xf numFmtId="0" fontId="23" fillId="3" borderId="46" xfId="0" applyFont="1" applyFill="1" applyBorder="1" applyAlignment="1">
      <alignment horizontal="center"/>
    </xf>
    <xf numFmtId="0" fontId="0" fillId="0" borderId="40" xfId="0" applyBorder="1"/>
    <xf numFmtId="0" fontId="0" fillId="0" borderId="24" xfId="0" applyBorder="1"/>
    <xf numFmtId="0" fontId="10" fillId="0" borderId="4" xfId="0" applyFont="1" applyBorder="1"/>
    <xf numFmtId="0" fontId="10" fillId="0" borderId="6" xfId="0" applyFont="1" applyBorder="1"/>
    <xf numFmtId="0" fontId="25" fillId="0" borderId="41" xfId="0" applyFont="1" applyBorder="1"/>
    <xf numFmtId="0" fontId="10" fillId="0" borderId="7" xfId="0" applyFont="1" applyBorder="1"/>
    <xf numFmtId="0" fontId="10" fillId="0" borderId="11" xfId="0" applyFont="1" applyBorder="1"/>
    <xf numFmtId="0" fontId="26" fillId="0" borderId="5" xfId="0" applyFont="1" applyBorder="1"/>
    <xf numFmtId="0" fontId="0" fillId="0" borderId="1" xfId="0" applyBorder="1"/>
    <xf numFmtId="0" fontId="33" fillId="0" borderId="30" xfId="0" applyFont="1" applyBorder="1"/>
    <xf numFmtId="0" fontId="31" fillId="0" borderId="1" xfId="0" applyFont="1" applyBorder="1"/>
    <xf numFmtId="0" fontId="0" fillId="0" borderId="10" xfId="0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12" xfId="0" applyNumberFormat="1" applyBorder="1" applyAlignment="1">
      <alignment vertical="center"/>
    </xf>
    <xf numFmtId="0" fontId="11" fillId="0" borderId="5" xfId="0" applyFont="1" applyBorder="1" applyAlignment="1">
      <alignment horizontal="center"/>
    </xf>
    <xf numFmtId="0" fontId="0" fillId="0" borderId="8" xfId="0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25" fillId="0" borderId="13" xfId="0" applyFont="1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0" fontId="0" fillId="0" borderId="10" xfId="0" applyBorder="1"/>
    <xf numFmtId="0" fontId="21" fillId="0" borderId="64" xfId="0" applyFont="1" applyBorder="1" applyAlignment="1">
      <alignment horizontal="left" vertical="center"/>
    </xf>
    <xf numFmtId="0" fontId="0" fillId="11" borderId="30" xfId="0" applyFill="1" applyBorder="1"/>
    <xf numFmtId="43" fontId="0" fillId="0" borderId="5" xfId="2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25" fillId="16" borderId="12" xfId="0" applyFont="1" applyFill="1" applyBorder="1" applyAlignment="1">
      <alignment horizontal="center"/>
    </xf>
    <xf numFmtId="0" fontId="25" fillId="16" borderId="13" xfId="0" applyFont="1" applyFill="1" applyBorder="1" applyAlignment="1">
      <alignment horizontal="center"/>
    </xf>
    <xf numFmtId="0" fontId="25" fillId="16" borderId="21" xfId="0" applyFont="1" applyFill="1" applyBorder="1" applyAlignment="1">
      <alignment horizontal="center"/>
    </xf>
    <xf numFmtId="43" fontId="0" fillId="0" borderId="21" xfId="2" applyFont="1" applyBorder="1"/>
    <xf numFmtId="43" fontId="0" fillId="0" borderId="6" xfId="2" applyFont="1" applyBorder="1"/>
    <xf numFmtId="43" fontId="0" fillId="0" borderId="11" xfId="2" applyFont="1" applyBorder="1"/>
    <xf numFmtId="43" fontId="26" fillId="0" borderId="30" xfId="2" applyFont="1" applyBorder="1" applyAlignment="1">
      <alignment horizontal="right" vertical="center"/>
    </xf>
    <xf numFmtId="43" fontId="0" fillId="11" borderId="3" xfId="2" applyFont="1" applyFill="1" applyBorder="1"/>
    <xf numFmtId="0" fontId="25" fillId="3" borderId="61" xfId="0" applyFont="1" applyFill="1" applyBorder="1"/>
    <xf numFmtId="43" fontId="25" fillId="3" borderId="3" xfId="2" applyFont="1" applyFill="1" applyBorder="1"/>
    <xf numFmtId="43" fontId="0" fillId="0" borderId="8" xfId="2" applyFont="1" applyBorder="1" applyAlignment="1">
      <alignment vertical="center"/>
    </xf>
    <xf numFmtId="0" fontId="25" fillId="3" borderId="62" xfId="0" applyFont="1" applyFill="1" applyBorder="1" applyAlignment="1">
      <alignment horizontal="center"/>
    </xf>
    <xf numFmtId="0" fontId="25" fillId="3" borderId="63" xfId="0" applyFont="1" applyFill="1" applyBorder="1" applyAlignment="1">
      <alignment horizontal="center"/>
    </xf>
    <xf numFmtId="0" fontId="0" fillId="0" borderId="48" xfId="0" applyBorder="1"/>
    <xf numFmtId="0" fontId="0" fillId="0" borderId="53" xfId="0" applyBorder="1"/>
    <xf numFmtId="4" fontId="0" fillId="0" borderId="5" xfId="0" applyNumberFormat="1" applyBorder="1"/>
    <xf numFmtId="0" fontId="25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43" fontId="0" fillId="0" borderId="5" xfId="2" applyFont="1" applyBorder="1"/>
    <xf numFmtId="0" fontId="0" fillId="3" borderId="13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0" fontId="0" fillId="3" borderId="13" xfId="0" applyFill="1" applyBorder="1"/>
    <xf numFmtId="43" fontId="0" fillId="0" borderId="0" xfId="2" applyFont="1"/>
    <xf numFmtId="43" fontId="1" fillId="0" borderId="5" xfId="2" applyFont="1" applyFill="1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3" fontId="0" fillId="0" borderId="5" xfId="2" applyFont="1" applyBorder="1" applyAlignment="1">
      <alignment horizontal="center"/>
    </xf>
    <xf numFmtId="0" fontId="0" fillId="0" borderId="5" xfId="0" applyBorder="1" applyAlignment="1">
      <alignment horizontal="left"/>
    </xf>
    <xf numFmtId="43" fontId="0" fillId="0" borderId="5" xfId="2" applyFont="1" applyFill="1" applyBorder="1"/>
    <xf numFmtId="43" fontId="0" fillId="0" borderId="48" xfId="2" applyFont="1" applyBorder="1"/>
    <xf numFmtId="43" fontId="0" fillId="0" borderId="53" xfId="2" applyFont="1" applyBorder="1"/>
    <xf numFmtId="43" fontId="0" fillId="0" borderId="6" xfId="2" applyFont="1" applyBorder="1" applyAlignment="1">
      <alignment horizontal="center"/>
    </xf>
    <xf numFmtId="43" fontId="25" fillId="0" borderId="42" xfId="2" applyFont="1" applyBorder="1" applyAlignment="1">
      <alignment horizontal="center"/>
    </xf>
    <xf numFmtId="0" fontId="25" fillId="0" borderId="0" xfId="0" applyFont="1"/>
    <xf numFmtId="43" fontId="0" fillId="0" borderId="8" xfId="2" applyFont="1" applyBorder="1"/>
    <xf numFmtId="43" fontId="25" fillId="0" borderId="6" xfId="2" applyFont="1" applyBorder="1"/>
    <xf numFmtId="43" fontId="25" fillId="0" borderId="11" xfId="2" applyFont="1" applyBorder="1"/>
    <xf numFmtId="43" fontId="25" fillId="3" borderId="42" xfId="0" applyNumberFormat="1" applyFont="1" applyFill="1" applyBorder="1"/>
    <xf numFmtId="0" fontId="0" fillId="3" borderId="43" xfId="0" applyFill="1" applyBorder="1"/>
    <xf numFmtId="164" fontId="25" fillId="0" borderId="11" xfId="0" applyNumberFormat="1" applyFont="1" applyBorder="1"/>
    <xf numFmtId="164" fontId="25" fillId="0" borderId="6" xfId="0" applyNumberFormat="1" applyFont="1" applyBorder="1"/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25" fillId="3" borderId="0" xfId="0" applyFont="1" applyFill="1"/>
    <xf numFmtId="0" fontId="25" fillId="0" borderId="23" xfId="0" applyFont="1" applyBorder="1" applyAlignment="1">
      <alignment horizontal="center"/>
    </xf>
    <xf numFmtId="43" fontId="0" fillId="0" borderId="42" xfId="2" applyFont="1" applyFill="1" applyBorder="1"/>
    <xf numFmtId="164" fontId="0" fillId="0" borderId="43" xfId="0" applyNumberFormat="1" applyBorder="1"/>
    <xf numFmtId="43" fontId="25" fillId="3" borderId="43" xfId="2" applyFont="1" applyFill="1" applyBorder="1" applyAlignment="1">
      <alignment horizontal="center"/>
    </xf>
    <xf numFmtId="43" fontId="25" fillId="3" borderId="23" xfId="2" applyFont="1" applyFill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24" xfId="0" applyFont="1" applyBorder="1"/>
    <xf numFmtId="43" fontId="25" fillId="14" borderId="51" xfId="2" applyFont="1" applyFill="1" applyBorder="1"/>
    <xf numFmtId="43" fontId="0" fillId="0" borderId="33" xfId="2" applyFon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vertical="center"/>
    </xf>
    <xf numFmtId="164" fontId="6" fillId="0" borderId="5" xfId="1" applyFont="1" applyFill="1" applyBorder="1" applyAlignment="1">
      <alignment vertical="center"/>
    </xf>
    <xf numFmtId="0" fontId="6" fillId="0" borderId="5" xfId="0" applyFont="1" applyBorder="1"/>
    <xf numFmtId="0" fontId="6" fillId="0" borderId="4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64" fontId="6" fillId="0" borderId="6" xfId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6" fillId="0" borderId="5" xfId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58" xfId="1" applyFont="1" applyFill="1" applyBorder="1" applyAlignment="1">
      <alignment vertical="center"/>
    </xf>
    <xf numFmtId="164" fontId="6" fillId="0" borderId="56" xfId="1" applyFont="1" applyFill="1" applyBorder="1" applyAlignment="1">
      <alignment horizontal="center" vertical="center"/>
    </xf>
    <xf numFmtId="164" fontId="6" fillId="0" borderId="49" xfId="1" applyFont="1" applyFill="1" applyBorder="1" applyAlignment="1">
      <alignment horizontal="center" vertical="center"/>
    </xf>
    <xf numFmtId="164" fontId="6" fillId="0" borderId="13" xfId="1" applyFont="1" applyFill="1" applyBorder="1" applyAlignment="1">
      <alignment vertical="center"/>
    </xf>
    <xf numFmtId="164" fontId="6" fillId="0" borderId="6" xfId="1" applyFont="1" applyFill="1" applyBorder="1" applyAlignment="1">
      <alignment horizontal="center" vertical="center"/>
    </xf>
    <xf numFmtId="0" fontId="6" fillId="0" borderId="8" xfId="0" applyFont="1" applyBorder="1"/>
    <xf numFmtId="164" fontId="6" fillId="0" borderId="8" xfId="1" applyFont="1" applyFill="1" applyBorder="1" applyAlignment="1">
      <alignment vertical="center"/>
    </xf>
    <xf numFmtId="0" fontId="6" fillId="0" borderId="4" xfId="0" applyFont="1" applyBorder="1"/>
    <xf numFmtId="43" fontId="6" fillId="0" borderId="6" xfId="2" applyFont="1" applyBorder="1"/>
    <xf numFmtId="0" fontId="6" fillId="0" borderId="1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25" fillId="11" borderId="0" xfId="0" applyFont="1" applyFill="1"/>
    <xf numFmtId="0" fontId="25" fillId="3" borderId="67" xfId="0" applyFont="1" applyFill="1" applyBorder="1"/>
    <xf numFmtId="43" fontId="25" fillId="3" borderId="50" xfId="2" applyFont="1" applyFill="1" applyBorder="1"/>
    <xf numFmtId="0" fontId="25" fillId="3" borderId="50" xfId="0" applyFont="1" applyFill="1" applyBorder="1"/>
    <xf numFmtId="0" fontId="25" fillId="17" borderId="62" xfId="0" applyFont="1" applyFill="1" applyBorder="1" applyAlignment="1">
      <alignment horizontal="center"/>
    </xf>
    <xf numFmtId="0" fontId="25" fillId="17" borderId="37" xfId="0" applyFont="1" applyFill="1" applyBorder="1" applyAlignment="1">
      <alignment horizontal="center"/>
    </xf>
    <xf numFmtId="0" fontId="25" fillId="17" borderId="63" xfId="0" applyFont="1" applyFill="1" applyBorder="1" applyAlignment="1">
      <alignment horizontal="center"/>
    </xf>
    <xf numFmtId="4" fontId="0" fillId="0" borderId="0" xfId="0" applyNumberFormat="1"/>
    <xf numFmtId="43" fontId="0" fillId="0" borderId="5" xfId="2" applyFont="1" applyBorder="1" applyAlignment="1">
      <alignment horizontal="center" vertical="center"/>
    </xf>
    <xf numFmtId="43" fontId="0" fillId="0" borderId="13" xfId="2" applyFont="1" applyFill="1" applyBorder="1"/>
    <xf numFmtId="43" fontId="0" fillId="3" borderId="5" xfId="2" applyFont="1" applyFill="1" applyBorder="1"/>
    <xf numFmtId="43" fontId="0" fillId="18" borderId="5" xfId="2" applyFont="1" applyFill="1" applyBorder="1"/>
    <xf numFmtId="43" fontId="0" fillId="3" borderId="5" xfId="0" applyNumberFormat="1" applyFill="1" applyBorder="1" applyAlignment="1">
      <alignment horizontal="center"/>
    </xf>
    <xf numFmtId="43" fontId="0" fillId="18" borderId="13" xfId="2" applyFont="1" applyFill="1" applyBorder="1"/>
    <xf numFmtId="43" fontId="25" fillId="0" borderId="5" xfId="2" applyFont="1" applyBorder="1"/>
    <xf numFmtId="43" fontId="25" fillId="3" borderId="5" xfId="2" applyFont="1" applyFill="1" applyBorder="1"/>
    <xf numFmtId="0" fontId="25" fillId="3" borderId="53" xfId="0" applyFont="1" applyFill="1" applyBorder="1"/>
    <xf numFmtId="43" fontId="25" fillId="3" borderId="53" xfId="2" applyFont="1" applyFill="1" applyBorder="1"/>
    <xf numFmtId="43" fontId="25" fillId="15" borderId="5" xfId="0" applyNumberFormat="1" applyFont="1" applyFill="1" applyBorder="1"/>
    <xf numFmtId="0" fontId="25" fillId="15" borderId="30" xfId="0" applyFont="1" applyFill="1" applyBorder="1"/>
    <xf numFmtId="43" fontId="25" fillId="15" borderId="30" xfId="2" applyFont="1" applyFill="1" applyBorder="1"/>
    <xf numFmtId="0" fontId="0" fillId="0" borderId="66" xfId="0" applyBorder="1"/>
    <xf numFmtId="43" fontId="0" fillId="0" borderId="66" xfId="2" applyFont="1" applyFill="1" applyBorder="1"/>
    <xf numFmtId="43" fontId="0" fillId="0" borderId="15" xfId="2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/>
    </xf>
    <xf numFmtId="43" fontId="1" fillId="0" borderId="5" xfId="2" applyFont="1" applyFill="1" applyBorder="1" applyAlignment="1">
      <alignment horizontal="center" vertical="center"/>
    </xf>
    <xf numFmtId="16" fontId="0" fillId="0" borderId="5" xfId="0" quotePrefix="1" applyNumberFormat="1" applyBorder="1" applyAlignment="1">
      <alignment horizontal="center" vertical="center"/>
    </xf>
    <xf numFmtId="43" fontId="1" fillId="0" borderId="5" xfId="2" applyFont="1" applyBorder="1" applyAlignment="1">
      <alignment horizontal="center"/>
    </xf>
    <xf numFmtId="43" fontId="1" fillId="0" borderId="5" xfId="2" applyFont="1" applyBorder="1" applyAlignment="1">
      <alignment horizontal="center" vertical="center"/>
    </xf>
    <xf numFmtId="14" fontId="0" fillId="0" borderId="0" xfId="0" applyNumberFormat="1"/>
    <xf numFmtId="43" fontId="25" fillId="3" borderId="5" xfId="2" applyFont="1" applyFill="1" applyBorder="1" applyAlignment="1">
      <alignment horizontal="center" vertical="center"/>
    </xf>
    <xf numFmtId="43" fontId="0" fillId="11" borderId="5" xfId="2" applyFont="1" applyFill="1" applyBorder="1"/>
    <xf numFmtId="43" fontId="25" fillId="3" borderId="5" xfId="0" applyNumberFormat="1" applyFont="1" applyFill="1" applyBorder="1"/>
    <xf numFmtId="14" fontId="0" fillId="0" borderId="0" xfId="0" applyNumberFormat="1" applyAlignment="1">
      <alignment horizontal="center"/>
    </xf>
    <xf numFmtId="164" fontId="25" fillId="3" borderId="5" xfId="0" applyNumberFormat="1" applyFont="1" applyFill="1" applyBorder="1"/>
    <xf numFmtId="164" fontId="25" fillId="0" borderId="0" xfId="0" applyNumberFormat="1" applyFont="1"/>
    <xf numFmtId="0" fontId="25" fillId="16" borderId="5" xfId="0" applyFont="1" applyFill="1" applyBorder="1" applyAlignment="1">
      <alignment horizontal="center"/>
    </xf>
    <xf numFmtId="0" fontId="25" fillId="16" borderId="4" xfId="0" applyFont="1" applyFill="1" applyBorder="1" applyAlignment="1">
      <alignment horizontal="center"/>
    </xf>
    <xf numFmtId="0" fontId="25" fillId="16" borderId="6" xfId="0" applyFont="1" applyFill="1" applyBorder="1" applyAlignment="1">
      <alignment horizontal="center"/>
    </xf>
    <xf numFmtId="43" fontId="25" fillId="18" borderId="6" xfId="2" applyFont="1" applyFill="1" applyBorder="1"/>
    <xf numFmtId="43" fontId="25" fillId="11" borderId="6" xfId="2" applyFont="1" applyFill="1" applyBorder="1"/>
    <xf numFmtId="43" fontId="25" fillId="3" borderId="43" xfId="2" applyFont="1" applyFill="1" applyBorder="1"/>
    <xf numFmtId="43" fontId="0" fillId="0" borderId="5" xfId="0" applyNumberFormat="1" applyBorder="1"/>
    <xf numFmtId="43" fontId="25" fillId="0" borderId="5" xfId="2" applyFont="1" applyFill="1" applyBorder="1"/>
    <xf numFmtId="14" fontId="25" fillId="0" borderId="5" xfId="0" applyNumberFormat="1" applyFont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43" fontId="0" fillId="0" borderId="5" xfId="2" applyFont="1" applyFill="1" applyBorder="1" applyAlignment="1">
      <alignment vertical="center"/>
    </xf>
    <xf numFmtId="43" fontId="25" fillId="3" borderId="5" xfId="2" applyFont="1" applyFill="1" applyBorder="1" applyAlignment="1">
      <alignment horizontal="center"/>
    </xf>
    <xf numFmtId="43" fontId="0" fillId="0" borderId="5" xfId="2" applyFont="1" applyFill="1" applyBorder="1" applyAlignment="1">
      <alignment horizontal="center" vertical="center"/>
    </xf>
    <xf numFmtId="4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164" fontId="25" fillId="18" borderId="5" xfId="0" applyNumberFormat="1" applyFont="1" applyFill="1" applyBorder="1"/>
    <xf numFmtId="43" fontId="0" fillId="0" borderId="5" xfId="2" applyFont="1" applyFill="1" applyBorder="1" applyAlignment="1">
      <alignment horizontal="center"/>
    </xf>
    <xf numFmtId="0" fontId="21" fillId="0" borderId="0" xfId="0" applyFont="1"/>
    <xf numFmtId="0" fontId="36" fillId="16" borderId="5" xfId="0" applyFont="1" applyFill="1" applyBorder="1" applyAlignment="1">
      <alignment horizontal="center"/>
    </xf>
    <xf numFmtId="0" fontId="36" fillId="11" borderId="5" xfId="0" applyFont="1" applyFill="1" applyBorder="1" applyAlignment="1">
      <alignment horizontal="center"/>
    </xf>
    <xf numFmtId="0" fontId="25" fillId="11" borderId="5" xfId="0" applyFont="1" applyFill="1" applyBorder="1" applyAlignment="1">
      <alignment horizontal="center"/>
    </xf>
    <xf numFmtId="164" fontId="0" fillId="0" borderId="5" xfId="0" applyNumberFormat="1" applyBorder="1"/>
    <xf numFmtId="0" fontId="25" fillId="0" borderId="5" xfId="0" applyFont="1" applyBorder="1" applyAlignment="1">
      <alignment horizontal="left"/>
    </xf>
    <xf numFmtId="43" fontId="25" fillId="0" borderId="5" xfId="2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26" xfId="0" applyBorder="1"/>
    <xf numFmtId="0" fontId="0" fillId="0" borderId="15" xfId="0" applyBorder="1"/>
    <xf numFmtId="43" fontId="25" fillId="18" borderId="5" xfId="0" applyNumberFormat="1" applyFont="1" applyFill="1" applyBorder="1"/>
    <xf numFmtId="0" fontId="25" fillId="3" borderId="5" xfId="0" applyFont="1" applyFill="1" applyBorder="1"/>
    <xf numFmtId="43" fontId="35" fillId="3" borderId="5" xfId="0" applyNumberFormat="1" applyFont="1" applyFill="1" applyBorder="1"/>
    <xf numFmtId="0" fontId="35" fillId="3" borderId="5" xfId="0" applyFont="1" applyFill="1" applyBorder="1"/>
    <xf numFmtId="0" fontId="25" fillId="11" borderId="30" xfId="0" applyFont="1" applyFill="1" applyBorder="1"/>
    <xf numFmtId="43" fontId="25" fillId="11" borderId="3" xfId="2" applyFont="1" applyFill="1" applyBorder="1"/>
    <xf numFmtId="43" fontId="25" fillId="3" borderId="5" xfId="2" applyFont="1" applyFill="1" applyBorder="1" applyAlignment="1">
      <alignment vertical="center"/>
    </xf>
    <xf numFmtId="0" fontId="25" fillId="3" borderId="6" xfId="0" applyFont="1" applyFill="1" applyBorder="1" applyAlignment="1">
      <alignment horizontal="center" vertical="center"/>
    </xf>
    <xf numFmtId="14" fontId="0" fillId="18" borderId="5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164" fontId="0" fillId="0" borderId="0" xfId="0" applyNumberFormat="1"/>
    <xf numFmtId="0" fontId="0" fillId="11" borderId="5" xfId="0" applyFill="1" applyBorder="1" applyAlignment="1">
      <alignment horizontal="center"/>
    </xf>
    <xf numFmtId="14" fontId="0" fillId="11" borderId="5" xfId="0" applyNumberFormat="1" applyFill="1" applyBorder="1" applyAlignment="1">
      <alignment horizontal="center"/>
    </xf>
    <xf numFmtId="43" fontId="0" fillId="0" borderId="5" xfId="2" applyFont="1" applyFill="1" applyBorder="1" applyAlignment="1">
      <alignment vertical="center" wrapText="1"/>
    </xf>
    <xf numFmtId="164" fontId="25" fillId="3" borderId="5" xfId="0" applyNumberFormat="1" applyFont="1" applyFill="1" applyBorder="1" applyAlignment="1">
      <alignment horizontal="center"/>
    </xf>
    <xf numFmtId="43" fontId="1" fillId="0" borderId="5" xfId="2" applyFont="1" applyBorder="1"/>
    <xf numFmtId="14" fontId="0" fillId="0" borderId="5" xfId="2" applyNumberFormat="1" applyFont="1" applyBorder="1" applyAlignment="1">
      <alignment horizontal="center"/>
    </xf>
    <xf numFmtId="14" fontId="0" fillId="0" borderId="5" xfId="2" applyNumberFormat="1" applyFont="1" applyFill="1" applyBorder="1" applyAlignment="1">
      <alignment horizontal="center"/>
    </xf>
    <xf numFmtId="14" fontId="25" fillId="0" borderId="5" xfId="0" applyNumberFormat="1" applyFont="1" applyBorder="1"/>
    <xf numFmtId="0" fontId="25" fillId="0" borderId="6" xfId="0" applyFont="1" applyBorder="1" applyAlignment="1">
      <alignment horizontal="center" vertical="center"/>
    </xf>
    <xf numFmtId="43" fontId="25" fillId="0" borderId="45" xfId="0" applyNumberFormat="1" applyFont="1" applyBorder="1"/>
    <xf numFmtId="0" fontId="25" fillId="0" borderId="46" xfId="0" applyFont="1" applyBorder="1"/>
    <xf numFmtId="43" fontId="25" fillId="0" borderId="5" xfId="0" applyNumberFormat="1" applyFont="1" applyBorder="1"/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0" fillId="0" borderId="8" xfId="2" applyFont="1" applyFill="1" applyBorder="1" applyAlignment="1">
      <alignment horizontal="center" vertical="center"/>
    </xf>
    <xf numFmtId="43" fontId="0" fillId="0" borderId="10" xfId="2" applyFont="1" applyFill="1" applyBorder="1" applyAlignment="1">
      <alignment horizontal="center" vertical="center"/>
    </xf>
    <xf numFmtId="43" fontId="0" fillId="0" borderId="13" xfId="2" applyFont="1" applyFill="1" applyBorder="1" applyAlignment="1">
      <alignment horizontal="center" vertical="center"/>
    </xf>
    <xf numFmtId="43" fontId="0" fillId="0" borderId="11" xfId="2" applyFont="1" applyBorder="1" applyAlignment="1">
      <alignment horizontal="center" vertical="center"/>
    </xf>
    <xf numFmtId="43" fontId="0" fillId="0" borderId="33" xfId="2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8" fillId="16" borderId="20" xfId="0" applyFont="1" applyFill="1" applyBorder="1" applyAlignment="1">
      <alignment horizontal="center"/>
    </xf>
    <xf numFmtId="0" fontId="28" fillId="16" borderId="31" xfId="0" applyFont="1" applyFill="1" applyBorder="1" applyAlignment="1">
      <alignment horizontal="center"/>
    </xf>
    <xf numFmtId="0" fontId="28" fillId="16" borderId="32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64" fontId="6" fillId="0" borderId="33" xfId="1" applyFont="1" applyFill="1" applyBorder="1" applyAlignment="1">
      <alignment horizontal="center" vertical="center"/>
    </xf>
    <xf numFmtId="164" fontId="6" fillId="0" borderId="21" xfId="1" applyFont="1" applyFill="1" applyBorder="1" applyAlignment="1">
      <alignment horizontal="center" vertical="center"/>
    </xf>
    <xf numFmtId="164" fontId="6" fillId="0" borderId="8" xfId="1" applyFont="1" applyFill="1" applyBorder="1" applyAlignment="1">
      <alignment horizontal="center" vertical="center"/>
    </xf>
    <xf numFmtId="164" fontId="6" fillId="0" borderId="10" xfId="1" applyFont="1" applyFill="1" applyBorder="1" applyAlignment="1">
      <alignment horizontal="center" vertical="center"/>
    </xf>
    <xf numFmtId="164" fontId="6" fillId="0" borderId="13" xfId="1" applyFont="1" applyFill="1" applyBorder="1" applyAlignment="1">
      <alignment horizontal="center" vertical="center"/>
    </xf>
    <xf numFmtId="164" fontId="6" fillId="3" borderId="11" xfId="1" applyFont="1" applyFill="1" applyBorder="1" applyAlignment="1">
      <alignment horizontal="center" vertical="center"/>
    </xf>
    <xf numFmtId="164" fontId="6" fillId="3" borderId="33" xfId="1" applyFont="1" applyFill="1" applyBorder="1" applyAlignment="1">
      <alignment horizontal="center" vertical="center"/>
    </xf>
    <xf numFmtId="164" fontId="6" fillId="3" borderId="21" xfId="1" applyFont="1" applyFill="1" applyBorder="1" applyAlignment="1">
      <alignment horizontal="center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11" xfId="1" applyFont="1" applyFill="1" applyBorder="1" applyAlignment="1">
      <alignment horizontal="center" vertical="center"/>
    </xf>
    <xf numFmtId="43" fontId="6" fillId="0" borderId="11" xfId="2" applyFont="1" applyFill="1" applyBorder="1" applyAlignment="1">
      <alignment horizontal="center"/>
    </xf>
    <xf numFmtId="43" fontId="6" fillId="0" borderId="33" xfId="2" applyFont="1" applyFill="1" applyBorder="1" applyAlignment="1">
      <alignment horizontal="center"/>
    </xf>
    <xf numFmtId="43" fontId="6" fillId="0" borderId="21" xfId="2" applyFont="1" applyFill="1" applyBorder="1" applyAlignment="1">
      <alignment horizontal="center"/>
    </xf>
    <xf numFmtId="43" fontId="6" fillId="0" borderId="6" xfId="2" applyFont="1" applyFill="1" applyBorder="1" applyAlignment="1">
      <alignment horizontal="center"/>
    </xf>
    <xf numFmtId="43" fontId="6" fillId="0" borderId="11" xfId="2" applyFont="1" applyFill="1" applyBorder="1" applyAlignment="1">
      <alignment horizontal="center" vertical="center"/>
    </xf>
    <xf numFmtId="43" fontId="6" fillId="0" borderId="33" xfId="2" applyFont="1" applyFill="1" applyBorder="1" applyAlignment="1">
      <alignment horizontal="center" vertical="center"/>
    </xf>
    <xf numFmtId="43" fontId="6" fillId="0" borderId="2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5" fillId="16" borderId="20" xfId="0" applyFont="1" applyFill="1" applyBorder="1" applyAlignment="1">
      <alignment horizontal="center"/>
    </xf>
    <xf numFmtId="0" fontId="35" fillId="16" borderId="31" xfId="0" applyFont="1" applyFill="1" applyBorder="1" applyAlignment="1">
      <alignment horizontal="center"/>
    </xf>
    <xf numFmtId="0" fontId="35" fillId="16" borderId="32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/>
    </xf>
    <xf numFmtId="0" fontId="25" fillId="9" borderId="5" xfId="0" applyFont="1" applyFill="1" applyBorder="1" applyAlignment="1">
      <alignment horizontal="center"/>
    </xf>
    <xf numFmtId="0" fontId="25" fillId="9" borderId="6" xfId="0" applyFont="1" applyFill="1" applyBorder="1" applyAlignment="1">
      <alignment horizontal="center"/>
    </xf>
    <xf numFmtId="43" fontId="6" fillId="0" borderId="11" xfId="2" applyFont="1" applyBorder="1" applyAlignment="1">
      <alignment horizontal="center" vertical="center"/>
    </xf>
    <xf numFmtId="43" fontId="6" fillId="0" borderId="33" xfId="2" applyFont="1" applyBorder="1" applyAlignment="1">
      <alignment horizontal="center" vertical="center"/>
    </xf>
    <xf numFmtId="43" fontId="6" fillId="0" borderId="21" xfId="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5" fillId="16" borderId="55" xfId="0" applyFont="1" applyFill="1" applyBorder="1" applyAlignment="1">
      <alignment horizontal="center" vertical="center"/>
    </xf>
    <xf numFmtId="0" fontId="35" fillId="16" borderId="14" xfId="0" applyFont="1" applyFill="1" applyBorder="1" applyAlignment="1">
      <alignment horizontal="center" vertical="center"/>
    </xf>
    <xf numFmtId="0" fontId="35" fillId="16" borderId="4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14" borderId="59" xfId="0" applyFill="1" applyBorder="1" applyAlignment="1">
      <alignment horizontal="center" vertical="center" wrapText="1"/>
    </xf>
    <xf numFmtId="43" fontId="0" fillId="0" borderId="8" xfId="2" applyFont="1" applyBorder="1" applyAlignment="1">
      <alignment horizontal="center" vertical="center"/>
    </xf>
    <xf numFmtId="43" fontId="0" fillId="0" borderId="10" xfId="2" applyFont="1" applyBorder="1" applyAlignment="1">
      <alignment horizontal="center" vertical="center"/>
    </xf>
    <xf numFmtId="43" fontId="0" fillId="0" borderId="13" xfId="2" applyFon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3" fontId="0" fillId="0" borderId="8" xfId="2" applyFont="1" applyBorder="1" applyAlignment="1">
      <alignment horizontal="right" vertical="center"/>
    </xf>
    <xf numFmtId="43" fontId="0" fillId="0" borderId="13" xfId="2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7" fontId="9" fillId="9" borderId="27" xfId="0" applyNumberFormat="1" applyFont="1" applyFill="1" applyBorder="1" applyAlignment="1">
      <alignment horizontal="center" vertical="center" wrapText="1"/>
    </xf>
    <xf numFmtId="0" fontId="8" fillId="9" borderId="39" xfId="0" applyFont="1" applyFill="1" applyBorder="1" applyAlignment="1">
      <alignment horizontal="center" vertical="center" wrapText="1"/>
    </xf>
    <xf numFmtId="0" fontId="8" fillId="9" borderId="28" xfId="0" applyFont="1" applyFill="1" applyBorder="1" applyAlignment="1">
      <alignment horizontal="center" vertical="center" wrapText="1"/>
    </xf>
    <xf numFmtId="17" fontId="13" fillId="3" borderId="1" xfId="0" applyNumberFormat="1" applyFont="1" applyFill="1" applyBorder="1" applyAlignment="1">
      <alignment horizontal="center" vertical="center"/>
    </xf>
    <xf numFmtId="17" fontId="13" fillId="3" borderId="2" xfId="0" applyNumberFormat="1" applyFont="1" applyFill="1" applyBorder="1" applyAlignment="1">
      <alignment horizontal="center" vertical="center"/>
    </xf>
    <xf numFmtId="17" fontId="13" fillId="3" borderId="3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/>
    </xf>
    <xf numFmtId="164" fontId="0" fillId="0" borderId="33" xfId="1" applyFont="1" applyBorder="1" applyAlignment="1">
      <alignment horizontal="center" vertical="center"/>
    </xf>
    <xf numFmtId="164" fontId="0" fillId="0" borderId="21" xfId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34" xfId="1" applyFont="1" applyBorder="1" applyAlignment="1">
      <alignment horizontal="center" vertical="center"/>
    </xf>
    <xf numFmtId="164" fontId="0" fillId="0" borderId="35" xfId="1" applyFont="1" applyBorder="1" applyAlignment="1">
      <alignment horizontal="center" vertical="center"/>
    </xf>
    <xf numFmtId="164" fontId="0" fillId="0" borderId="36" xfId="1" applyFont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1" fillId="0" borderId="4" xfId="0" applyNumberFormat="1" applyFont="1" applyBorder="1" applyAlignment="1">
      <alignment horizontal="center" vertical="center"/>
    </xf>
    <xf numFmtId="14" fontId="21" fillId="0" borderId="4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11" fillId="13" borderId="57" xfId="0" applyFont="1" applyFill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2" fillId="11" borderId="3" xfId="0" applyFont="1" applyFill="1" applyBorder="1" applyAlignment="1">
      <alignment horizontal="center"/>
    </xf>
    <xf numFmtId="0" fontId="25" fillId="3" borderId="26" xfId="0" applyFont="1" applyFill="1" applyBorder="1" applyAlignment="1">
      <alignment horizontal="center"/>
    </xf>
    <xf numFmtId="0" fontId="25" fillId="3" borderId="14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25" fillId="3" borderId="26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10" fillId="11" borderId="26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/>
    </xf>
    <xf numFmtId="0" fontId="23" fillId="3" borderId="27" xfId="0" applyFont="1" applyFill="1" applyBorder="1" applyAlignment="1">
      <alignment horizontal="center"/>
    </xf>
    <xf numFmtId="0" fontId="23" fillId="3" borderId="39" xfId="0" applyFont="1" applyFill="1" applyBorder="1" applyAlignment="1">
      <alignment horizontal="center"/>
    </xf>
    <xf numFmtId="0" fontId="23" fillId="3" borderId="28" xfId="0" applyFont="1" applyFill="1" applyBorder="1" applyAlignment="1">
      <alignment horizontal="center"/>
    </xf>
    <xf numFmtId="0" fontId="22" fillId="11" borderId="59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/>
    </xf>
    <xf numFmtId="0" fontId="31" fillId="11" borderId="2" xfId="0" applyFont="1" applyFill="1" applyBorder="1" applyAlignment="1">
      <alignment horizontal="center"/>
    </xf>
    <xf numFmtId="0" fontId="31" fillId="11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32" fillId="11" borderId="1" xfId="0" applyFont="1" applyFill="1" applyBorder="1" applyAlignment="1">
      <alignment horizontal="center"/>
    </xf>
    <xf numFmtId="0" fontId="32" fillId="11" borderId="3" xfId="0" applyFon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3" borderId="26" xfId="0" applyFont="1" applyFill="1" applyBorder="1" applyAlignment="1">
      <alignment horizontal="center"/>
    </xf>
    <xf numFmtId="0" fontId="35" fillId="3" borderId="14" xfId="0" applyFont="1" applyFill="1" applyBorder="1" applyAlignment="1">
      <alignment horizontal="center"/>
    </xf>
    <xf numFmtId="0" fontId="35" fillId="3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5" fillId="9" borderId="57" xfId="0" applyFont="1" applyFill="1" applyBorder="1" applyAlignment="1">
      <alignment horizontal="center"/>
    </xf>
    <xf numFmtId="0" fontId="25" fillId="3" borderId="22" xfId="0" applyFont="1" applyFill="1" applyBorder="1" applyAlignment="1">
      <alignment horizontal="center"/>
    </xf>
    <xf numFmtId="0" fontId="25" fillId="3" borderId="6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4" borderId="17" xfId="0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2" fillId="15" borderId="3" xfId="0" applyFont="1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164" fontId="25" fillId="0" borderId="26" xfId="0" applyNumberFormat="1" applyFont="1" applyBorder="1" applyAlignment="1">
      <alignment horizontal="center"/>
    </xf>
    <xf numFmtId="164" fontId="25" fillId="3" borderId="26" xfId="0" applyNumberFormat="1" applyFont="1" applyFill="1" applyBorder="1" applyAlignment="1">
      <alignment horizontal="center"/>
    </xf>
    <xf numFmtId="0" fontId="30" fillId="0" borderId="29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2" fillId="11" borderId="3" xfId="0" applyFont="1" applyFill="1" applyBorder="1" applyAlignment="1">
      <alignment horizontal="center"/>
    </xf>
    <xf numFmtId="0" fontId="23" fillId="3" borderId="59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43" fontId="0" fillId="3" borderId="8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43" fontId="0" fillId="3" borderId="8" xfId="2" applyFont="1" applyFill="1" applyBorder="1" applyAlignment="1">
      <alignment horizontal="center" vertical="center"/>
    </xf>
    <xf numFmtId="43" fontId="0" fillId="3" borderId="10" xfId="2" applyFont="1" applyFill="1" applyBorder="1" applyAlignment="1">
      <alignment horizontal="center" vertical="center"/>
    </xf>
    <xf numFmtId="43" fontId="0" fillId="3" borderId="13" xfId="2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43" fontId="0" fillId="3" borderId="5" xfId="2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34" fillId="4" borderId="2" xfId="0" applyFont="1" applyFill="1" applyBorder="1" applyAlignment="1">
      <alignment horizontal="center"/>
    </xf>
    <xf numFmtId="43" fontId="0" fillId="3" borderId="37" xfId="2" applyFont="1" applyFill="1" applyBorder="1" applyAlignment="1">
      <alignment horizontal="center" vertical="center"/>
    </xf>
    <xf numFmtId="0" fontId="25" fillId="15" borderId="26" xfId="0" applyFont="1" applyFill="1" applyBorder="1" applyAlignment="1">
      <alignment horizontal="center"/>
    </xf>
    <xf numFmtId="0" fontId="25" fillId="15" borderId="15" xfId="0" applyFont="1" applyFill="1" applyBorder="1" applyAlignment="1">
      <alignment horizontal="center"/>
    </xf>
    <xf numFmtId="43" fontId="0" fillId="3" borderId="37" xfId="2" applyFont="1" applyFill="1" applyBorder="1" applyAlignment="1">
      <alignment horizontal="center" vertical="center" wrapText="1"/>
    </xf>
    <xf numFmtId="43" fontId="0" fillId="3" borderId="10" xfId="2" applyFont="1" applyFill="1" applyBorder="1" applyAlignment="1">
      <alignment horizontal="center" vertical="center" wrapText="1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5" fillId="0" borderId="46" xfId="0" applyFont="1" applyBorder="1" applyAlignment="1">
      <alignment horizontal="center"/>
    </xf>
    <xf numFmtId="0" fontId="25" fillId="3" borderId="41" xfId="0" applyFont="1" applyFill="1" applyBorder="1" applyAlignment="1">
      <alignment horizontal="right"/>
    </xf>
    <xf numFmtId="0" fontId="25" fillId="3" borderId="42" xfId="0" applyFont="1" applyFill="1" applyBorder="1" applyAlignment="1">
      <alignment horizontal="right"/>
    </xf>
    <xf numFmtId="0" fontId="37" fillId="0" borderId="40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25" fillId="18" borderId="4" xfId="0" applyFont="1" applyFill="1" applyBorder="1" applyAlignment="1">
      <alignment horizontal="right"/>
    </xf>
    <xf numFmtId="0" fontId="25" fillId="18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right"/>
    </xf>
    <xf numFmtId="0" fontId="25" fillId="0" borderId="5" xfId="0" applyFont="1" applyBorder="1" applyAlignment="1">
      <alignment horizontal="right"/>
    </xf>
    <xf numFmtId="0" fontId="25" fillId="11" borderId="4" xfId="0" applyFont="1" applyFill="1" applyBorder="1" applyAlignment="1">
      <alignment horizontal="right"/>
    </xf>
    <xf numFmtId="0" fontId="25" fillId="11" borderId="5" xfId="0" applyFont="1" applyFill="1" applyBorder="1" applyAlignment="1">
      <alignment horizontal="right"/>
    </xf>
    <xf numFmtId="0" fontId="38" fillId="0" borderId="5" xfId="0" applyFont="1" applyBorder="1" applyAlignment="1">
      <alignment horizontal="center" vertical="center"/>
    </xf>
    <xf numFmtId="0" fontId="39" fillId="3" borderId="5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164" fontId="25" fillId="3" borderId="15" xfId="0" applyNumberFormat="1" applyFont="1" applyFill="1" applyBorder="1" applyAlignment="1">
      <alignment horizontal="center"/>
    </xf>
    <xf numFmtId="0" fontId="25" fillId="3" borderId="5" xfId="0" applyFont="1" applyFill="1" applyBorder="1" applyAlignment="1">
      <alignment horizontal="right"/>
    </xf>
    <xf numFmtId="0" fontId="10" fillId="9" borderId="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5" fillId="9" borderId="26" xfId="0" applyFont="1" applyFill="1" applyBorder="1" applyAlignment="1">
      <alignment horizontal="center"/>
    </xf>
    <xf numFmtId="0" fontId="25" fillId="9" borderId="14" xfId="0" applyFont="1" applyFill="1" applyBorder="1" applyAlignment="1">
      <alignment horizontal="center"/>
    </xf>
    <xf numFmtId="0" fontId="25" fillId="9" borderId="15" xfId="0" applyFont="1" applyFill="1" applyBorder="1" applyAlignment="1">
      <alignment horizontal="center"/>
    </xf>
    <xf numFmtId="0" fontId="25" fillId="18" borderId="26" xfId="0" applyFont="1" applyFill="1" applyBorder="1" applyAlignment="1">
      <alignment horizontal="center"/>
    </xf>
    <xf numFmtId="0" fontId="25" fillId="18" borderId="14" xfId="0" applyFont="1" applyFill="1" applyBorder="1" applyAlignment="1">
      <alignment horizontal="center"/>
    </xf>
    <xf numFmtId="0" fontId="25" fillId="18" borderId="15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68" xfId="0" applyFont="1" applyBorder="1" applyAlignment="1">
      <alignment horizontal="center"/>
    </xf>
    <xf numFmtId="43" fontId="0" fillId="0" borderId="8" xfId="0" applyNumberFormat="1" applyBorder="1" applyAlignment="1">
      <alignment horizontal="center" vertical="center"/>
    </xf>
    <xf numFmtId="43" fontId="0" fillId="0" borderId="13" xfId="0" applyNumberFormat="1" applyBorder="1" applyAlignment="1">
      <alignment horizontal="center" vertical="center"/>
    </xf>
    <xf numFmtId="0" fontId="25" fillId="0" borderId="3" xfId="0" applyFont="1" applyBorder="1" applyAlignment="1">
      <alignment horizontal="center"/>
    </xf>
    <xf numFmtId="0" fontId="0" fillId="0" borderId="6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topLeftCell="A101" workbookViewId="0">
      <selection activeCell="G34" sqref="G34:G35"/>
    </sheetView>
  </sheetViews>
  <sheetFormatPr defaultRowHeight="14.4" x14ac:dyDescent="0.3"/>
  <cols>
    <col min="2" max="2" width="10.44140625" bestFit="1" customWidth="1"/>
    <col min="3" max="3" width="45.6640625" bestFit="1" customWidth="1"/>
    <col min="4" max="4" width="25.5546875" bestFit="1" customWidth="1"/>
    <col min="5" max="5" width="11.6640625" bestFit="1" customWidth="1"/>
    <col min="8" max="8" width="23" bestFit="1" customWidth="1"/>
    <col min="9" max="9" width="5.109375" bestFit="1" customWidth="1"/>
    <col min="13" max="13" width="16.33203125" bestFit="1" customWidth="1"/>
    <col min="14" max="14" width="22.44140625" bestFit="1" customWidth="1"/>
    <col min="15" max="15" width="6" bestFit="1" customWidth="1"/>
  </cols>
  <sheetData>
    <row r="1" spans="1:9" ht="20.399999999999999" x14ac:dyDescent="0.35">
      <c r="A1" s="453" t="s">
        <v>0</v>
      </c>
      <c r="B1" s="454"/>
      <c r="C1" s="454"/>
      <c r="D1" s="454"/>
      <c r="E1" s="454"/>
      <c r="F1" s="454"/>
      <c r="G1" s="454"/>
      <c r="H1" s="454"/>
      <c r="I1" s="455"/>
    </row>
    <row r="2" spans="1:9" x14ac:dyDescent="0.3">
      <c r="A2" s="65" t="s">
        <v>1</v>
      </c>
      <c r="B2" s="66" t="s">
        <v>2</v>
      </c>
      <c r="C2" s="66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66" t="s">
        <v>8</v>
      </c>
      <c r="I2" s="67"/>
    </row>
    <row r="3" spans="1:9" x14ac:dyDescent="0.3">
      <c r="A3" s="76"/>
      <c r="B3" s="66"/>
      <c r="C3" s="66"/>
      <c r="D3" s="66"/>
      <c r="E3" s="66"/>
      <c r="F3" s="66"/>
      <c r="G3" s="66"/>
      <c r="H3" s="66"/>
      <c r="I3" s="77"/>
    </row>
    <row r="4" spans="1:9" ht="21" x14ac:dyDescent="0.3">
      <c r="A4" s="487" t="s">
        <v>9</v>
      </c>
      <c r="B4" s="488"/>
      <c r="C4" s="488"/>
      <c r="D4" s="488"/>
      <c r="E4" s="488"/>
      <c r="F4" s="488"/>
      <c r="G4" s="488"/>
      <c r="H4" s="488"/>
      <c r="I4" s="489"/>
    </row>
    <row r="5" spans="1:9" ht="21" x14ac:dyDescent="0.3">
      <c r="A5" s="95"/>
      <c r="B5" s="95"/>
      <c r="C5" s="95"/>
      <c r="D5" s="95"/>
      <c r="E5" s="95"/>
      <c r="F5" s="95"/>
      <c r="G5" s="95"/>
      <c r="H5" s="95"/>
      <c r="I5" s="95"/>
    </row>
    <row r="6" spans="1:9" x14ac:dyDescent="0.3">
      <c r="A6" s="376">
        <v>1</v>
      </c>
      <c r="B6" s="373">
        <v>45369</v>
      </c>
      <c r="C6" s="376" t="s">
        <v>10</v>
      </c>
      <c r="D6" s="4" t="s">
        <v>11</v>
      </c>
      <c r="E6" s="483" t="s">
        <v>12</v>
      </c>
      <c r="F6" s="4">
        <v>444</v>
      </c>
      <c r="G6" s="3" t="s">
        <v>13</v>
      </c>
      <c r="H6" s="481">
        <v>108462</v>
      </c>
      <c r="I6" s="89"/>
    </row>
    <row r="7" spans="1:9" x14ac:dyDescent="0.3">
      <c r="A7" s="377"/>
      <c r="B7" s="374"/>
      <c r="C7" s="377"/>
      <c r="D7" s="4" t="s">
        <v>14</v>
      </c>
      <c r="E7" s="484"/>
      <c r="F7" s="4">
        <v>474</v>
      </c>
      <c r="G7" s="3" t="s">
        <v>13</v>
      </c>
      <c r="H7" s="486"/>
      <c r="I7" s="89"/>
    </row>
    <row r="8" spans="1:9" x14ac:dyDescent="0.3">
      <c r="A8" s="378"/>
      <c r="B8" s="375"/>
      <c r="C8" s="378"/>
      <c r="D8" s="4" t="s">
        <v>15</v>
      </c>
      <c r="E8" s="485"/>
      <c r="F8" s="4">
        <v>626.29999999999995</v>
      </c>
      <c r="G8" s="3" t="s">
        <v>13</v>
      </c>
      <c r="H8" s="482"/>
      <c r="I8" s="89"/>
    </row>
    <row r="9" spans="1:9" x14ac:dyDescent="0.3">
      <c r="A9" s="376">
        <v>2</v>
      </c>
      <c r="B9" s="373">
        <v>45369</v>
      </c>
      <c r="C9" s="376" t="s">
        <v>10</v>
      </c>
      <c r="D9" s="4" t="s">
        <v>16</v>
      </c>
      <c r="E9" s="483" t="s">
        <v>17</v>
      </c>
      <c r="F9" s="4">
        <v>5120</v>
      </c>
      <c r="G9" s="3" t="s">
        <v>13</v>
      </c>
      <c r="H9" s="481">
        <v>1209576</v>
      </c>
      <c r="I9" s="89"/>
    </row>
    <row r="10" spans="1:9" x14ac:dyDescent="0.3">
      <c r="A10" s="377"/>
      <c r="B10" s="374"/>
      <c r="C10" s="377"/>
      <c r="D10" s="4" t="s">
        <v>18</v>
      </c>
      <c r="E10" s="484"/>
      <c r="F10" s="4">
        <v>2320</v>
      </c>
      <c r="G10" s="3" t="s">
        <v>13</v>
      </c>
      <c r="H10" s="486"/>
      <c r="I10" s="89"/>
    </row>
    <row r="11" spans="1:9" x14ac:dyDescent="0.3">
      <c r="A11" s="378"/>
      <c r="B11" s="375"/>
      <c r="C11" s="378"/>
      <c r="D11" s="4" t="s">
        <v>19</v>
      </c>
      <c r="E11" s="485"/>
      <c r="F11" s="4">
        <v>11520</v>
      </c>
      <c r="G11" s="3" t="s">
        <v>13</v>
      </c>
      <c r="H11" s="482"/>
      <c r="I11" s="89"/>
    </row>
    <row r="12" spans="1:9" x14ac:dyDescent="0.3">
      <c r="A12" s="376">
        <v>3</v>
      </c>
      <c r="B12" s="373">
        <v>45370</v>
      </c>
      <c r="C12" s="376" t="s">
        <v>10</v>
      </c>
      <c r="D12" s="4" t="s">
        <v>11</v>
      </c>
      <c r="E12" s="376" t="s">
        <v>12</v>
      </c>
      <c r="F12" s="4">
        <v>222</v>
      </c>
      <c r="G12" s="3" t="s">
        <v>13</v>
      </c>
      <c r="H12" s="481">
        <v>61282</v>
      </c>
      <c r="I12" s="89"/>
    </row>
    <row r="13" spans="1:9" x14ac:dyDescent="0.3">
      <c r="A13" s="377"/>
      <c r="B13" s="374"/>
      <c r="C13" s="377"/>
      <c r="D13" s="4" t="s">
        <v>20</v>
      </c>
      <c r="E13" s="377"/>
      <c r="F13" s="4">
        <v>504</v>
      </c>
      <c r="G13" s="3" t="s">
        <v>13</v>
      </c>
      <c r="H13" s="486"/>
      <c r="I13" s="89"/>
    </row>
    <row r="14" spans="1:9" x14ac:dyDescent="0.3">
      <c r="A14" s="377"/>
      <c r="B14" s="374"/>
      <c r="C14" s="377"/>
      <c r="D14" s="4" t="s">
        <v>21</v>
      </c>
      <c r="E14" s="377"/>
      <c r="F14" s="4">
        <v>107.8</v>
      </c>
      <c r="G14" s="3" t="s">
        <v>13</v>
      </c>
      <c r="H14" s="486"/>
      <c r="I14" s="89"/>
    </row>
    <row r="15" spans="1:9" x14ac:dyDescent="0.3">
      <c r="A15" s="378"/>
      <c r="B15" s="375"/>
      <c r="C15" s="378"/>
      <c r="D15" s="4" t="s">
        <v>22</v>
      </c>
      <c r="E15" s="378"/>
      <c r="F15" s="4">
        <v>60.3</v>
      </c>
      <c r="G15" s="3" t="s">
        <v>13</v>
      </c>
      <c r="H15" s="482"/>
      <c r="I15" s="89"/>
    </row>
    <row r="16" spans="1:9" x14ac:dyDescent="0.3">
      <c r="A16" s="376">
        <v>4</v>
      </c>
      <c r="B16" s="373">
        <v>45374</v>
      </c>
      <c r="C16" s="376" t="s">
        <v>10</v>
      </c>
      <c r="D16" s="4" t="s">
        <v>11</v>
      </c>
      <c r="E16" s="376" t="s">
        <v>12</v>
      </c>
      <c r="F16" s="4">
        <v>220</v>
      </c>
      <c r="G16" s="3" t="s">
        <v>13</v>
      </c>
      <c r="H16" s="481">
        <v>27070</v>
      </c>
      <c r="I16" s="89"/>
    </row>
    <row r="17" spans="1:9" x14ac:dyDescent="0.3">
      <c r="A17" s="378"/>
      <c r="B17" s="375"/>
      <c r="C17" s="378"/>
      <c r="D17" s="4" t="s">
        <v>23</v>
      </c>
      <c r="E17" s="378"/>
      <c r="F17" s="4">
        <v>174.7</v>
      </c>
      <c r="G17" s="3" t="s">
        <v>13</v>
      </c>
      <c r="H17" s="482"/>
      <c r="I17" s="89"/>
    </row>
    <row r="18" spans="1:9" x14ac:dyDescent="0.3">
      <c r="A18" s="376">
        <v>5</v>
      </c>
      <c r="B18" s="373">
        <v>45375</v>
      </c>
      <c r="C18" s="376" t="s">
        <v>10</v>
      </c>
      <c r="D18" s="4" t="s">
        <v>24</v>
      </c>
      <c r="E18" s="376" t="s">
        <v>25</v>
      </c>
      <c r="F18" s="4">
        <v>5120</v>
      </c>
      <c r="G18" s="3" t="s">
        <v>13</v>
      </c>
      <c r="H18" s="481">
        <v>805695</v>
      </c>
      <c r="I18" s="89"/>
    </row>
    <row r="19" spans="1:9" x14ac:dyDescent="0.3">
      <c r="A19" s="378"/>
      <c r="B19" s="375"/>
      <c r="C19" s="378"/>
      <c r="D19" s="4" t="s">
        <v>26</v>
      </c>
      <c r="E19" s="378"/>
      <c r="F19" s="4">
        <v>5550</v>
      </c>
      <c r="G19" s="3" t="s">
        <v>13</v>
      </c>
      <c r="H19" s="482"/>
      <c r="I19" s="89"/>
    </row>
    <row r="20" spans="1:9" x14ac:dyDescent="0.3">
      <c r="A20" s="376">
        <v>6</v>
      </c>
      <c r="B20" s="373">
        <v>45381</v>
      </c>
      <c r="C20" s="376" t="s">
        <v>10</v>
      </c>
      <c r="D20" s="4" t="s">
        <v>16</v>
      </c>
      <c r="E20" s="376" t="s">
        <v>12</v>
      </c>
      <c r="F20" s="4">
        <v>1343</v>
      </c>
      <c r="G20" s="3" t="s">
        <v>13</v>
      </c>
      <c r="H20" s="481">
        <v>113042</v>
      </c>
      <c r="I20" s="89"/>
    </row>
    <row r="21" spans="1:9" x14ac:dyDescent="0.3">
      <c r="A21" s="378"/>
      <c r="B21" s="375"/>
      <c r="C21" s="378"/>
      <c r="D21" s="4" t="s">
        <v>15</v>
      </c>
      <c r="E21" s="378"/>
      <c r="F21" s="4">
        <v>330</v>
      </c>
      <c r="G21" s="3" t="s">
        <v>13</v>
      </c>
      <c r="H21" s="482"/>
      <c r="I21" s="89"/>
    </row>
    <row r="22" spans="1:9" ht="15" x14ac:dyDescent="0.3">
      <c r="A22" s="490" t="s">
        <v>27</v>
      </c>
      <c r="B22" s="491"/>
      <c r="C22" s="491"/>
      <c r="D22" s="492"/>
      <c r="E22" s="90"/>
      <c r="F22" s="90"/>
      <c r="G22" s="90"/>
      <c r="H22" s="93">
        <v>2325127</v>
      </c>
      <c r="I22" s="89"/>
    </row>
    <row r="23" spans="1:9" ht="25.2" x14ac:dyDescent="0.3">
      <c r="A23" s="499" t="s">
        <v>28</v>
      </c>
      <c r="B23" s="499"/>
      <c r="C23" s="499"/>
      <c r="D23" s="499"/>
      <c r="E23" s="499"/>
      <c r="F23" s="499"/>
      <c r="G23" s="499"/>
      <c r="H23" s="499"/>
      <c r="I23" s="499"/>
    </row>
    <row r="24" spans="1:9" x14ac:dyDescent="0.3">
      <c r="A24" s="34">
        <v>1</v>
      </c>
      <c r="B24" s="35">
        <v>45383</v>
      </c>
      <c r="C24" s="9" t="s">
        <v>29</v>
      </c>
      <c r="D24" s="9" t="s">
        <v>30</v>
      </c>
      <c r="E24" s="4" t="s">
        <v>31</v>
      </c>
      <c r="F24" s="3">
        <v>3500</v>
      </c>
      <c r="G24" s="28" t="s">
        <v>32</v>
      </c>
      <c r="H24" s="78">
        <v>48300</v>
      </c>
      <c r="I24" s="29"/>
    </row>
    <row r="25" spans="1:9" x14ac:dyDescent="0.3">
      <c r="A25" s="479">
        <v>2</v>
      </c>
      <c r="B25" s="373">
        <v>45385</v>
      </c>
      <c r="C25" s="376" t="s">
        <v>29</v>
      </c>
      <c r="D25" s="376" t="s">
        <v>30</v>
      </c>
      <c r="E25" s="4" t="s">
        <v>31</v>
      </c>
      <c r="F25" s="4">
        <v>3500</v>
      </c>
      <c r="G25" s="28" t="s">
        <v>32</v>
      </c>
      <c r="H25" s="78">
        <v>48300</v>
      </c>
      <c r="I25" s="29"/>
    </row>
    <row r="26" spans="1:9" x14ac:dyDescent="0.3">
      <c r="A26" s="480"/>
      <c r="B26" s="375"/>
      <c r="C26" s="378"/>
      <c r="D26" s="378"/>
      <c r="E26" s="4" t="s">
        <v>31</v>
      </c>
      <c r="F26" s="4">
        <v>3500</v>
      </c>
      <c r="G26" s="28" t="s">
        <v>32</v>
      </c>
      <c r="H26" s="78">
        <v>48300</v>
      </c>
      <c r="I26" s="29"/>
    </row>
    <row r="27" spans="1:9" x14ac:dyDescent="0.3">
      <c r="A27" s="479">
        <v>3</v>
      </c>
      <c r="B27" s="373">
        <v>45386</v>
      </c>
      <c r="C27" s="376" t="s">
        <v>29</v>
      </c>
      <c r="D27" s="376" t="s">
        <v>30</v>
      </c>
      <c r="E27" s="376" t="s">
        <v>31</v>
      </c>
      <c r="F27" s="4">
        <v>3500</v>
      </c>
      <c r="G27" s="28" t="s">
        <v>32</v>
      </c>
      <c r="H27" s="78">
        <v>48300</v>
      </c>
      <c r="I27" s="29"/>
    </row>
    <row r="28" spans="1:9" x14ac:dyDescent="0.3">
      <c r="A28" s="480"/>
      <c r="B28" s="375"/>
      <c r="C28" s="378"/>
      <c r="D28" s="378"/>
      <c r="E28" s="378"/>
      <c r="F28" s="4">
        <v>3500</v>
      </c>
      <c r="G28" s="28" t="s">
        <v>32</v>
      </c>
      <c r="H28" s="78">
        <v>48300</v>
      </c>
      <c r="I28" s="29"/>
    </row>
    <row r="29" spans="1:9" x14ac:dyDescent="0.3">
      <c r="A29" s="30">
        <v>4</v>
      </c>
      <c r="B29" s="8">
        <v>45387</v>
      </c>
      <c r="C29" s="4" t="s">
        <v>29</v>
      </c>
      <c r="D29" s="4" t="s">
        <v>30</v>
      </c>
      <c r="E29" s="4" t="s">
        <v>31</v>
      </c>
      <c r="F29" s="4">
        <v>3500</v>
      </c>
      <c r="G29" s="28" t="s">
        <v>32</v>
      </c>
      <c r="H29" s="78">
        <v>49000</v>
      </c>
      <c r="I29" s="29"/>
    </row>
    <row r="30" spans="1:9" x14ac:dyDescent="0.3">
      <c r="A30" s="36">
        <v>5</v>
      </c>
      <c r="B30" s="8">
        <v>45388</v>
      </c>
      <c r="C30" s="4" t="s">
        <v>29</v>
      </c>
      <c r="D30" s="4" t="s">
        <v>30</v>
      </c>
      <c r="E30" s="4" t="s">
        <v>31</v>
      </c>
      <c r="F30" s="4">
        <v>3500</v>
      </c>
      <c r="G30" s="28" t="s">
        <v>32</v>
      </c>
      <c r="H30" s="78">
        <v>49000</v>
      </c>
      <c r="I30" s="38"/>
    </row>
    <row r="31" spans="1:9" x14ac:dyDescent="0.3">
      <c r="A31" s="39">
        <v>1</v>
      </c>
      <c r="B31" s="37">
        <v>45386</v>
      </c>
      <c r="C31" s="4" t="s">
        <v>29</v>
      </c>
      <c r="D31" s="3" t="s">
        <v>33</v>
      </c>
      <c r="E31" s="13" t="s">
        <v>34</v>
      </c>
      <c r="F31" s="3">
        <v>50</v>
      </c>
      <c r="G31" s="3" t="s">
        <v>35</v>
      </c>
      <c r="H31" s="79">
        <v>25500</v>
      </c>
      <c r="I31" s="21"/>
    </row>
    <row r="32" spans="1:9" x14ac:dyDescent="0.3">
      <c r="A32" s="376">
        <v>7</v>
      </c>
      <c r="B32" s="373">
        <v>45384</v>
      </c>
      <c r="C32" s="376" t="s">
        <v>10</v>
      </c>
      <c r="D32" s="4" t="s">
        <v>23</v>
      </c>
      <c r="E32" s="91"/>
      <c r="F32" s="4">
        <v>437</v>
      </c>
      <c r="G32" s="376" t="s">
        <v>12</v>
      </c>
      <c r="H32" s="481">
        <v>35795</v>
      </c>
      <c r="I32" s="92"/>
    </row>
    <row r="33" spans="1:9" x14ac:dyDescent="0.3">
      <c r="A33" s="378"/>
      <c r="B33" s="375"/>
      <c r="C33" s="378"/>
      <c r="D33" s="4" t="s">
        <v>21</v>
      </c>
      <c r="E33" s="91"/>
      <c r="F33" s="4">
        <v>92.8</v>
      </c>
      <c r="G33" s="378"/>
      <c r="H33" s="482"/>
      <c r="I33" s="92"/>
    </row>
    <row r="34" spans="1:9" x14ac:dyDescent="0.3">
      <c r="A34" s="376">
        <v>8</v>
      </c>
      <c r="B34" s="373">
        <v>45389</v>
      </c>
      <c r="C34" s="376" t="s">
        <v>10</v>
      </c>
      <c r="D34" s="4" t="s">
        <v>36</v>
      </c>
      <c r="E34" s="91"/>
      <c r="F34" s="4">
        <v>14240</v>
      </c>
      <c r="G34" s="376" t="s">
        <v>37</v>
      </c>
      <c r="H34" s="481">
        <v>1271308</v>
      </c>
      <c r="I34" s="92"/>
    </row>
    <row r="35" spans="1:9" ht="15" thickBot="1" x14ac:dyDescent="0.35">
      <c r="A35" s="378"/>
      <c r="B35" s="375"/>
      <c r="C35" s="378"/>
      <c r="D35" s="4" t="s">
        <v>38</v>
      </c>
      <c r="E35" s="91"/>
      <c r="F35" s="4">
        <v>280</v>
      </c>
      <c r="G35" s="378"/>
      <c r="H35" s="482"/>
      <c r="I35" s="92"/>
    </row>
    <row r="36" spans="1:9" x14ac:dyDescent="0.3">
      <c r="A36" s="33">
        <v>1</v>
      </c>
      <c r="B36" s="32">
        <v>45383</v>
      </c>
      <c r="C36" s="4" t="s">
        <v>39</v>
      </c>
      <c r="D36" s="4" t="s">
        <v>40</v>
      </c>
      <c r="E36" s="46"/>
      <c r="F36" s="46">
        <v>400</v>
      </c>
      <c r="G36" s="48" t="s">
        <v>41</v>
      </c>
      <c r="H36" s="80">
        <v>12800</v>
      </c>
      <c r="I36" s="47"/>
    </row>
    <row r="37" spans="1:9" ht="15" thickBot="1" x14ac:dyDescent="0.35">
      <c r="A37" s="45"/>
      <c r="B37" s="44">
        <v>45384</v>
      </c>
      <c r="C37" s="9" t="s">
        <v>39</v>
      </c>
      <c r="D37" s="9" t="s">
        <v>40</v>
      </c>
      <c r="E37" s="4"/>
      <c r="F37" s="4">
        <v>400</v>
      </c>
      <c r="G37" s="3" t="s">
        <v>41</v>
      </c>
      <c r="H37" s="83">
        <v>12800</v>
      </c>
      <c r="I37" s="6"/>
    </row>
    <row r="38" spans="1:9" ht="18.600000000000001" thickBot="1" x14ac:dyDescent="0.35">
      <c r="A38" s="500" t="s">
        <v>27</v>
      </c>
      <c r="B38" s="501"/>
      <c r="C38" s="501"/>
      <c r="D38" s="502"/>
      <c r="E38" s="22"/>
      <c r="F38" s="22"/>
      <c r="G38" s="23"/>
      <c r="H38" s="84">
        <v>1697703</v>
      </c>
      <c r="I38" s="85"/>
    </row>
    <row r="39" spans="1:9" ht="23.4" thickBot="1" x14ac:dyDescent="0.35">
      <c r="A39" s="456" t="s">
        <v>42</v>
      </c>
      <c r="B39" s="457"/>
      <c r="C39" s="457"/>
      <c r="D39" s="457"/>
      <c r="E39" s="457"/>
      <c r="F39" s="457"/>
      <c r="G39" s="457"/>
      <c r="H39" s="457"/>
      <c r="I39" s="458"/>
    </row>
    <row r="40" spans="1:9" x14ac:dyDescent="0.3">
      <c r="A40" s="14">
        <v>1</v>
      </c>
      <c r="B40" s="15">
        <v>45420</v>
      </c>
      <c r="C40" s="16" t="s">
        <v>43</v>
      </c>
      <c r="D40" s="68" t="s">
        <v>44</v>
      </c>
      <c r="E40" s="17"/>
      <c r="F40" s="17">
        <v>400</v>
      </c>
      <c r="G40" s="16" t="s">
        <v>41</v>
      </c>
      <c r="H40" s="81">
        <v>27000</v>
      </c>
      <c r="I40" s="19"/>
    </row>
    <row r="41" spans="1:9" x14ac:dyDescent="0.3">
      <c r="A41" s="7">
        <v>2</v>
      </c>
      <c r="B41" s="8">
        <v>45420</v>
      </c>
      <c r="C41" s="3" t="s">
        <v>43</v>
      </c>
      <c r="D41" s="3" t="s">
        <v>44</v>
      </c>
      <c r="E41" s="4"/>
      <c r="F41" s="4">
        <v>400</v>
      </c>
      <c r="G41" s="3" t="s">
        <v>41</v>
      </c>
      <c r="H41" s="81">
        <v>27000</v>
      </c>
      <c r="I41" s="6"/>
    </row>
    <row r="42" spans="1:9" x14ac:dyDescent="0.3">
      <c r="A42" s="7">
        <v>3</v>
      </c>
      <c r="B42" s="8">
        <v>45422</v>
      </c>
      <c r="C42" s="3" t="s">
        <v>43</v>
      </c>
      <c r="D42" s="3" t="s">
        <v>44</v>
      </c>
      <c r="E42" s="4"/>
      <c r="F42" s="4">
        <v>400</v>
      </c>
      <c r="G42" s="3" t="s">
        <v>41</v>
      </c>
      <c r="H42" s="81">
        <v>27000</v>
      </c>
      <c r="I42" s="6"/>
    </row>
    <row r="43" spans="1:9" x14ac:dyDescent="0.3">
      <c r="A43" s="7">
        <v>4</v>
      </c>
      <c r="B43" s="8">
        <v>45422</v>
      </c>
      <c r="C43" s="3" t="s">
        <v>43</v>
      </c>
      <c r="D43" s="3" t="s">
        <v>44</v>
      </c>
      <c r="E43" s="4"/>
      <c r="F43" s="4">
        <v>400</v>
      </c>
      <c r="G43" s="3" t="s">
        <v>41</v>
      </c>
      <c r="H43" s="81">
        <v>27000</v>
      </c>
      <c r="I43" s="6"/>
    </row>
    <row r="44" spans="1:9" x14ac:dyDescent="0.3">
      <c r="A44" s="7">
        <v>1</v>
      </c>
      <c r="B44" s="32">
        <v>45422</v>
      </c>
      <c r="C44" s="4" t="s">
        <v>45</v>
      </c>
      <c r="D44" s="4" t="s">
        <v>46</v>
      </c>
      <c r="E44" s="4"/>
      <c r="F44" s="4">
        <v>5131</v>
      </c>
      <c r="G44" s="3" t="s">
        <v>13</v>
      </c>
      <c r="H44" s="6">
        <v>587282</v>
      </c>
    </row>
    <row r="45" spans="1:9" x14ac:dyDescent="0.3">
      <c r="A45" s="1">
        <v>5</v>
      </c>
      <c r="B45" s="8">
        <v>45436</v>
      </c>
      <c r="C45" s="3" t="s">
        <v>43</v>
      </c>
      <c r="D45" s="3" t="s">
        <v>44</v>
      </c>
      <c r="E45" s="4"/>
      <c r="F45" s="4">
        <v>400</v>
      </c>
      <c r="G45" s="3" t="s">
        <v>41</v>
      </c>
      <c r="H45" s="81">
        <v>12500</v>
      </c>
      <c r="I45" s="6"/>
    </row>
    <row r="46" spans="1:9" x14ac:dyDescent="0.3">
      <c r="A46" s="7">
        <v>6</v>
      </c>
      <c r="B46" s="8">
        <v>45436</v>
      </c>
      <c r="C46" s="3" t="s">
        <v>43</v>
      </c>
      <c r="D46" s="3" t="s">
        <v>44</v>
      </c>
      <c r="E46" s="4"/>
      <c r="F46" s="17">
        <v>400</v>
      </c>
      <c r="G46" s="16" t="s">
        <v>41</v>
      </c>
      <c r="H46" s="78">
        <v>12500</v>
      </c>
      <c r="I46" s="6"/>
    </row>
    <row r="47" spans="1:9" x14ac:dyDescent="0.3">
      <c r="A47" s="1">
        <v>7</v>
      </c>
      <c r="B47" s="15">
        <v>45421</v>
      </c>
      <c r="C47" s="3" t="s">
        <v>43</v>
      </c>
      <c r="D47" s="16" t="s">
        <v>47</v>
      </c>
      <c r="E47" s="16"/>
      <c r="F47" s="17">
        <v>400</v>
      </c>
      <c r="G47" s="16" t="s">
        <v>41</v>
      </c>
      <c r="H47" s="81">
        <v>22000</v>
      </c>
      <c r="I47" s="19"/>
    </row>
    <row r="48" spans="1:9" x14ac:dyDescent="0.3">
      <c r="A48" s="7">
        <v>8</v>
      </c>
      <c r="B48" s="15">
        <v>45421</v>
      </c>
      <c r="C48" s="3" t="s">
        <v>43</v>
      </c>
      <c r="D48" s="3" t="s">
        <v>47</v>
      </c>
      <c r="E48" s="4"/>
      <c r="F48" s="4">
        <v>400</v>
      </c>
      <c r="G48" s="3" t="s">
        <v>41</v>
      </c>
      <c r="H48" s="81">
        <v>22000</v>
      </c>
      <c r="I48" s="6"/>
    </row>
    <row r="49" spans="1:9" x14ac:dyDescent="0.3">
      <c r="A49" s="7">
        <v>9</v>
      </c>
      <c r="B49" s="15">
        <v>45421</v>
      </c>
      <c r="C49" s="3" t="s">
        <v>43</v>
      </c>
      <c r="D49" s="3" t="s">
        <v>47</v>
      </c>
      <c r="E49" s="4"/>
      <c r="F49" s="4">
        <v>400</v>
      </c>
      <c r="G49" s="3" t="s">
        <v>41</v>
      </c>
      <c r="H49" s="81">
        <v>22000</v>
      </c>
      <c r="I49" s="6"/>
    </row>
    <row r="50" spans="1:9" x14ac:dyDescent="0.3">
      <c r="A50" s="7">
        <v>10</v>
      </c>
      <c r="B50" s="2">
        <v>45436</v>
      </c>
      <c r="C50" s="3" t="s">
        <v>43</v>
      </c>
      <c r="D50" s="3" t="s">
        <v>47</v>
      </c>
      <c r="E50" s="4"/>
      <c r="F50" s="4">
        <v>400</v>
      </c>
      <c r="G50" s="3" t="s">
        <v>41</v>
      </c>
      <c r="H50" s="81">
        <v>22000</v>
      </c>
      <c r="I50" s="6"/>
    </row>
    <row r="51" spans="1:9" x14ac:dyDescent="0.3">
      <c r="A51" s="1">
        <v>11</v>
      </c>
      <c r="B51" s="15">
        <v>45439</v>
      </c>
      <c r="C51" s="3" t="s">
        <v>43</v>
      </c>
      <c r="D51" s="4" t="s">
        <v>30</v>
      </c>
      <c r="E51" s="16"/>
      <c r="F51" s="4">
        <v>1500</v>
      </c>
      <c r="G51" s="16" t="s">
        <v>32</v>
      </c>
      <c r="H51" s="81">
        <v>21750</v>
      </c>
      <c r="I51" s="19"/>
    </row>
    <row r="52" spans="1:9" x14ac:dyDescent="0.3">
      <c r="A52" s="7">
        <v>12</v>
      </c>
      <c r="B52" s="15">
        <v>45440</v>
      </c>
      <c r="C52" s="3" t="s">
        <v>43</v>
      </c>
      <c r="D52" s="4" t="s">
        <v>30</v>
      </c>
      <c r="E52" s="4"/>
      <c r="F52" s="4">
        <v>3000</v>
      </c>
      <c r="G52" s="3" t="s">
        <v>32</v>
      </c>
      <c r="H52" s="81">
        <v>43500</v>
      </c>
      <c r="I52" s="6"/>
    </row>
    <row r="53" spans="1:9" x14ac:dyDescent="0.3">
      <c r="A53" s="1">
        <v>13</v>
      </c>
      <c r="B53" s="15">
        <v>45440</v>
      </c>
      <c r="C53" s="3" t="s">
        <v>43</v>
      </c>
      <c r="D53" s="4" t="s">
        <v>30</v>
      </c>
      <c r="E53" s="4"/>
      <c r="F53" s="4">
        <v>1500</v>
      </c>
      <c r="G53" s="3" t="s">
        <v>32</v>
      </c>
      <c r="H53" s="81">
        <v>21750</v>
      </c>
      <c r="I53" s="6"/>
    </row>
    <row r="54" spans="1:9" ht="15" thickBot="1" x14ac:dyDescent="0.35">
      <c r="A54" s="54">
        <v>14</v>
      </c>
      <c r="B54" s="57">
        <v>45440</v>
      </c>
      <c r="C54" s="10" t="s">
        <v>43</v>
      </c>
      <c r="D54" s="4" t="s">
        <v>30</v>
      </c>
      <c r="E54" s="4"/>
      <c r="F54" s="4">
        <v>3000</v>
      </c>
      <c r="G54" s="3" t="s">
        <v>32</v>
      </c>
      <c r="H54" s="82">
        <v>43500</v>
      </c>
      <c r="I54" s="6"/>
    </row>
    <row r="55" spans="1:9" ht="16.2" thickBot="1" x14ac:dyDescent="0.35">
      <c r="A55" s="468" t="s">
        <v>27</v>
      </c>
      <c r="B55" s="469"/>
      <c r="C55" s="470"/>
      <c r="D55" s="23"/>
      <c r="E55" s="63"/>
      <c r="F55" s="63"/>
      <c r="G55" s="62"/>
      <c r="H55" s="70">
        <v>938782</v>
      </c>
      <c r="I55" s="71"/>
    </row>
    <row r="56" spans="1:9" ht="25.8" thickBot="1" x14ac:dyDescent="0.35">
      <c r="A56" s="459" t="s">
        <v>48</v>
      </c>
      <c r="B56" s="460"/>
      <c r="C56" s="460"/>
      <c r="D56" s="460"/>
      <c r="E56" s="460"/>
      <c r="F56" s="460"/>
      <c r="G56" s="460"/>
      <c r="H56" s="460"/>
      <c r="I56" s="461"/>
    </row>
    <row r="57" spans="1:9" x14ac:dyDescent="0.3">
      <c r="A57" s="25">
        <v>15</v>
      </c>
      <c r="B57" s="26">
        <v>45446</v>
      </c>
      <c r="C57" s="16" t="s">
        <v>43</v>
      </c>
      <c r="D57" s="16" t="s">
        <v>44</v>
      </c>
      <c r="E57" s="17"/>
      <c r="F57" s="17">
        <v>400</v>
      </c>
      <c r="G57" s="16" t="s">
        <v>41</v>
      </c>
      <c r="H57" s="18">
        <v>20000</v>
      </c>
      <c r="I57" s="19"/>
    </row>
    <row r="58" spans="1:9" x14ac:dyDescent="0.3">
      <c r="A58" s="7">
        <v>16</v>
      </c>
      <c r="B58" s="8">
        <v>45446</v>
      </c>
      <c r="C58" s="3" t="s">
        <v>43</v>
      </c>
      <c r="D58" s="3" t="s">
        <v>44</v>
      </c>
      <c r="E58" s="4"/>
      <c r="F58" s="4">
        <v>400</v>
      </c>
      <c r="G58" s="3" t="s">
        <v>41</v>
      </c>
      <c r="H58" s="5">
        <v>20000</v>
      </c>
      <c r="I58" s="6"/>
    </row>
    <row r="59" spans="1:9" x14ac:dyDescent="0.3">
      <c r="A59" s="1">
        <v>17</v>
      </c>
      <c r="B59" s="8">
        <v>45446</v>
      </c>
      <c r="C59" s="3" t="s">
        <v>43</v>
      </c>
      <c r="D59" s="3" t="s">
        <v>44</v>
      </c>
      <c r="E59" s="4"/>
      <c r="F59" s="4">
        <v>400</v>
      </c>
      <c r="G59" s="3" t="s">
        <v>41</v>
      </c>
      <c r="H59" s="5">
        <v>20000</v>
      </c>
      <c r="I59" s="6"/>
    </row>
    <row r="60" spans="1:9" x14ac:dyDescent="0.3">
      <c r="A60" s="7">
        <v>18</v>
      </c>
      <c r="B60" s="8">
        <v>45447</v>
      </c>
      <c r="C60" s="3" t="s">
        <v>43</v>
      </c>
      <c r="D60" s="3" t="s">
        <v>44</v>
      </c>
      <c r="E60" s="9"/>
      <c r="F60" s="9">
        <v>400</v>
      </c>
      <c r="G60" s="3" t="s">
        <v>41</v>
      </c>
      <c r="H60" s="5">
        <v>20000</v>
      </c>
      <c r="I60" s="12"/>
    </row>
    <row r="61" spans="1:9" x14ac:dyDescent="0.3">
      <c r="A61" s="1">
        <v>19</v>
      </c>
      <c r="B61" s="8">
        <v>45447</v>
      </c>
      <c r="C61" s="3" t="s">
        <v>43</v>
      </c>
      <c r="D61" s="3" t="s">
        <v>44</v>
      </c>
      <c r="E61" s="9"/>
      <c r="F61" s="9">
        <v>400</v>
      </c>
      <c r="G61" s="3" t="s">
        <v>41</v>
      </c>
      <c r="H61" s="5">
        <v>20000</v>
      </c>
      <c r="I61" s="12"/>
    </row>
    <row r="62" spans="1:9" x14ac:dyDescent="0.3">
      <c r="A62" s="7">
        <v>20</v>
      </c>
      <c r="B62" s="40">
        <v>45455</v>
      </c>
      <c r="C62" s="41" t="s">
        <v>43</v>
      </c>
      <c r="D62" s="3" t="s">
        <v>49</v>
      </c>
      <c r="E62" s="55"/>
      <c r="F62" s="55">
        <v>400</v>
      </c>
      <c r="G62" s="41" t="s">
        <v>41</v>
      </c>
      <c r="H62" s="56">
        <v>20000</v>
      </c>
      <c r="I62" s="12"/>
    </row>
    <row r="63" spans="1:9" x14ac:dyDescent="0.3">
      <c r="A63" s="7">
        <v>21</v>
      </c>
      <c r="B63" s="40">
        <v>45455</v>
      </c>
      <c r="C63" s="41" t="s">
        <v>43</v>
      </c>
      <c r="D63" s="3" t="s">
        <v>49</v>
      </c>
      <c r="E63" s="55"/>
      <c r="F63" s="55">
        <v>400</v>
      </c>
      <c r="G63" s="41" t="s">
        <v>41</v>
      </c>
      <c r="H63" s="56">
        <v>20000</v>
      </c>
      <c r="I63" s="12"/>
    </row>
    <row r="64" spans="1:9" x14ac:dyDescent="0.3">
      <c r="A64" s="7">
        <v>22</v>
      </c>
      <c r="B64" s="40">
        <v>45455</v>
      </c>
      <c r="C64" s="41" t="s">
        <v>43</v>
      </c>
      <c r="D64" s="3" t="s">
        <v>49</v>
      </c>
      <c r="E64" s="55"/>
      <c r="F64" s="55">
        <v>400</v>
      </c>
      <c r="G64" s="41" t="s">
        <v>41</v>
      </c>
      <c r="H64" s="56">
        <v>20000</v>
      </c>
      <c r="I64" s="12"/>
    </row>
    <row r="65" spans="1:9" x14ac:dyDescent="0.3">
      <c r="A65" s="1">
        <v>23</v>
      </c>
      <c r="B65" s="40">
        <v>45455</v>
      </c>
      <c r="C65" s="41" t="s">
        <v>43</v>
      </c>
      <c r="D65" s="3" t="s">
        <v>49</v>
      </c>
      <c r="E65" s="55"/>
      <c r="F65" s="55">
        <v>400</v>
      </c>
      <c r="G65" s="41" t="s">
        <v>41</v>
      </c>
      <c r="H65" s="56">
        <v>20000</v>
      </c>
      <c r="I65" s="12"/>
    </row>
    <row r="66" spans="1:9" x14ac:dyDescent="0.3">
      <c r="A66" s="7">
        <v>24</v>
      </c>
      <c r="B66" s="2" t="s">
        <v>50</v>
      </c>
      <c r="C66" s="41" t="s">
        <v>43</v>
      </c>
      <c r="D66" s="3" t="s">
        <v>49</v>
      </c>
      <c r="E66" s="9"/>
      <c r="F66" s="9">
        <v>6800</v>
      </c>
      <c r="G66" s="3" t="s">
        <v>41</v>
      </c>
      <c r="H66" s="5">
        <v>340000</v>
      </c>
      <c r="I66" s="12"/>
    </row>
    <row r="67" spans="1:9" x14ac:dyDescent="0.3">
      <c r="A67" s="7">
        <v>26</v>
      </c>
      <c r="B67" s="2">
        <v>45446</v>
      </c>
      <c r="C67" s="3" t="s">
        <v>43</v>
      </c>
      <c r="D67" s="3" t="s">
        <v>47</v>
      </c>
      <c r="E67" s="4"/>
      <c r="F67" s="4">
        <v>400</v>
      </c>
      <c r="G67" s="3" t="s">
        <v>41</v>
      </c>
      <c r="H67" s="18">
        <v>22000</v>
      </c>
      <c r="I67" s="6"/>
    </row>
    <row r="68" spans="1:9" x14ac:dyDescent="0.3">
      <c r="A68" s="7">
        <v>27</v>
      </c>
      <c r="B68" s="2">
        <v>45446</v>
      </c>
      <c r="C68" s="3" t="s">
        <v>43</v>
      </c>
      <c r="D68" s="3" t="s">
        <v>47</v>
      </c>
      <c r="E68" s="4"/>
      <c r="F68" s="4">
        <v>400</v>
      </c>
      <c r="G68" s="3" t="s">
        <v>41</v>
      </c>
      <c r="H68" s="18">
        <v>22000</v>
      </c>
      <c r="I68" s="6"/>
    </row>
    <row r="69" spans="1:9" x14ac:dyDescent="0.3">
      <c r="A69" s="7">
        <v>28</v>
      </c>
      <c r="B69" s="2">
        <v>45447</v>
      </c>
      <c r="C69" s="3" t="s">
        <v>43</v>
      </c>
      <c r="D69" s="3" t="s">
        <v>47</v>
      </c>
      <c r="E69" s="4"/>
      <c r="F69" s="4">
        <v>400</v>
      </c>
      <c r="G69" s="3" t="s">
        <v>41</v>
      </c>
      <c r="H69" s="18">
        <v>22000</v>
      </c>
      <c r="I69" s="6"/>
    </row>
    <row r="70" spans="1:9" x14ac:dyDescent="0.3">
      <c r="A70" s="1">
        <v>29</v>
      </c>
      <c r="B70" s="2">
        <v>45447</v>
      </c>
      <c r="C70" s="3" t="s">
        <v>43</v>
      </c>
      <c r="D70" s="3" t="s">
        <v>47</v>
      </c>
      <c r="E70" s="4"/>
      <c r="F70" s="4">
        <v>400</v>
      </c>
      <c r="G70" s="3" t="s">
        <v>41</v>
      </c>
      <c r="H70" s="18">
        <v>22000</v>
      </c>
      <c r="I70" s="6"/>
    </row>
    <row r="71" spans="1:9" ht="15" thickBot="1" x14ac:dyDescent="0.35">
      <c r="A71" s="7">
        <v>30</v>
      </c>
      <c r="B71" s="2">
        <v>45447</v>
      </c>
      <c r="C71" s="3" t="s">
        <v>43</v>
      </c>
      <c r="D71" s="3" t="s">
        <v>47</v>
      </c>
      <c r="E71" s="4"/>
      <c r="F71" s="4">
        <v>400</v>
      </c>
      <c r="G71" s="3" t="s">
        <v>41</v>
      </c>
      <c r="H71" s="18">
        <v>22000</v>
      </c>
      <c r="I71" s="12"/>
    </row>
    <row r="72" spans="1:9" ht="15" thickBot="1" x14ac:dyDescent="0.35">
      <c r="A72" s="7">
        <v>1</v>
      </c>
      <c r="B72" s="8">
        <v>45447</v>
      </c>
      <c r="C72" s="4" t="s">
        <v>51</v>
      </c>
      <c r="D72" s="4" t="s">
        <v>33</v>
      </c>
      <c r="E72" s="4"/>
      <c r="F72" s="4">
        <v>620</v>
      </c>
      <c r="G72" s="4" t="s">
        <v>35</v>
      </c>
      <c r="H72" s="6">
        <v>260400</v>
      </c>
      <c r="I72" s="86"/>
    </row>
    <row r="73" spans="1:9" x14ac:dyDescent="0.3">
      <c r="A73" s="1">
        <v>31</v>
      </c>
      <c r="B73" s="15">
        <v>45453</v>
      </c>
      <c r="C73" s="41" t="s">
        <v>43</v>
      </c>
      <c r="D73" s="41" t="s">
        <v>52</v>
      </c>
      <c r="E73" s="16"/>
      <c r="F73" s="17">
        <v>400</v>
      </c>
      <c r="G73" s="16" t="s">
        <v>41</v>
      </c>
      <c r="H73" s="18">
        <v>5000</v>
      </c>
      <c r="I73" s="19"/>
    </row>
    <row r="74" spans="1:9" x14ac:dyDescent="0.3">
      <c r="A74" s="7">
        <v>1</v>
      </c>
      <c r="B74" s="32">
        <v>45456</v>
      </c>
      <c r="C74" s="4" t="s">
        <v>53</v>
      </c>
      <c r="D74" s="4" t="s">
        <v>54</v>
      </c>
      <c r="E74" s="4"/>
      <c r="F74" s="4">
        <v>985</v>
      </c>
      <c r="G74" s="3" t="s">
        <v>13</v>
      </c>
      <c r="H74" s="50">
        <v>67000</v>
      </c>
      <c r="I74" s="13"/>
    </row>
    <row r="75" spans="1:9" x14ac:dyDescent="0.3">
      <c r="A75" s="7">
        <v>32</v>
      </c>
      <c r="B75" s="51">
        <v>45470</v>
      </c>
      <c r="C75" s="4" t="s">
        <v>43</v>
      </c>
      <c r="D75" s="4" t="s">
        <v>30</v>
      </c>
      <c r="E75" s="27"/>
      <c r="F75" s="52">
        <v>1500</v>
      </c>
      <c r="G75" s="28" t="s">
        <v>32</v>
      </c>
      <c r="H75" s="5">
        <v>21750</v>
      </c>
      <c r="I75" s="29"/>
    </row>
    <row r="76" spans="1:9" x14ac:dyDescent="0.3">
      <c r="A76" s="1">
        <v>33</v>
      </c>
      <c r="B76" s="37">
        <v>45471</v>
      </c>
      <c r="C76" s="4" t="s">
        <v>55</v>
      </c>
      <c r="D76" s="3" t="s">
        <v>33</v>
      </c>
      <c r="E76" s="13" t="s">
        <v>34</v>
      </c>
      <c r="F76" s="3">
        <v>200</v>
      </c>
      <c r="G76" s="3" t="s">
        <v>35</v>
      </c>
      <c r="H76" s="20">
        <v>90000</v>
      </c>
      <c r="I76" s="21"/>
    </row>
    <row r="77" spans="1:9" ht="15" thickBot="1" x14ac:dyDescent="0.35">
      <c r="A77" s="7">
        <v>34</v>
      </c>
      <c r="B77" s="2">
        <v>45472</v>
      </c>
      <c r="C77" s="4" t="s">
        <v>43</v>
      </c>
      <c r="D77" s="4" t="s">
        <v>30</v>
      </c>
      <c r="E77" s="27"/>
      <c r="F77" s="4">
        <v>1500</v>
      </c>
      <c r="G77" s="28" t="s">
        <v>32</v>
      </c>
      <c r="H77" s="11">
        <v>21750</v>
      </c>
      <c r="I77" s="21"/>
    </row>
    <row r="78" spans="1:9" ht="18.600000000000001" thickBot="1" x14ac:dyDescent="0.35">
      <c r="A78" s="72"/>
      <c r="B78" s="73"/>
      <c r="C78" s="63"/>
      <c r="D78" s="63"/>
      <c r="E78" s="63"/>
      <c r="F78" s="63"/>
      <c r="G78" s="74"/>
      <c r="H78" s="75">
        <v>1095900</v>
      </c>
      <c r="I78" s="69"/>
    </row>
    <row r="79" spans="1:9" ht="25.8" thickBot="1" x14ac:dyDescent="0.65">
      <c r="A79" s="462" t="s">
        <v>56</v>
      </c>
      <c r="B79" s="463"/>
      <c r="C79" s="463"/>
      <c r="D79" s="463"/>
      <c r="E79" s="463"/>
      <c r="F79" s="463"/>
      <c r="G79" s="463"/>
      <c r="H79" s="463"/>
      <c r="I79" s="464"/>
    </row>
    <row r="80" spans="1:9" x14ac:dyDescent="0.3">
      <c r="A80" s="25">
        <v>32</v>
      </c>
      <c r="B80" s="26">
        <v>45477</v>
      </c>
      <c r="C80" s="16" t="s">
        <v>43</v>
      </c>
      <c r="D80" s="16" t="s">
        <v>44</v>
      </c>
      <c r="E80" s="17"/>
      <c r="F80" s="17">
        <v>400</v>
      </c>
      <c r="G80" s="16" t="s">
        <v>41</v>
      </c>
      <c r="H80" s="18">
        <v>20000</v>
      </c>
      <c r="I80" s="19"/>
    </row>
    <row r="81" spans="1:9" x14ac:dyDescent="0.3">
      <c r="A81" s="7">
        <v>33</v>
      </c>
      <c r="B81" s="2">
        <v>45492</v>
      </c>
      <c r="C81" s="3" t="s">
        <v>43</v>
      </c>
      <c r="D81" s="3" t="s">
        <v>44</v>
      </c>
      <c r="E81" s="4"/>
      <c r="F81" s="4">
        <v>400</v>
      </c>
      <c r="G81" s="16" t="s">
        <v>41</v>
      </c>
      <c r="H81" s="5">
        <v>20000</v>
      </c>
      <c r="I81" s="6"/>
    </row>
    <row r="82" spans="1:9" x14ac:dyDescent="0.3">
      <c r="A82" s="7">
        <v>34</v>
      </c>
      <c r="B82" s="2">
        <v>45498</v>
      </c>
      <c r="C82" s="3" t="s">
        <v>43</v>
      </c>
      <c r="D82" s="3" t="s">
        <v>44</v>
      </c>
      <c r="E82" s="4"/>
      <c r="F82" s="4">
        <v>400</v>
      </c>
      <c r="G82" s="16" t="s">
        <v>41</v>
      </c>
      <c r="H82" s="5">
        <v>20000</v>
      </c>
      <c r="I82" s="6"/>
    </row>
    <row r="83" spans="1:9" x14ac:dyDescent="0.3">
      <c r="A83" s="1">
        <v>35</v>
      </c>
      <c r="B83" s="2">
        <v>45498</v>
      </c>
      <c r="C83" s="3" t="s">
        <v>43</v>
      </c>
      <c r="D83" s="3" t="s">
        <v>44</v>
      </c>
      <c r="E83" s="4"/>
      <c r="F83" s="4">
        <v>400</v>
      </c>
      <c r="G83" s="16" t="s">
        <v>41</v>
      </c>
      <c r="H83" s="5">
        <v>20000</v>
      </c>
      <c r="I83" s="6"/>
    </row>
    <row r="84" spans="1:9" ht="15" thickBot="1" x14ac:dyDescent="0.35">
      <c r="A84" s="7">
        <v>36</v>
      </c>
      <c r="B84" s="8">
        <v>45491</v>
      </c>
      <c r="C84" s="3" t="s">
        <v>43</v>
      </c>
      <c r="D84" s="16" t="s">
        <v>47</v>
      </c>
      <c r="E84" s="16"/>
      <c r="F84" s="17">
        <v>400</v>
      </c>
      <c r="G84" s="16" t="s">
        <v>41</v>
      </c>
      <c r="H84" s="18">
        <v>22000</v>
      </c>
      <c r="I84" s="53"/>
    </row>
    <row r="85" spans="1:9" ht="15" thickBot="1" x14ac:dyDescent="0.35">
      <c r="A85" s="1">
        <v>2</v>
      </c>
      <c r="B85" s="2">
        <v>45497</v>
      </c>
      <c r="C85" s="4" t="s">
        <v>51</v>
      </c>
      <c r="D85" s="4" t="s">
        <v>33</v>
      </c>
      <c r="E85" s="3"/>
      <c r="F85" s="3">
        <v>520</v>
      </c>
      <c r="G85" s="4" t="s">
        <v>35</v>
      </c>
      <c r="H85" s="6">
        <v>218400</v>
      </c>
      <c r="I85" s="86"/>
    </row>
    <row r="86" spans="1:9" x14ac:dyDescent="0.3">
      <c r="A86" s="1">
        <v>37</v>
      </c>
      <c r="B86" s="8">
        <v>45492</v>
      </c>
      <c r="C86" s="3" t="s">
        <v>43</v>
      </c>
      <c r="D86" s="16" t="s">
        <v>47</v>
      </c>
      <c r="E86" s="16"/>
      <c r="F86" s="4">
        <v>400</v>
      </c>
      <c r="G86" s="16" t="s">
        <v>41</v>
      </c>
      <c r="H86" s="18">
        <v>22000</v>
      </c>
      <c r="I86" s="19"/>
    </row>
    <row r="87" spans="1:9" x14ac:dyDescent="0.3">
      <c r="A87" s="7">
        <v>38</v>
      </c>
      <c r="B87" s="8">
        <v>45498</v>
      </c>
      <c r="C87" s="3" t="s">
        <v>43</v>
      </c>
      <c r="D87" s="16" t="s">
        <v>47</v>
      </c>
      <c r="E87" s="16"/>
      <c r="F87" s="4">
        <v>400</v>
      </c>
      <c r="G87" s="16" t="s">
        <v>41</v>
      </c>
      <c r="H87" s="18">
        <v>22000</v>
      </c>
      <c r="I87" s="6"/>
    </row>
    <row r="88" spans="1:9" x14ac:dyDescent="0.3">
      <c r="A88" s="385">
        <v>2</v>
      </c>
      <c r="B88" s="373">
        <v>45490</v>
      </c>
      <c r="C88" s="376" t="s">
        <v>57</v>
      </c>
      <c r="D88" s="4" t="s">
        <v>58</v>
      </c>
      <c r="E88" s="4"/>
      <c r="F88" s="4">
        <v>160</v>
      </c>
      <c r="G88" s="3" t="s">
        <v>13</v>
      </c>
      <c r="H88" s="471">
        <v>389334</v>
      </c>
      <c r="I88" s="4">
        <v>5</v>
      </c>
    </row>
    <row r="89" spans="1:9" x14ac:dyDescent="0.3">
      <c r="A89" s="386"/>
      <c r="B89" s="374"/>
      <c r="C89" s="377"/>
      <c r="D89" s="4" t="s">
        <v>59</v>
      </c>
      <c r="E89" s="4"/>
      <c r="F89" s="4">
        <v>498.5</v>
      </c>
      <c r="G89" s="3" t="s">
        <v>13</v>
      </c>
      <c r="H89" s="472"/>
      <c r="I89" s="4">
        <v>27</v>
      </c>
    </row>
    <row r="90" spans="1:9" x14ac:dyDescent="0.3">
      <c r="A90" s="386"/>
      <c r="B90" s="374"/>
      <c r="C90" s="377"/>
      <c r="D90" s="4" t="s">
        <v>60</v>
      </c>
      <c r="E90" s="4"/>
      <c r="F90" s="4">
        <v>1186</v>
      </c>
      <c r="G90" s="3" t="s">
        <v>13</v>
      </c>
      <c r="H90" s="472"/>
      <c r="I90" s="4">
        <v>49</v>
      </c>
    </row>
    <row r="91" spans="1:9" x14ac:dyDescent="0.3">
      <c r="A91" s="386"/>
      <c r="B91" s="374"/>
      <c r="C91" s="377"/>
      <c r="D91" s="4" t="s">
        <v>61</v>
      </c>
      <c r="E91" s="4"/>
      <c r="F91" s="4">
        <v>186</v>
      </c>
      <c r="G91" s="3" t="s">
        <v>13</v>
      </c>
      <c r="H91" s="472"/>
      <c r="I91" s="4">
        <v>2</v>
      </c>
    </row>
    <row r="92" spans="1:9" x14ac:dyDescent="0.3">
      <c r="A92" s="386"/>
      <c r="B92" s="374"/>
      <c r="C92" s="377"/>
      <c r="D92" s="4" t="s">
        <v>62</v>
      </c>
      <c r="E92" s="4"/>
      <c r="F92" s="4">
        <v>46.5</v>
      </c>
      <c r="G92" s="3" t="s">
        <v>13</v>
      </c>
      <c r="H92" s="472"/>
      <c r="I92" s="4">
        <v>2</v>
      </c>
    </row>
    <row r="93" spans="1:9" x14ac:dyDescent="0.3">
      <c r="A93" s="386"/>
      <c r="B93" s="374"/>
      <c r="C93" s="377"/>
      <c r="D93" s="4" t="s">
        <v>63</v>
      </c>
      <c r="E93" s="4"/>
      <c r="F93" s="4">
        <v>55</v>
      </c>
      <c r="G93" s="3" t="s">
        <v>13</v>
      </c>
      <c r="H93" s="472"/>
      <c r="I93" s="4">
        <v>3</v>
      </c>
    </row>
    <row r="94" spans="1:9" x14ac:dyDescent="0.3">
      <c r="A94" s="386"/>
      <c r="B94" s="374"/>
      <c r="C94" s="377"/>
      <c r="D94" s="4" t="s">
        <v>64</v>
      </c>
      <c r="E94" s="4"/>
      <c r="F94" s="4">
        <v>1945.5</v>
      </c>
      <c r="G94" s="3" t="s">
        <v>13</v>
      </c>
      <c r="H94" s="472"/>
      <c r="I94" s="4">
        <v>200</v>
      </c>
    </row>
    <row r="95" spans="1:9" x14ac:dyDescent="0.3">
      <c r="A95" s="386"/>
      <c r="B95" s="374"/>
      <c r="C95" s="377"/>
      <c r="D95" s="4" t="s">
        <v>65</v>
      </c>
      <c r="E95" s="4"/>
      <c r="F95" s="4">
        <v>1870</v>
      </c>
      <c r="G95" s="3" t="s">
        <v>13</v>
      </c>
      <c r="H95" s="472"/>
      <c r="I95" s="4">
        <v>300</v>
      </c>
    </row>
    <row r="96" spans="1:9" x14ac:dyDescent="0.3">
      <c r="A96" s="386"/>
      <c r="B96" s="374"/>
      <c r="C96" s="377"/>
      <c r="D96" s="4" t="s">
        <v>66</v>
      </c>
      <c r="E96" s="4"/>
      <c r="F96" s="4">
        <v>287.5</v>
      </c>
      <c r="G96" s="3" t="s">
        <v>13</v>
      </c>
      <c r="H96" s="472"/>
      <c r="I96" s="4">
        <v>18</v>
      </c>
    </row>
    <row r="97" spans="1:9" x14ac:dyDescent="0.3">
      <c r="A97" s="386"/>
      <c r="B97" s="374"/>
      <c r="C97" s="377"/>
      <c r="D97" s="4" t="s">
        <v>67</v>
      </c>
      <c r="E97" s="4"/>
      <c r="F97" s="4">
        <v>125</v>
      </c>
      <c r="G97" s="3" t="s">
        <v>13</v>
      </c>
      <c r="H97" s="472"/>
      <c r="I97" s="4"/>
    </row>
    <row r="98" spans="1:9" x14ac:dyDescent="0.3">
      <c r="A98" s="386"/>
      <c r="B98" s="374"/>
      <c r="C98" s="377"/>
      <c r="D98" s="4" t="s">
        <v>68</v>
      </c>
      <c r="E98" s="4"/>
      <c r="F98" s="4">
        <v>2.5</v>
      </c>
      <c r="G98" s="3" t="s">
        <v>13</v>
      </c>
      <c r="H98" s="473"/>
      <c r="I98" s="4"/>
    </row>
    <row r="99" spans="1:9" x14ac:dyDescent="0.3">
      <c r="A99" s="385">
        <v>3</v>
      </c>
      <c r="B99" s="373">
        <v>45499</v>
      </c>
      <c r="C99" s="376" t="s">
        <v>69</v>
      </c>
      <c r="D99" s="4" t="s">
        <v>60</v>
      </c>
      <c r="E99" s="4"/>
      <c r="F99" s="4">
        <v>2349</v>
      </c>
      <c r="G99" s="3" t="s">
        <v>13</v>
      </c>
      <c r="H99" s="471">
        <v>618184</v>
      </c>
      <c r="I99" s="4">
        <v>96</v>
      </c>
    </row>
    <row r="100" spans="1:9" x14ac:dyDescent="0.3">
      <c r="A100" s="386"/>
      <c r="B100" s="374"/>
      <c r="C100" s="377"/>
      <c r="D100" s="4" t="s">
        <v>58</v>
      </c>
      <c r="E100" s="4"/>
      <c r="F100" s="4">
        <v>592</v>
      </c>
      <c r="G100" s="3" t="s">
        <v>13</v>
      </c>
      <c r="H100" s="472"/>
      <c r="I100" s="4">
        <v>18</v>
      </c>
    </row>
    <row r="101" spans="1:9" x14ac:dyDescent="0.3">
      <c r="A101" s="386"/>
      <c r="B101" s="374"/>
      <c r="C101" s="377"/>
      <c r="D101" s="4" t="s">
        <v>59</v>
      </c>
      <c r="E101" s="4"/>
      <c r="F101" s="4">
        <v>936</v>
      </c>
      <c r="G101" s="3" t="s">
        <v>13</v>
      </c>
      <c r="H101" s="472"/>
      <c r="I101" s="4">
        <v>50</v>
      </c>
    </row>
    <row r="102" spans="1:9" x14ac:dyDescent="0.3">
      <c r="A102" s="386"/>
      <c r="B102" s="374"/>
      <c r="C102" s="377"/>
      <c r="D102" s="4" t="s">
        <v>59</v>
      </c>
      <c r="E102" s="4"/>
      <c r="F102" s="4">
        <v>3014</v>
      </c>
      <c r="G102" s="3" t="s">
        <v>13</v>
      </c>
      <c r="H102" s="472"/>
      <c r="I102" s="4">
        <v>213</v>
      </c>
    </row>
    <row r="103" spans="1:9" x14ac:dyDescent="0.3">
      <c r="A103" s="386"/>
      <c r="B103" s="374"/>
      <c r="C103" s="377"/>
      <c r="D103" s="4" t="s">
        <v>70</v>
      </c>
      <c r="E103" s="4"/>
      <c r="F103" s="4">
        <v>1509</v>
      </c>
      <c r="G103" s="3" t="s">
        <v>13</v>
      </c>
      <c r="H103" s="472"/>
      <c r="I103" s="4">
        <v>80</v>
      </c>
    </row>
    <row r="104" spans="1:9" x14ac:dyDescent="0.3">
      <c r="A104" s="386"/>
      <c r="B104" s="374"/>
      <c r="C104" s="377"/>
      <c r="D104" s="4" t="s">
        <v>71</v>
      </c>
      <c r="E104" s="4"/>
      <c r="F104" s="4">
        <v>298</v>
      </c>
      <c r="G104" s="3" t="s">
        <v>13</v>
      </c>
      <c r="H104" s="472"/>
      <c r="I104" s="4">
        <v>3</v>
      </c>
    </row>
    <row r="105" spans="1:9" x14ac:dyDescent="0.3">
      <c r="A105" s="387"/>
      <c r="B105" s="375"/>
      <c r="C105" s="378"/>
      <c r="D105" s="4" t="s">
        <v>72</v>
      </c>
      <c r="E105" s="4"/>
      <c r="F105" s="4">
        <v>917</v>
      </c>
      <c r="G105" s="3" t="s">
        <v>13</v>
      </c>
      <c r="H105" s="473"/>
      <c r="I105" s="4">
        <v>6</v>
      </c>
    </row>
    <row r="106" spans="1:9" x14ac:dyDescent="0.3">
      <c r="A106" s="7">
        <v>39</v>
      </c>
      <c r="B106" s="2">
        <v>45474</v>
      </c>
      <c r="C106" s="3" t="s">
        <v>43</v>
      </c>
      <c r="D106" s="4" t="s">
        <v>30</v>
      </c>
      <c r="E106" s="4"/>
      <c r="F106" s="3">
        <v>3000</v>
      </c>
      <c r="G106" s="28" t="s">
        <v>32</v>
      </c>
      <c r="H106" s="5">
        <v>43500</v>
      </c>
      <c r="I106" s="29"/>
    </row>
    <row r="107" spans="1:9" x14ac:dyDescent="0.3">
      <c r="A107" s="7">
        <v>40</v>
      </c>
      <c r="B107" s="2">
        <v>45475</v>
      </c>
      <c r="C107" s="3" t="s">
        <v>43</v>
      </c>
      <c r="D107" s="4" t="s">
        <v>30</v>
      </c>
      <c r="E107" s="4"/>
      <c r="F107" s="3">
        <v>1500</v>
      </c>
      <c r="G107" s="28" t="s">
        <v>32</v>
      </c>
      <c r="H107" s="5">
        <v>21750</v>
      </c>
      <c r="I107" s="29"/>
    </row>
    <row r="108" spans="1:9" ht="15" thickBot="1" x14ac:dyDescent="0.35">
      <c r="A108" s="1">
        <v>41</v>
      </c>
      <c r="B108" s="37">
        <v>45504</v>
      </c>
      <c r="C108" s="3" t="s">
        <v>43</v>
      </c>
      <c r="D108" s="4" t="s">
        <v>30</v>
      </c>
      <c r="E108" s="13"/>
      <c r="F108" s="3">
        <v>1500</v>
      </c>
      <c r="G108" s="3" t="s">
        <v>32</v>
      </c>
      <c r="H108" s="11">
        <v>21750</v>
      </c>
      <c r="I108" s="21"/>
    </row>
    <row r="109" spans="1:9" ht="18.600000000000001" thickBot="1" x14ac:dyDescent="0.35">
      <c r="A109" s="60"/>
      <c r="B109" s="61"/>
      <c r="C109" s="62"/>
      <c r="D109" s="63"/>
      <c r="E109" s="64"/>
      <c r="F109" s="62"/>
      <c r="G109" s="62"/>
      <c r="H109" s="75">
        <v>1458918</v>
      </c>
      <c r="I109" s="69"/>
    </row>
    <row r="110" spans="1:9" ht="25.8" thickBot="1" x14ac:dyDescent="0.65">
      <c r="A110" s="465" t="s">
        <v>73</v>
      </c>
      <c r="B110" s="466"/>
      <c r="C110" s="466"/>
      <c r="D110" s="466"/>
      <c r="E110" s="466"/>
      <c r="F110" s="466"/>
      <c r="G110" s="466"/>
      <c r="H110" s="466"/>
      <c r="I110" s="467"/>
    </row>
    <row r="111" spans="1:9" x14ac:dyDescent="0.3">
      <c r="A111" s="25">
        <v>42</v>
      </c>
      <c r="B111" s="15">
        <v>45506</v>
      </c>
      <c r="C111" s="16" t="s">
        <v>43</v>
      </c>
      <c r="D111" s="16" t="s">
        <v>44</v>
      </c>
      <c r="E111" s="31"/>
      <c r="F111" s="31">
        <v>400</v>
      </c>
      <c r="G111" s="16" t="s">
        <v>41</v>
      </c>
      <c r="H111" s="18">
        <v>20000</v>
      </c>
      <c r="I111" s="53"/>
    </row>
    <row r="112" spans="1:9" x14ac:dyDescent="0.3">
      <c r="A112" s="1">
        <v>43</v>
      </c>
      <c r="B112" s="2">
        <v>45506</v>
      </c>
      <c r="C112" s="3" t="s">
        <v>43</v>
      </c>
      <c r="D112" s="3" t="s">
        <v>44</v>
      </c>
      <c r="E112" s="9"/>
      <c r="F112" s="9">
        <v>400</v>
      </c>
      <c r="G112" s="16" t="s">
        <v>41</v>
      </c>
      <c r="H112" s="5">
        <v>20000</v>
      </c>
      <c r="I112" s="12"/>
    </row>
    <row r="113" spans="1:9" x14ac:dyDescent="0.3">
      <c r="A113" s="7">
        <v>4</v>
      </c>
      <c r="B113" s="32">
        <v>45516</v>
      </c>
      <c r="C113" s="4" t="s">
        <v>74</v>
      </c>
      <c r="D113" s="4" t="s">
        <v>75</v>
      </c>
      <c r="F113" s="4">
        <v>5609.1</v>
      </c>
      <c r="G113" s="3" t="s">
        <v>13</v>
      </c>
      <c r="H113" s="53">
        <v>600187</v>
      </c>
    </row>
    <row r="114" spans="1:9" x14ac:dyDescent="0.3">
      <c r="A114" s="7">
        <v>5</v>
      </c>
      <c r="B114" s="32">
        <v>45516</v>
      </c>
      <c r="C114" s="4" t="s">
        <v>76</v>
      </c>
      <c r="D114" s="4" t="s">
        <v>77</v>
      </c>
      <c r="E114" s="4" t="s">
        <v>78</v>
      </c>
      <c r="F114" s="4"/>
      <c r="G114" s="3"/>
      <c r="H114" s="6">
        <v>502140</v>
      </c>
      <c r="I114" t="s">
        <v>79</v>
      </c>
    </row>
    <row r="115" spans="1:9" x14ac:dyDescent="0.3">
      <c r="A115" s="7">
        <v>44</v>
      </c>
      <c r="B115" s="8">
        <v>45517</v>
      </c>
      <c r="C115" s="3" t="s">
        <v>43</v>
      </c>
      <c r="D115" s="3" t="s">
        <v>44</v>
      </c>
      <c r="E115" s="9"/>
      <c r="F115" s="9">
        <v>400</v>
      </c>
      <c r="G115" s="16" t="s">
        <v>41</v>
      </c>
      <c r="H115" s="5">
        <v>20000</v>
      </c>
      <c r="I115" s="12"/>
    </row>
    <row r="116" spans="1:9" x14ac:dyDescent="0.3">
      <c r="A116" s="7">
        <v>45</v>
      </c>
      <c r="B116" s="8">
        <v>45517</v>
      </c>
      <c r="C116" s="3" t="s">
        <v>43</v>
      </c>
      <c r="D116" s="3" t="s">
        <v>44</v>
      </c>
      <c r="E116" s="9"/>
      <c r="F116" s="9">
        <v>400</v>
      </c>
      <c r="G116" s="16" t="s">
        <v>41</v>
      </c>
      <c r="H116" s="5">
        <v>20000</v>
      </c>
      <c r="I116" s="12"/>
    </row>
    <row r="117" spans="1:9" x14ac:dyDescent="0.3">
      <c r="A117" s="7">
        <v>46</v>
      </c>
      <c r="B117" s="8">
        <v>45518</v>
      </c>
      <c r="C117" s="3" t="s">
        <v>43</v>
      </c>
      <c r="D117" s="3" t="s">
        <v>44</v>
      </c>
      <c r="E117" s="9"/>
      <c r="F117" s="9">
        <v>400</v>
      </c>
      <c r="G117" s="16" t="s">
        <v>41</v>
      </c>
      <c r="H117" s="5">
        <v>20000</v>
      </c>
      <c r="I117" s="12"/>
    </row>
    <row r="118" spans="1:9" x14ac:dyDescent="0.3">
      <c r="A118" s="1">
        <v>47</v>
      </c>
      <c r="B118" s="8">
        <v>45506</v>
      </c>
      <c r="C118" s="3" t="s">
        <v>43</v>
      </c>
      <c r="D118" s="16" t="s">
        <v>47</v>
      </c>
      <c r="E118" s="16"/>
      <c r="F118" s="4">
        <v>400</v>
      </c>
      <c r="G118" s="16" t="s">
        <v>41</v>
      </c>
      <c r="H118" s="18">
        <v>22000</v>
      </c>
      <c r="I118" s="6"/>
    </row>
    <row r="119" spans="1:9" x14ac:dyDescent="0.3">
      <c r="A119" s="7">
        <v>48</v>
      </c>
      <c r="B119" s="8">
        <v>45506</v>
      </c>
      <c r="C119" s="3" t="s">
        <v>43</v>
      </c>
      <c r="D119" s="16" t="s">
        <v>47</v>
      </c>
      <c r="E119" s="16"/>
      <c r="F119" s="4">
        <v>400</v>
      </c>
      <c r="G119" s="16" t="s">
        <v>41</v>
      </c>
      <c r="H119" s="18">
        <v>22000</v>
      </c>
      <c r="I119" s="6"/>
    </row>
    <row r="120" spans="1:9" x14ac:dyDescent="0.3">
      <c r="A120" s="1">
        <v>49</v>
      </c>
      <c r="B120" s="2">
        <v>45517</v>
      </c>
      <c r="C120" s="3" t="s">
        <v>43</v>
      </c>
      <c r="D120" s="16" t="s">
        <v>47</v>
      </c>
      <c r="E120" s="16"/>
      <c r="F120" s="4">
        <v>400</v>
      </c>
      <c r="G120" s="16" t="s">
        <v>41</v>
      </c>
      <c r="H120" s="18">
        <v>22000</v>
      </c>
      <c r="I120" s="6"/>
    </row>
    <row r="121" spans="1:9" x14ac:dyDescent="0.3">
      <c r="A121" s="7">
        <v>50</v>
      </c>
      <c r="B121" s="2">
        <v>45518</v>
      </c>
      <c r="C121" s="3" t="s">
        <v>43</v>
      </c>
      <c r="D121" s="16" t="s">
        <v>47</v>
      </c>
      <c r="E121" s="16"/>
      <c r="F121" s="4">
        <v>400</v>
      </c>
      <c r="G121" s="16" t="s">
        <v>41</v>
      </c>
      <c r="H121" s="18">
        <v>22000</v>
      </c>
      <c r="I121" s="6"/>
    </row>
    <row r="122" spans="1:9" x14ac:dyDescent="0.3">
      <c r="A122" s="7">
        <v>51</v>
      </c>
      <c r="B122" s="373">
        <v>45526</v>
      </c>
      <c r="C122" s="3" t="s">
        <v>43</v>
      </c>
      <c r="D122" s="16" t="s">
        <v>49</v>
      </c>
      <c r="E122" s="16"/>
      <c r="F122" s="17">
        <v>400</v>
      </c>
      <c r="G122" s="16" t="s">
        <v>41</v>
      </c>
      <c r="H122" s="18">
        <v>20000</v>
      </c>
      <c r="I122" s="6"/>
    </row>
    <row r="123" spans="1:9" x14ac:dyDescent="0.3">
      <c r="A123" s="7">
        <v>52</v>
      </c>
      <c r="B123" s="374"/>
      <c r="C123" s="3" t="s">
        <v>43</v>
      </c>
      <c r="D123" s="16" t="s">
        <v>49</v>
      </c>
      <c r="E123" s="16"/>
      <c r="F123" s="4">
        <v>400</v>
      </c>
      <c r="G123" s="16" t="s">
        <v>41</v>
      </c>
      <c r="H123" s="5">
        <v>20000</v>
      </c>
      <c r="I123" s="6"/>
    </row>
    <row r="124" spans="1:9" x14ac:dyDescent="0.3">
      <c r="A124" s="1">
        <v>53</v>
      </c>
      <c r="B124" s="374"/>
      <c r="C124" s="3" t="s">
        <v>43</v>
      </c>
      <c r="D124" s="16" t="s">
        <v>49</v>
      </c>
      <c r="E124" s="16"/>
      <c r="F124" s="4">
        <v>400</v>
      </c>
      <c r="G124" s="16" t="s">
        <v>41</v>
      </c>
      <c r="H124" s="5">
        <v>20000</v>
      </c>
      <c r="I124" s="6"/>
    </row>
    <row r="125" spans="1:9" x14ac:dyDescent="0.3">
      <c r="A125" s="7">
        <v>54</v>
      </c>
      <c r="B125" s="374"/>
      <c r="C125" s="3" t="s">
        <v>43</v>
      </c>
      <c r="D125" s="16" t="s">
        <v>49</v>
      </c>
      <c r="E125" s="16"/>
      <c r="F125" s="4">
        <v>400</v>
      </c>
      <c r="G125" s="16" t="s">
        <v>41</v>
      </c>
      <c r="H125" s="5">
        <v>20000</v>
      </c>
      <c r="I125" s="6"/>
    </row>
    <row r="126" spans="1:9" x14ac:dyDescent="0.3">
      <c r="A126" s="1">
        <v>55</v>
      </c>
      <c r="B126" s="375"/>
      <c r="C126" s="3" t="s">
        <v>43</v>
      </c>
      <c r="D126" s="16" t="s">
        <v>49</v>
      </c>
      <c r="E126" s="16"/>
      <c r="F126" s="4">
        <v>400</v>
      </c>
      <c r="G126" s="16" t="s">
        <v>41</v>
      </c>
      <c r="H126" s="5">
        <v>20000</v>
      </c>
      <c r="I126" s="6"/>
    </row>
    <row r="127" spans="1:9" x14ac:dyDescent="0.3">
      <c r="A127" s="7">
        <v>56</v>
      </c>
      <c r="B127" s="373">
        <v>45527</v>
      </c>
      <c r="C127" s="3" t="s">
        <v>43</v>
      </c>
      <c r="D127" s="16" t="s">
        <v>49</v>
      </c>
      <c r="E127" s="16"/>
      <c r="F127" s="4">
        <v>400</v>
      </c>
      <c r="G127" s="16" t="s">
        <v>41</v>
      </c>
      <c r="H127" s="5">
        <v>20000</v>
      </c>
      <c r="I127" s="6"/>
    </row>
    <row r="128" spans="1:9" x14ac:dyDescent="0.3">
      <c r="A128" s="7">
        <v>57</v>
      </c>
      <c r="B128" s="374"/>
      <c r="C128" s="3" t="s">
        <v>43</v>
      </c>
      <c r="D128" s="16" t="s">
        <v>49</v>
      </c>
      <c r="E128" s="16"/>
      <c r="F128" s="4">
        <v>400</v>
      </c>
      <c r="G128" s="16" t="s">
        <v>41</v>
      </c>
      <c r="H128" s="5">
        <v>20000</v>
      </c>
      <c r="I128" s="6"/>
    </row>
    <row r="129" spans="1:12" x14ac:dyDescent="0.3">
      <c r="A129" s="7">
        <v>58</v>
      </c>
      <c r="B129" s="374"/>
      <c r="C129" s="3" t="s">
        <v>43</v>
      </c>
      <c r="D129" s="16" t="s">
        <v>49</v>
      </c>
      <c r="E129" s="16"/>
      <c r="F129" s="17">
        <v>400</v>
      </c>
      <c r="G129" s="16" t="s">
        <v>41</v>
      </c>
      <c r="H129" s="5">
        <v>20000</v>
      </c>
      <c r="I129" s="6"/>
    </row>
    <row r="130" spans="1:12" x14ac:dyDescent="0.3">
      <c r="A130" s="1">
        <v>59</v>
      </c>
      <c r="B130" s="375"/>
      <c r="C130" s="3" t="s">
        <v>43</v>
      </c>
      <c r="D130" s="16" t="s">
        <v>49</v>
      </c>
      <c r="E130" s="16"/>
      <c r="F130" s="4">
        <v>400</v>
      </c>
      <c r="G130" s="16" t="s">
        <v>41</v>
      </c>
      <c r="H130" s="5">
        <v>20000</v>
      </c>
      <c r="I130" s="6"/>
    </row>
    <row r="131" spans="1:12" x14ac:dyDescent="0.3">
      <c r="A131" s="7">
        <v>60</v>
      </c>
      <c r="B131" s="373">
        <v>45530</v>
      </c>
      <c r="C131" s="3" t="s">
        <v>43</v>
      </c>
      <c r="D131" s="16" t="s">
        <v>49</v>
      </c>
      <c r="E131" s="16"/>
      <c r="F131" s="4">
        <v>400</v>
      </c>
      <c r="G131" s="16" t="s">
        <v>41</v>
      </c>
      <c r="H131" s="5">
        <v>20000</v>
      </c>
      <c r="I131" s="6"/>
    </row>
    <row r="132" spans="1:12" x14ac:dyDescent="0.3">
      <c r="A132" s="1">
        <v>61</v>
      </c>
      <c r="B132" s="374"/>
      <c r="C132" s="3" t="s">
        <v>43</v>
      </c>
      <c r="D132" s="16" t="s">
        <v>49</v>
      </c>
      <c r="E132" s="16"/>
      <c r="F132" s="4">
        <v>400</v>
      </c>
      <c r="G132" s="16" t="s">
        <v>41</v>
      </c>
      <c r="H132" s="5">
        <v>20000</v>
      </c>
      <c r="I132" s="6"/>
    </row>
    <row r="133" spans="1:12" x14ac:dyDescent="0.3">
      <c r="A133" s="7">
        <v>62</v>
      </c>
      <c r="B133" s="374"/>
      <c r="C133" s="3" t="s">
        <v>43</v>
      </c>
      <c r="D133" s="16" t="s">
        <v>49</v>
      </c>
      <c r="E133" s="4"/>
      <c r="F133" s="4">
        <v>400</v>
      </c>
      <c r="G133" s="16" t="s">
        <v>41</v>
      </c>
      <c r="H133" s="5">
        <v>20000</v>
      </c>
      <c r="I133" s="6"/>
    </row>
    <row r="134" spans="1:12" x14ac:dyDescent="0.3">
      <c r="A134" s="7">
        <v>63</v>
      </c>
      <c r="B134" s="374"/>
      <c r="C134" s="3" t="s">
        <v>43</v>
      </c>
      <c r="D134" s="16" t="s">
        <v>49</v>
      </c>
      <c r="E134" s="4"/>
      <c r="F134" s="4">
        <v>400</v>
      </c>
      <c r="G134" s="16" t="s">
        <v>41</v>
      </c>
      <c r="H134" s="5">
        <v>20000</v>
      </c>
      <c r="I134" s="6"/>
    </row>
    <row r="135" spans="1:12" x14ac:dyDescent="0.3">
      <c r="A135" s="7">
        <v>64</v>
      </c>
      <c r="B135" s="375"/>
      <c r="C135" s="3" t="s">
        <v>43</v>
      </c>
      <c r="D135" s="16" t="s">
        <v>49</v>
      </c>
      <c r="E135" s="42"/>
      <c r="F135" s="4">
        <v>400</v>
      </c>
      <c r="G135" s="16" t="s">
        <v>41</v>
      </c>
      <c r="H135" s="5">
        <v>20000</v>
      </c>
      <c r="I135" s="6"/>
    </row>
    <row r="136" spans="1:12" x14ac:dyDescent="0.3">
      <c r="A136" s="1">
        <v>67</v>
      </c>
      <c r="B136" s="37">
        <v>45526</v>
      </c>
      <c r="C136" s="3" t="s">
        <v>43</v>
      </c>
      <c r="D136" s="4" t="s">
        <v>30</v>
      </c>
      <c r="E136" s="13"/>
      <c r="F136" s="3">
        <v>6000</v>
      </c>
      <c r="G136" s="3" t="s">
        <v>32</v>
      </c>
      <c r="H136" s="5">
        <v>87000</v>
      </c>
      <c r="I136" s="21"/>
    </row>
    <row r="137" spans="1:12" x14ac:dyDescent="0.3">
      <c r="A137" s="7">
        <v>68</v>
      </c>
      <c r="B137" s="2">
        <v>45533</v>
      </c>
      <c r="C137" s="3" t="s">
        <v>43</v>
      </c>
      <c r="D137" s="3" t="s">
        <v>44</v>
      </c>
      <c r="E137" s="4"/>
      <c r="F137" s="17">
        <v>400</v>
      </c>
      <c r="G137" s="16" t="s">
        <v>41</v>
      </c>
      <c r="H137" s="49">
        <v>20000</v>
      </c>
      <c r="I137" s="5"/>
      <c r="J137" t="s">
        <v>82</v>
      </c>
    </row>
    <row r="138" spans="1:12" x14ac:dyDescent="0.3">
      <c r="A138" s="385">
        <v>8</v>
      </c>
      <c r="B138" s="373">
        <v>38224</v>
      </c>
      <c r="C138" s="376" t="s">
        <v>57</v>
      </c>
      <c r="D138" s="4" t="s">
        <v>80</v>
      </c>
      <c r="E138" s="33"/>
      <c r="F138" s="4">
        <v>8095</v>
      </c>
      <c r="G138" s="3" t="s">
        <v>13</v>
      </c>
      <c r="H138" s="496">
        <v>538864</v>
      </c>
      <c r="I138" s="493">
        <v>9270</v>
      </c>
    </row>
    <row r="139" spans="1:12" x14ac:dyDescent="0.3">
      <c r="A139" s="386"/>
      <c r="B139" s="374"/>
      <c r="C139" s="377"/>
      <c r="D139" s="4" t="s">
        <v>81</v>
      </c>
      <c r="E139" s="33"/>
      <c r="F139" s="4">
        <v>330</v>
      </c>
      <c r="G139" s="3" t="s">
        <v>13</v>
      </c>
      <c r="H139" s="497"/>
      <c r="I139" s="494"/>
    </row>
    <row r="140" spans="1:12" x14ac:dyDescent="0.3">
      <c r="A140" s="386"/>
      <c r="B140" s="374"/>
      <c r="C140" s="377"/>
      <c r="D140" s="4" t="s">
        <v>64</v>
      </c>
      <c r="E140" s="33"/>
      <c r="F140" s="4">
        <v>745</v>
      </c>
      <c r="G140" s="3" t="s">
        <v>13</v>
      </c>
      <c r="H140" s="497"/>
      <c r="I140" s="494"/>
    </row>
    <row r="141" spans="1:12" x14ac:dyDescent="0.3">
      <c r="A141" s="387"/>
      <c r="B141" s="375"/>
      <c r="C141" s="378"/>
      <c r="D141" s="4" t="s">
        <v>83</v>
      </c>
      <c r="E141" s="33"/>
      <c r="F141" s="4">
        <v>100</v>
      </c>
      <c r="G141" s="3" t="s">
        <v>13</v>
      </c>
      <c r="H141" s="498"/>
      <c r="I141" s="495"/>
    </row>
    <row r="142" spans="1:12" x14ac:dyDescent="0.3">
      <c r="A142" s="1">
        <v>3</v>
      </c>
      <c r="B142" s="2">
        <v>45529</v>
      </c>
      <c r="C142" s="4" t="s">
        <v>51</v>
      </c>
      <c r="D142" s="4" t="s">
        <v>33</v>
      </c>
      <c r="E142" s="13"/>
      <c r="F142" s="3">
        <v>630</v>
      </c>
      <c r="G142" s="4" t="s">
        <v>35</v>
      </c>
      <c r="H142" s="6">
        <v>264600</v>
      </c>
      <c r="I142" s="87"/>
    </row>
    <row r="143" spans="1:12" x14ac:dyDescent="0.3">
      <c r="A143" s="7">
        <v>4</v>
      </c>
      <c r="B143" s="8">
        <v>45533</v>
      </c>
      <c r="C143" s="4" t="s">
        <v>51</v>
      </c>
      <c r="D143" s="4" t="s">
        <v>33</v>
      </c>
      <c r="E143" s="13"/>
      <c r="F143" s="4">
        <v>690</v>
      </c>
      <c r="G143" s="4" t="s">
        <v>35</v>
      </c>
      <c r="H143" s="6">
        <v>289800</v>
      </c>
      <c r="I143" s="88"/>
    </row>
    <row r="144" spans="1:12" x14ac:dyDescent="0.3">
      <c r="A144" s="7">
        <v>69</v>
      </c>
      <c r="B144" s="2">
        <v>45534</v>
      </c>
      <c r="C144" s="3" t="s">
        <v>43</v>
      </c>
      <c r="D144" s="3" t="s">
        <v>44</v>
      </c>
      <c r="E144" s="4"/>
      <c r="F144" s="4">
        <v>400</v>
      </c>
      <c r="G144" s="16" t="s">
        <v>41</v>
      </c>
      <c r="H144" s="5">
        <v>20000</v>
      </c>
      <c r="I144" s="6"/>
      <c r="L144" s="94"/>
    </row>
    <row r="145" spans="1:18" x14ac:dyDescent="0.3">
      <c r="A145" s="7">
        <v>70</v>
      </c>
      <c r="B145" s="373">
        <v>45535</v>
      </c>
      <c r="C145" s="3" t="s">
        <v>43</v>
      </c>
      <c r="D145" s="3" t="s">
        <v>44</v>
      </c>
      <c r="E145" s="4"/>
      <c r="F145" s="4">
        <v>400</v>
      </c>
      <c r="G145" s="16" t="s">
        <v>41</v>
      </c>
      <c r="H145" s="5">
        <v>20000</v>
      </c>
      <c r="I145" s="6"/>
    </row>
    <row r="146" spans="1:18" ht="15" thickBot="1" x14ac:dyDescent="0.35">
      <c r="A146" s="1">
        <v>71</v>
      </c>
      <c r="B146" s="375"/>
      <c r="C146" s="3" t="s">
        <v>43</v>
      </c>
      <c r="D146" s="3" t="s">
        <v>44</v>
      </c>
      <c r="E146" s="4"/>
      <c r="F146" s="4">
        <v>400</v>
      </c>
      <c r="G146" s="16" t="s">
        <v>41</v>
      </c>
      <c r="H146" s="11">
        <v>20000</v>
      </c>
      <c r="I146" s="6"/>
      <c r="L146" s="7"/>
      <c r="M146" s="2"/>
      <c r="N146" s="3"/>
      <c r="O146" s="3"/>
      <c r="P146" s="4"/>
      <c r="Q146" s="4"/>
      <c r="R146" s="16"/>
    </row>
    <row r="147" spans="1:18" ht="18.600000000000001" thickBot="1" x14ac:dyDescent="0.35">
      <c r="A147" s="477"/>
      <c r="B147" s="478"/>
      <c r="C147" s="478"/>
      <c r="D147" s="478"/>
      <c r="E147" s="478"/>
      <c r="F147" s="63"/>
      <c r="G147" s="23"/>
      <c r="H147" s="75">
        <v>2830591</v>
      </c>
      <c r="I147" s="71"/>
      <c r="L147" s="7"/>
      <c r="M147" s="2"/>
      <c r="N147" s="3"/>
      <c r="O147" s="3"/>
      <c r="P147" s="4"/>
      <c r="Q147" s="4"/>
      <c r="R147" s="16"/>
    </row>
    <row r="148" spans="1:18" ht="28.2" thickBot="1" x14ac:dyDescent="0.7">
      <c r="A148" s="474" t="s">
        <v>84</v>
      </c>
      <c r="B148" s="475"/>
      <c r="C148" s="475"/>
      <c r="D148" s="475"/>
      <c r="E148" s="475"/>
      <c r="F148" s="475"/>
      <c r="G148" s="475"/>
      <c r="H148" s="475"/>
      <c r="I148" s="476"/>
    </row>
    <row r="149" spans="1:18" x14ac:dyDescent="0.3">
      <c r="A149" s="25">
        <v>72</v>
      </c>
      <c r="B149" s="15">
        <v>45537</v>
      </c>
      <c r="C149" s="16" t="s">
        <v>43</v>
      </c>
      <c r="D149" s="16" t="s">
        <v>44</v>
      </c>
      <c r="E149" s="31"/>
      <c r="F149" s="31">
        <v>400</v>
      </c>
      <c r="G149" s="16" t="s">
        <v>41</v>
      </c>
      <c r="H149" s="18">
        <v>20000</v>
      </c>
      <c r="I149" s="53"/>
    </row>
    <row r="150" spans="1:18" x14ac:dyDescent="0.3">
      <c r="A150" s="1">
        <v>73</v>
      </c>
      <c r="B150" s="2">
        <v>45538</v>
      </c>
      <c r="C150" s="3" t="s">
        <v>43</v>
      </c>
      <c r="D150" s="3" t="s">
        <v>44</v>
      </c>
      <c r="E150" s="9"/>
      <c r="F150" s="9">
        <v>400</v>
      </c>
      <c r="G150" s="16" t="s">
        <v>41</v>
      </c>
      <c r="H150" s="5">
        <v>20000</v>
      </c>
      <c r="I150" s="12"/>
    </row>
    <row r="151" spans="1:18" x14ac:dyDescent="0.3">
      <c r="A151" s="7">
        <v>74</v>
      </c>
      <c r="B151" s="2">
        <v>45551</v>
      </c>
      <c r="C151" s="3" t="s">
        <v>43</v>
      </c>
      <c r="D151" s="3" t="s">
        <v>44</v>
      </c>
      <c r="E151" s="9"/>
      <c r="F151" s="9">
        <v>400</v>
      </c>
      <c r="G151" s="16" t="s">
        <v>41</v>
      </c>
      <c r="H151" s="5">
        <v>20000</v>
      </c>
      <c r="I151" s="12"/>
    </row>
    <row r="152" spans="1:18" x14ac:dyDescent="0.3">
      <c r="A152" s="7">
        <v>75</v>
      </c>
      <c r="B152" s="2">
        <v>45554</v>
      </c>
      <c r="C152" s="3" t="s">
        <v>43</v>
      </c>
      <c r="D152" s="3" t="s">
        <v>44</v>
      </c>
      <c r="E152" s="9"/>
      <c r="F152" s="9">
        <v>400</v>
      </c>
      <c r="G152" s="16" t="s">
        <v>41</v>
      </c>
      <c r="H152" s="5">
        <v>20000</v>
      </c>
      <c r="I152" s="12"/>
    </row>
    <row r="153" spans="1:18" x14ac:dyDescent="0.3">
      <c r="A153" s="7">
        <v>76</v>
      </c>
      <c r="B153" s="2">
        <v>45555</v>
      </c>
      <c r="C153" s="3" t="s">
        <v>43</v>
      </c>
      <c r="D153" s="3" t="s">
        <v>44</v>
      </c>
      <c r="E153" s="9"/>
      <c r="F153" s="9">
        <v>400</v>
      </c>
      <c r="G153" s="16" t="s">
        <v>41</v>
      </c>
      <c r="H153" s="5">
        <v>20000</v>
      </c>
      <c r="I153" s="12"/>
    </row>
    <row r="154" spans="1:18" x14ac:dyDescent="0.3">
      <c r="A154" s="3">
        <v>77</v>
      </c>
      <c r="B154" s="452">
        <v>45556</v>
      </c>
      <c r="C154" s="3" t="s">
        <v>43</v>
      </c>
      <c r="D154" s="3" t="s">
        <v>44</v>
      </c>
      <c r="E154" s="4"/>
      <c r="F154" s="4">
        <v>400</v>
      </c>
      <c r="G154" s="3" t="s">
        <v>41</v>
      </c>
      <c r="H154" s="5">
        <v>20000</v>
      </c>
      <c r="I154" s="5"/>
    </row>
    <row r="155" spans="1:18" x14ac:dyDescent="0.3">
      <c r="A155" s="4">
        <v>78</v>
      </c>
      <c r="B155" s="452"/>
      <c r="C155" s="3" t="s">
        <v>43</v>
      </c>
      <c r="D155" s="3" t="s">
        <v>44</v>
      </c>
      <c r="E155" s="4"/>
      <c r="F155" s="4">
        <v>400</v>
      </c>
      <c r="G155" s="3" t="s">
        <v>41</v>
      </c>
      <c r="H155" s="5">
        <v>20000</v>
      </c>
      <c r="I155" s="5"/>
    </row>
    <row r="156" spans="1:18" x14ac:dyDescent="0.3">
      <c r="A156" s="7">
        <v>79</v>
      </c>
      <c r="B156" s="8"/>
      <c r="C156" s="3" t="s">
        <v>43</v>
      </c>
      <c r="D156" s="3" t="s">
        <v>47</v>
      </c>
      <c r="E156" s="4"/>
      <c r="F156" s="4">
        <v>400</v>
      </c>
      <c r="G156" s="3" t="s">
        <v>41</v>
      </c>
      <c r="H156" s="5">
        <v>22000</v>
      </c>
      <c r="I156" s="5"/>
    </row>
    <row r="157" spans="1:18" hidden="1" x14ac:dyDescent="0.3">
      <c r="A157" s="3">
        <v>80</v>
      </c>
      <c r="B157" s="8">
        <v>45556</v>
      </c>
      <c r="C157" s="3" t="s">
        <v>57</v>
      </c>
      <c r="D157" s="3"/>
      <c r="E157" s="4"/>
      <c r="F157" s="4"/>
      <c r="G157" s="3"/>
      <c r="H157" s="5"/>
      <c r="I157" s="5"/>
    </row>
    <row r="158" spans="1:18" x14ac:dyDescent="0.3">
      <c r="A158" s="4">
        <v>81</v>
      </c>
      <c r="B158" s="8">
        <v>45558</v>
      </c>
      <c r="C158" s="3" t="s">
        <v>43</v>
      </c>
      <c r="D158" s="3" t="s">
        <v>47</v>
      </c>
      <c r="E158" s="4"/>
      <c r="F158" s="4">
        <v>400</v>
      </c>
      <c r="G158" s="3" t="s">
        <v>41</v>
      </c>
      <c r="H158" s="5">
        <v>22000</v>
      </c>
      <c r="I158" s="5"/>
    </row>
    <row r="159" spans="1:18" x14ac:dyDescent="0.3">
      <c r="A159" s="7">
        <v>82</v>
      </c>
      <c r="B159" s="8">
        <v>45559</v>
      </c>
      <c r="C159" s="3" t="s">
        <v>43</v>
      </c>
      <c r="D159" s="3" t="s">
        <v>47</v>
      </c>
      <c r="E159" s="4"/>
      <c r="F159" s="4">
        <v>400</v>
      </c>
      <c r="G159" s="3" t="s">
        <v>41</v>
      </c>
      <c r="H159" s="5">
        <v>22000</v>
      </c>
      <c r="I159" s="5"/>
    </row>
    <row r="160" spans="1:18" x14ac:dyDescent="0.3">
      <c r="A160" s="3">
        <v>83</v>
      </c>
      <c r="B160" s="8">
        <v>45561</v>
      </c>
      <c r="C160" s="3" t="s">
        <v>43</v>
      </c>
      <c r="D160" s="3" t="s">
        <v>44</v>
      </c>
      <c r="E160" s="4"/>
      <c r="F160" s="4">
        <v>400</v>
      </c>
      <c r="G160" s="3" t="s">
        <v>41</v>
      </c>
      <c r="H160" s="5">
        <v>20000</v>
      </c>
      <c r="I160" s="5"/>
    </row>
    <row r="161" spans="1:9" x14ac:dyDescent="0.3">
      <c r="A161" s="4">
        <v>84</v>
      </c>
      <c r="B161" s="8">
        <v>45561</v>
      </c>
      <c r="C161" s="3" t="s">
        <v>43</v>
      </c>
      <c r="D161" s="3" t="s">
        <v>44</v>
      </c>
      <c r="E161" s="4"/>
      <c r="F161" s="4">
        <v>400</v>
      </c>
      <c r="G161" s="3" t="s">
        <v>41</v>
      </c>
      <c r="H161" s="5">
        <v>20000</v>
      </c>
      <c r="I161" s="5"/>
    </row>
    <row r="162" spans="1:9" x14ac:dyDescent="0.3">
      <c r="A162" s="7">
        <v>85</v>
      </c>
      <c r="B162" s="8">
        <v>45561</v>
      </c>
      <c r="C162" s="3" t="s">
        <v>43</v>
      </c>
      <c r="D162" s="16" t="s">
        <v>49</v>
      </c>
      <c r="E162" s="42"/>
      <c r="F162" s="4">
        <v>400</v>
      </c>
      <c r="G162" s="16" t="s">
        <v>41</v>
      </c>
      <c r="H162" s="5">
        <v>20000</v>
      </c>
      <c r="I162" s="5"/>
    </row>
    <row r="163" spans="1:9" x14ac:dyDescent="0.3">
      <c r="A163" s="3">
        <v>86</v>
      </c>
      <c r="B163" s="8">
        <v>45561</v>
      </c>
      <c r="C163" s="3" t="s">
        <v>43</v>
      </c>
      <c r="D163" s="16" t="s">
        <v>49</v>
      </c>
      <c r="E163" s="42"/>
      <c r="F163" s="4">
        <v>400</v>
      </c>
      <c r="G163" s="16" t="s">
        <v>41</v>
      </c>
      <c r="H163" s="5">
        <v>20000</v>
      </c>
      <c r="I163" s="5"/>
    </row>
    <row r="164" spans="1:9" x14ac:dyDescent="0.3">
      <c r="A164" s="4">
        <v>87</v>
      </c>
      <c r="B164" s="8">
        <v>45562</v>
      </c>
      <c r="C164" s="3" t="s">
        <v>43</v>
      </c>
      <c r="D164" s="3" t="s">
        <v>47</v>
      </c>
      <c r="E164" s="4"/>
      <c r="F164" s="4">
        <v>400</v>
      </c>
      <c r="G164" s="3" t="s">
        <v>41</v>
      </c>
      <c r="H164" s="5">
        <v>22000</v>
      </c>
      <c r="I164" s="5"/>
    </row>
    <row r="165" spans="1:9" x14ac:dyDescent="0.3">
      <c r="A165" s="7">
        <v>88</v>
      </c>
      <c r="B165" s="8">
        <v>45567</v>
      </c>
      <c r="C165" s="3" t="s">
        <v>43</v>
      </c>
      <c r="D165" s="3" t="s">
        <v>47</v>
      </c>
      <c r="E165" s="4"/>
      <c r="F165" s="4">
        <v>400</v>
      </c>
      <c r="G165" s="3" t="s">
        <v>41</v>
      </c>
      <c r="H165" s="5">
        <v>22000</v>
      </c>
      <c r="I165" s="5"/>
    </row>
    <row r="166" spans="1:9" x14ac:dyDescent="0.3">
      <c r="A166" s="3">
        <v>89</v>
      </c>
      <c r="B166" s="8">
        <v>45567</v>
      </c>
      <c r="C166" s="3" t="s">
        <v>43</v>
      </c>
      <c r="D166" s="3" t="s">
        <v>44</v>
      </c>
      <c r="E166" s="4"/>
      <c r="F166" s="4">
        <v>400</v>
      </c>
      <c r="G166" s="3" t="s">
        <v>41</v>
      </c>
      <c r="H166" s="5">
        <v>20000</v>
      </c>
      <c r="I166" s="5"/>
    </row>
    <row r="167" spans="1:9" x14ac:dyDescent="0.3">
      <c r="A167" s="4">
        <v>90</v>
      </c>
      <c r="B167" s="8">
        <v>45567</v>
      </c>
      <c r="C167" s="3" t="s">
        <v>43</v>
      </c>
      <c r="D167" s="3" t="s">
        <v>44</v>
      </c>
      <c r="E167" s="4"/>
      <c r="F167" s="4">
        <v>400</v>
      </c>
      <c r="G167" s="3" t="s">
        <v>41</v>
      </c>
      <c r="H167" s="5">
        <v>20000</v>
      </c>
      <c r="I167" s="5"/>
    </row>
    <row r="168" spans="1:9" x14ac:dyDescent="0.3">
      <c r="A168" s="7">
        <v>91</v>
      </c>
      <c r="B168" s="8">
        <v>45567</v>
      </c>
      <c r="C168" s="3" t="s">
        <v>43</v>
      </c>
      <c r="D168" s="3" t="s">
        <v>47</v>
      </c>
      <c r="E168" s="4"/>
      <c r="F168" s="4">
        <v>400</v>
      </c>
      <c r="G168" s="3" t="s">
        <v>41</v>
      </c>
      <c r="H168" s="5">
        <v>22000</v>
      </c>
      <c r="I168" s="5"/>
    </row>
    <row r="169" spans="1:9" x14ac:dyDescent="0.3">
      <c r="A169" s="3">
        <v>92</v>
      </c>
      <c r="B169" s="8"/>
      <c r="C169" s="3"/>
      <c r="D169" s="3"/>
      <c r="E169" s="4"/>
      <c r="F169" s="4"/>
      <c r="G169" s="3"/>
      <c r="H169" s="5"/>
      <c r="I169" s="5"/>
    </row>
    <row r="170" spans="1:9" x14ac:dyDescent="0.3">
      <c r="A170" s="4">
        <v>93</v>
      </c>
      <c r="B170" s="8"/>
      <c r="C170" s="3"/>
      <c r="D170" s="3"/>
      <c r="E170" s="4"/>
      <c r="F170" s="4"/>
      <c r="G170" s="3"/>
      <c r="H170" s="5"/>
      <c r="I170" s="5"/>
    </row>
    <row r="171" spans="1:9" x14ac:dyDescent="0.3">
      <c r="A171" s="22"/>
      <c r="B171" s="43"/>
      <c r="C171" s="23"/>
      <c r="D171" s="23"/>
      <c r="E171" s="22"/>
      <c r="F171" s="22"/>
      <c r="G171" s="23"/>
      <c r="H171" s="24"/>
      <c r="I171" s="24"/>
    </row>
    <row r="172" spans="1:9" x14ac:dyDescent="0.3">
      <c r="A172" s="22"/>
      <c r="B172" s="43"/>
      <c r="C172" s="23"/>
      <c r="D172" s="23"/>
      <c r="E172" s="22"/>
      <c r="F172" s="22"/>
      <c r="G172" s="23"/>
      <c r="H172" s="24"/>
      <c r="I172" s="24"/>
    </row>
    <row r="173" spans="1:9" x14ac:dyDescent="0.3">
      <c r="A173" s="22"/>
      <c r="B173" s="43"/>
      <c r="C173" s="23"/>
      <c r="D173" s="23"/>
      <c r="E173" s="22"/>
      <c r="F173" s="22"/>
      <c r="G173" s="23"/>
      <c r="H173" s="24"/>
      <c r="I173" s="24"/>
    </row>
    <row r="174" spans="1:9" x14ac:dyDescent="0.3">
      <c r="A174" s="22"/>
      <c r="B174" s="43"/>
      <c r="C174" s="23"/>
      <c r="D174" s="23"/>
      <c r="E174" s="22"/>
      <c r="F174" s="22"/>
      <c r="G174" s="23"/>
      <c r="H174" s="24"/>
      <c r="I174" s="24"/>
    </row>
    <row r="175" spans="1:9" x14ac:dyDescent="0.3">
      <c r="A175" s="22"/>
      <c r="B175" s="43"/>
      <c r="C175" s="23"/>
      <c r="D175" s="23"/>
      <c r="E175" s="22"/>
      <c r="F175" s="22"/>
      <c r="G175" s="23"/>
      <c r="H175" s="24"/>
      <c r="I175" s="24"/>
    </row>
    <row r="176" spans="1:9" x14ac:dyDescent="0.3">
      <c r="A176" s="22"/>
      <c r="B176" s="43"/>
      <c r="C176" s="23"/>
      <c r="D176" s="23"/>
      <c r="E176" s="22"/>
      <c r="F176" s="22"/>
      <c r="G176" s="23"/>
      <c r="H176" s="24"/>
      <c r="I176" s="24"/>
    </row>
    <row r="177" spans="1:9" x14ac:dyDescent="0.3">
      <c r="A177" s="22"/>
      <c r="B177" s="43"/>
      <c r="C177" s="23"/>
      <c r="D177" s="23"/>
      <c r="E177" s="22"/>
      <c r="F177" s="22"/>
      <c r="G177" s="23"/>
      <c r="H177" s="24"/>
      <c r="I177" s="24"/>
    </row>
    <row r="178" spans="1:9" ht="18" x14ac:dyDescent="0.35">
      <c r="H178" s="59"/>
    </row>
    <row r="181" spans="1:9" ht="21" x14ac:dyDescent="0.4">
      <c r="H181" s="58"/>
    </row>
  </sheetData>
  <mergeCells count="79">
    <mergeCell ref="A22:D22"/>
    <mergeCell ref="I138:I141"/>
    <mergeCell ref="A20:A21"/>
    <mergeCell ref="B20:B21"/>
    <mergeCell ref="C20:C21"/>
    <mergeCell ref="E20:E21"/>
    <mergeCell ref="H20:H21"/>
    <mergeCell ref="C138:C141"/>
    <mergeCell ref="H138:H141"/>
    <mergeCell ref="A23:I23"/>
    <mergeCell ref="A38:D38"/>
    <mergeCell ref="A32:A33"/>
    <mergeCell ref="B32:B33"/>
    <mergeCell ref="C32:C33"/>
    <mergeCell ref="A34:A35"/>
    <mergeCell ref="B34:B35"/>
    <mergeCell ref="A18:A19"/>
    <mergeCell ref="B18:B19"/>
    <mergeCell ref="C18:C19"/>
    <mergeCell ref="E18:E19"/>
    <mergeCell ref="H18:H19"/>
    <mergeCell ref="C12:C15"/>
    <mergeCell ref="E12:E15"/>
    <mergeCell ref="H12:H15"/>
    <mergeCell ref="A16:A17"/>
    <mergeCell ref="B16:B17"/>
    <mergeCell ref="C16:C17"/>
    <mergeCell ref="E16:E17"/>
    <mergeCell ref="H16:H17"/>
    <mergeCell ref="A12:A15"/>
    <mergeCell ref="B12:B15"/>
    <mergeCell ref="A4:I4"/>
    <mergeCell ref="A6:A8"/>
    <mergeCell ref="B6:B8"/>
    <mergeCell ref="C6:C8"/>
    <mergeCell ref="E6:E8"/>
    <mergeCell ref="H6:H8"/>
    <mergeCell ref="A9:A11"/>
    <mergeCell ref="B9:B11"/>
    <mergeCell ref="C9:C11"/>
    <mergeCell ref="E9:E11"/>
    <mergeCell ref="H9:H11"/>
    <mergeCell ref="C34:C35"/>
    <mergeCell ref="H32:H33"/>
    <mergeCell ref="H34:H35"/>
    <mergeCell ref="G32:G33"/>
    <mergeCell ref="G34:G35"/>
    <mergeCell ref="A148:I148"/>
    <mergeCell ref="A147:E147"/>
    <mergeCell ref="A25:A26"/>
    <mergeCell ref="B25:B26"/>
    <mergeCell ref="C25:C26"/>
    <mergeCell ref="D25:D26"/>
    <mergeCell ref="A27:A28"/>
    <mergeCell ref="B27:B28"/>
    <mergeCell ref="C27:C28"/>
    <mergeCell ref="D27:D28"/>
    <mergeCell ref="E27:E28"/>
    <mergeCell ref="A88:A98"/>
    <mergeCell ref="B88:B98"/>
    <mergeCell ref="C88:C98"/>
    <mergeCell ref="A138:A141"/>
    <mergeCell ref="B138:B141"/>
    <mergeCell ref="B154:B155"/>
    <mergeCell ref="B131:B135"/>
    <mergeCell ref="B122:B126"/>
    <mergeCell ref="B127:B130"/>
    <mergeCell ref="A1:I1"/>
    <mergeCell ref="A39:I39"/>
    <mergeCell ref="A56:I56"/>
    <mergeCell ref="A79:I79"/>
    <mergeCell ref="A110:I110"/>
    <mergeCell ref="A55:C55"/>
    <mergeCell ref="B145:B146"/>
    <mergeCell ref="H88:H98"/>
    <mergeCell ref="A99:A105"/>
    <mergeCell ref="B99:B105"/>
    <mergeCell ref="C99:C105"/>
    <mergeCell ref="H99:H105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87"/>
  <sheetViews>
    <sheetView tabSelected="1" topLeftCell="A73" workbookViewId="0">
      <selection activeCell="D84" sqref="D84"/>
    </sheetView>
  </sheetViews>
  <sheetFormatPr defaultRowHeight="14.4" x14ac:dyDescent="0.3"/>
  <cols>
    <col min="2" max="2" width="10.44140625" bestFit="1" customWidth="1"/>
    <col min="3" max="3" width="45.6640625" bestFit="1" customWidth="1"/>
    <col min="4" max="4" width="41.44140625" bestFit="1" customWidth="1"/>
    <col min="5" max="5" width="9.33203125" bestFit="1" customWidth="1"/>
    <col min="6" max="6" width="5.6640625" bestFit="1" customWidth="1"/>
    <col min="7" max="7" width="10" bestFit="1" customWidth="1"/>
    <col min="8" max="8" width="13.33203125" bestFit="1" customWidth="1"/>
    <col min="9" max="9" width="12.33203125" bestFit="1" customWidth="1"/>
    <col min="10" max="10" width="20.33203125" bestFit="1" customWidth="1"/>
    <col min="11" max="11" width="12.5546875" bestFit="1" customWidth="1"/>
    <col min="12" max="12" width="37.33203125" bestFit="1" customWidth="1"/>
    <col min="13" max="14" width="13.33203125" bestFit="1" customWidth="1"/>
  </cols>
  <sheetData>
    <row r="1" spans="1:14" ht="18" thickBot="1" x14ac:dyDescent="0.35">
      <c r="A1" s="391" t="s">
        <v>177</v>
      </c>
      <c r="B1" s="392"/>
      <c r="C1" s="392"/>
      <c r="D1" s="392"/>
      <c r="E1" s="392"/>
      <c r="F1" s="392"/>
      <c r="G1" s="392"/>
      <c r="H1" s="393"/>
    </row>
    <row r="2" spans="1:14" x14ac:dyDescent="0.3">
      <c r="A2" s="290" t="s">
        <v>166</v>
      </c>
      <c r="B2" s="291" t="s">
        <v>2</v>
      </c>
      <c r="C2" s="291" t="s">
        <v>136</v>
      </c>
      <c r="D2" s="291" t="s">
        <v>137</v>
      </c>
      <c r="E2" s="291" t="s">
        <v>6</v>
      </c>
      <c r="F2" s="291" t="s">
        <v>7</v>
      </c>
      <c r="G2" s="291" t="s">
        <v>176</v>
      </c>
      <c r="H2" s="292" t="s">
        <v>126</v>
      </c>
    </row>
    <row r="3" spans="1:14" ht="18" x14ac:dyDescent="0.35">
      <c r="A3" s="385">
        <v>1</v>
      </c>
      <c r="B3" s="373">
        <v>45418</v>
      </c>
      <c r="C3" s="376" t="s">
        <v>217</v>
      </c>
      <c r="D3" s="376" t="s">
        <v>221</v>
      </c>
      <c r="E3" s="376">
        <v>1620.95</v>
      </c>
      <c r="F3" s="376" t="s">
        <v>130</v>
      </c>
      <c r="G3" s="376" t="s">
        <v>50</v>
      </c>
      <c r="H3" s="433" t="s">
        <v>50</v>
      </c>
      <c r="J3" s="397"/>
      <c r="K3" s="397"/>
      <c r="L3" s="397"/>
      <c r="M3" s="397"/>
      <c r="N3" s="397"/>
    </row>
    <row r="4" spans="1:14" ht="15.75" customHeight="1" x14ac:dyDescent="0.3">
      <c r="A4" s="386"/>
      <c r="B4" s="377"/>
      <c r="C4" s="377"/>
      <c r="D4" s="377"/>
      <c r="E4" s="377"/>
      <c r="F4" s="377"/>
      <c r="G4" s="377"/>
      <c r="H4" s="434"/>
    </row>
    <row r="5" spans="1:14" ht="15.75" customHeight="1" x14ac:dyDescent="0.3">
      <c r="A5" s="386"/>
      <c r="B5" s="377"/>
      <c r="C5" s="377"/>
      <c r="D5" s="377"/>
      <c r="E5" s="377"/>
      <c r="F5" s="377"/>
      <c r="G5" s="377"/>
      <c r="H5" s="434"/>
    </row>
    <row r="6" spans="1:14" ht="15.75" customHeight="1" x14ac:dyDescent="0.3">
      <c r="A6" s="386"/>
      <c r="B6" s="377"/>
      <c r="C6" s="377"/>
      <c r="D6" s="377"/>
      <c r="E6" s="377"/>
      <c r="F6" s="377"/>
      <c r="G6" s="377"/>
      <c r="H6" s="434"/>
    </row>
    <row r="7" spans="1:14" ht="16.5" customHeight="1" thickBot="1" x14ac:dyDescent="0.35">
      <c r="A7" s="386"/>
      <c r="B7" s="377"/>
      <c r="C7" s="377"/>
      <c r="D7" s="377"/>
      <c r="E7" s="377"/>
      <c r="F7" s="377"/>
      <c r="G7" s="377"/>
      <c r="H7" s="434"/>
    </row>
    <row r="8" spans="1:14" ht="16.2" x14ac:dyDescent="0.3">
      <c r="A8" s="386"/>
      <c r="B8" s="377"/>
      <c r="C8" s="377"/>
      <c r="D8" s="377"/>
      <c r="E8" s="377"/>
      <c r="F8" s="377"/>
      <c r="G8" s="377"/>
      <c r="H8" s="434"/>
      <c r="J8" s="388" t="s">
        <v>383</v>
      </c>
      <c r="K8" s="389"/>
      <c r="L8" s="389"/>
      <c r="M8" s="390"/>
    </row>
    <row r="9" spans="1:14" ht="15.75" customHeight="1" x14ac:dyDescent="0.3">
      <c r="A9" s="386"/>
      <c r="B9" s="377"/>
      <c r="C9" s="377"/>
      <c r="D9" s="377"/>
      <c r="E9" s="377"/>
      <c r="F9" s="377"/>
      <c r="G9" s="377"/>
      <c r="H9" s="434"/>
      <c r="J9" s="151" t="s">
        <v>366</v>
      </c>
      <c r="K9" s="149" t="s">
        <v>381</v>
      </c>
      <c r="L9" s="123" t="s">
        <v>380</v>
      </c>
      <c r="M9" s="150" t="s">
        <v>181</v>
      </c>
    </row>
    <row r="10" spans="1:14" ht="15.75" customHeight="1" x14ac:dyDescent="0.3">
      <c r="A10" s="387"/>
      <c r="B10" s="378"/>
      <c r="C10" s="378"/>
      <c r="D10" s="378"/>
      <c r="E10" s="378"/>
      <c r="F10" s="378"/>
      <c r="G10" s="378"/>
      <c r="H10" s="435"/>
      <c r="J10" s="151" t="s">
        <v>182</v>
      </c>
      <c r="K10" s="235">
        <v>844582</v>
      </c>
      <c r="L10" s="235">
        <v>587282</v>
      </c>
      <c r="M10" s="240">
        <v>257300</v>
      </c>
    </row>
    <row r="11" spans="1:14" x14ac:dyDescent="0.3">
      <c r="A11" s="420">
        <v>2</v>
      </c>
      <c r="B11" s="418">
        <v>45490</v>
      </c>
      <c r="C11" s="395" t="s">
        <v>57</v>
      </c>
      <c r="D11" s="264" t="s">
        <v>58</v>
      </c>
      <c r="E11" s="264">
        <v>160</v>
      </c>
      <c r="F11" s="264">
        <v>5</v>
      </c>
      <c r="G11" s="401" t="s">
        <v>128</v>
      </c>
      <c r="H11" s="398">
        <f>327518+2427+59389</f>
        <v>389334</v>
      </c>
      <c r="J11" s="151" t="s">
        <v>183</v>
      </c>
      <c r="K11" s="235">
        <v>6049876</v>
      </c>
      <c r="L11" s="235">
        <v>2803944</v>
      </c>
      <c r="M11" s="240">
        <v>3245932</v>
      </c>
    </row>
    <row r="12" spans="1:14" ht="15" thickBot="1" x14ac:dyDescent="0.35">
      <c r="A12" s="420"/>
      <c r="B12" s="418"/>
      <c r="C12" s="395"/>
      <c r="D12" s="42" t="s">
        <v>59</v>
      </c>
      <c r="E12" s="42">
        <v>498.5</v>
      </c>
      <c r="F12" s="42">
        <v>27</v>
      </c>
      <c r="G12" s="401"/>
      <c r="H12" s="398"/>
      <c r="J12" s="152" t="s">
        <v>184</v>
      </c>
      <c r="K12" s="241">
        <v>6894458</v>
      </c>
      <c r="L12" s="241">
        <v>3391226</v>
      </c>
      <c r="M12" s="257">
        <v>3503232</v>
      </c>
    </row>
    <row r="13" spans="1:14" x14ac:dyDescent="0.3">
      <c r="A13" s="420"/>
      <c r="B13" s="418"/>
      <c r="C13" s="395"/>
      <c r="D13" s="42" t="s">
        <v>60</v>
      </c>
      <c r="E13" s="42">
        <v>1186</v>
      </c>
      <c r="F13" s="42">
        <v>49</v>
      </c>
      <c r="G13" s="401"/>
      <c r="H13" s="398"/>
    </row>
    <row r="14" spans="1:14" ht="15" thickBot="1" x14ac:dyDescent="0.35">
      <c r="A14" s="420"/>
      <c r="B14" s="418"/>
      <c r="C14" s="395"/>
      <c r="D14" s="42" t="s">
        <v>61</v>
      </c>
      <c r="E14" s="42">
        <v>186</v>
      </c>
      <c r="F14" s="42">
        <v>2</v>
      </c>
      <c r="G14" s="401"/>
      <c r="H14" s="398"/>
    </row>
    <row r="15" spans="1:14" x14ac:dyDescent="0.3">
      <c r="A15" s="420"/>
      <c r="B15" s="418"/>
      <c r="C15" s="395"/>
      <c r="D15" s="42" t="s">
        <v>62</v>
      </c>
      <c r="E15" s="42">
        <v>46.5</v>
      </c>
      <c r="F15" s="42">
        <v>2</v>
      </c>
      <c r="G15" s="401"/>
      <c r="H15" s="398"/>
      <c r="J15" s="259" t="s">
        <v>181</v>
      </c>
      <c r="K15" s="258">
        <v>3503232</v>
      </c>
      <c r="L15" s="254" t="s">
        <v>210</v>
      </c>
      <c r="M15" s="260" t="s">
        <v>382</v>
      </c>
    </row>
    <row r="16" spans="1:14" x14ac:dyDescent="0.3">
      <c r="A16" s="420"/>
      <c r="B16" s="418"/>
      <c r="C16" s="395"/>
      <c r="D16" s="42" t="s">
        <v>63</v>
      </c>
      <c r="E16" s="42">
        <v>55</v>
      </c>
      <c r="F16" s="42">
        <v>3</v>
      </c>
      <c r="G16" s="401"/>
      <c r="H16" s="398"/>
      <c r="J16" s="1" t="s">
        <v>211</v>
      </c>
      <c r="K16" s="3"/>
      <c r="L16" s="226">
        <v>803464</v>
      </c>
      <c r="M16" s="212">
        <f>K15-L16</f>
        <v>2699768</v>
      </c>
    </row>
    <row r="17" spans="1:14" x14ac:dyDescent="0.3">
      <c r="A17" s="420"/>
      <c r="B17" s="418"/>
      <c r="C17" s="395"/>
      <c r="D17" s="42" t="s">
        <v>64</v>
      </c>
      <c r="E17" s="42">
        <v>1945.5</v>
      </c>
      <c r="F17" s="42">
        <v>200</v>
      </c>
      <c r="G17" s="401"/>
      <c r="H17" s="398"/>
      <c r="J17" s="1" t="s">
        <v>212</v>
      </c>
      <c r="K17" s="3"/>
      <c r="L17" s="237">
        <v>506617</v>
      </c>
      <c r="M17" s="212">
        <f>M16-L17</f>
        <v>2193151</v>
      </c>
    </row>
    <row r="18" spans="1:14" x14ac:dyDescent="0.3">
      <c r="A18" s="420"/>
      <c r="B18" s="418"/>
      <c r="C18" s="395"/>
      <c r="D18" s="42" t="s">
        <v>65</v>
      </c>
      <c r="E18" s="42">
        <v>1870</v>
      </c>
      <c r="F18" s="42">
        <v>300</v>
      </c>
      <c r="G18" s="401"/>
      <c r="H18" s="398"/>
      <c r="J18" s="1" t="s">
        <v>215</v>
      </c>
      <c r="K18" s="3"/>
      <c r="L18" s="226">
        <v>599389</v>
      </c>
      <c r="M18" s="212">
        <f>M17-L18+376688</f>
        <v>1970450</v>
      </c>
    </row>
    <row r="19" spans="1:14" x14ac:dyDescent="0.3">
      <c r="A19" s="420"/>
      <c r="B19" s="418"/>
      <c r="C19" s="395"/>
      <c r="D19" s="42" t="s">
        <v>66</v>
      </c>
      <c r="E19" s="42">
        <v>287.5</v>
      </c>
      <c r="F19" s="42">
        <v>18</v>
      </c>
      <c r="G19" s="401"/>
      <c r="H19" s="398"/>
      <c r="J19" s="1" t="s">
        <v>239</v>
      </c>
      <c r="K19" s="3"/>
      <c r="L19" s="226">
        <v>413778</v>
      </c>
      <c r="M19" s="212">
        <f>M18-L19</f>
        <v>1556672</v>
      </c>
    </row>
    <row r="20" spans="1:14" x14ac:dyDescent="0.3">
      <c r="A20" s="420"/>
      <c r="B20" s="418"/>
      <c r="C20" s="395"/>
      <c r="D20" s="42" t="s">
        <v>67</v>
      </c>
      <c r="E20" s="42">
        <v>125</v>
      </c>
      <c r="F20" s="42"/>
      <c r="G20" s="401"/>
      <c r="H20" s="398"/>
      <c r="J20" s="1" t="s">
        <v>255</v>
      </c>
      <c r="K20" s="3"/>
      <c r="L20" s="237">
        <v>500000</v>
      </c>
      <c r="M20" s="212">
        <f>M19-L20+H42</f>
        <v>1273489</v>
      </c>
    </row>
    <row r="21" spans="1:14" ht="15" thickBot="1" x14ac:dyDescent="0.35">
      <c r="A21" s="420"/>
      <c r="B21" s="418"/>
      <c r="C21" s="395"/>
      <c r="D21" s="42" t="s">
        <v>68</v>
      </c>
      <c r="E21" s="42">
        <v>2.5</v>
      </c>
      <c r="F21" s="42"/>
      <c r="G21" s="402"/>
      <c r="H21" s="399"/>
      <c r="J21" s="166" t="s">
        <v>288</v>
      </c>
      <c r="K21" s="121"/>
      <c r="L21" s="255">
        <v>1273489</v>
      </c>
      <c r="M21" s="256">
        <f>M20-L21</f>
        <v>0</v>
      </c>
      <c r="N21" s="286" t="s">
        <v>379</v>
      </c>
    </row>
    <row r="22" spans="1:14" ht="15" thickBot="1" x14ac:dyDescent="0.35">
      <c r="A22" s="421">
        <v>3</v>
      </c>
      <c r="B22" s="417">
        <v>45499</v>
      </c>
      <c r="C22" s="394" t="s">
        <v>69</v>
      </c>
      <c r="D22" s="42" t="s">
        <v>60</v>
      </c>
      <c r="E22" s="42">
        <v>2349</v>
      </c>
      <c r="F22" s="42">
        <v>96</v>
      </c>
      <c r="G22" s="400" t="s">
        <v>128</v>
      </c>
      <c r="H22" s="407">
        <v>618184</v>
      </c>
    </row>
    <row r="23" spans="1:14" x14ac:dyDescent="0.3">
      <c r="A23" s="420"/>
      <c r="B23" s="418"/>
      <c r="C23" s="395"/>
      <c r="D23" s="42" t="s">
        <v>58</v>
      </c>
      <c r="E23" s="42">
        <v>592</v>
      </c>
      <c r="F23" s="42">
        <v>18</v>
      </c>
      <c r="G23" s="401"/>
      <c r="H23" s="398"/>
      <c r="J23" s="423" t="s">
        <v>300</v>
      </c>
      <c r="K23" s="424"/>
      <c r="L23" s="424"/>
      <c r="M23" s="424"/>
      <c r="N23" s="425"/>
    </row>
    <row r="24" spans="1:14" x14ac:dyDescent="0.3">
      <c r="A24" s="420"/>
      <c r="B24" s="418"/>
      <c r="C24" s="395"/>
      <c r="D24" s="42" t="s">
        <v>59</v>
      </c>
      <c r="E24" s="42">
        <v>936</v>
      </c>
      <c r="F24" s="42">
        <v>50</v>
      </c>
      <c r="G24" s="401"/>
      <c r="H24" s="398"/>
      <c r="J24" s="427" t="s">
        <v>377</v>
      </c>
      <c r="K24" s="428"/>
      <c r="L24" s="428" t="s">
        <v>378</v>
      </c>
      <c r="M24" s="428"/>
      <c r="N24" s="429"/>
    </row>
    <row r="25" spans="1:14" x14ac:dyDescent="0.3">
      <c r="A25" s="420"/>
      <c r="B25" s="418"/>
      <c r="C25" s="395"/>
      <c r="D25" s="42" t="s">
        <v>71</v>
      </c>
      <c r="E25" s="42">
        <v>298</v>
      </c>
      <c r="F25" s="42">
        <v>3</v>
      </c>
      <c r="G25" s="401"/>
      <c r="H25" s="398"/>
      <c r="J25" s="224" t="s">
        <v>289</v>
      </c>
      <c r="K25" s="201" t="s">
        <v>126</v>
      </c>
      <c r="L25" s="202" t="s">
        <v>290</v>
      </c>
      <c r="M25" s="201" t="s">
        <v>291</v>
      </c>
      <c r="N25" s="225" t="s">
        <v>292</v>
      </c>
    </row>
    <row r="26" spans="1:14" x14ac:dyDescent="0.3">
      <c r="A26" s="420"/>
      <c r="B26" s="418"/>
      <c r="C26" s="395"/>
      <c r="D26" s="42" t="s">
        <v>72</v>
      </c>
      <c r="E26" s="42">
        <v>917</v>
      </c>
      <c r="F26" s="42">
        <v>6</v>
      </c>
      <c r="G26" s="402"/>
      <c r="H26" s="398"/>
      <c r="J26" s="251">
        <v>45698</v>
      </c>
      <c r="K26" s="226">
        <v>540495</v>
      </c>
      <c r="L26" s="8">
        <v>45716</v>
      </c>
      <c r="M26" s="226">
        <v>540495</v>
      </c>
      <c r="N26" s="244">
        <f>K45-M26</f>
        <v>6197121</v>
      </c>
    </row>
    <row r="27" spans="1:14" x14ac:dyDescent="0.3">
      <c r="A27" s="420"/>
      <c r="B27" s="418"/>
      <c r="C27" s="395"/>
      <c r="D27" s="42" t="s">
        <v>59</v>
      </c>
      <c r="E27" s="42">
        <v>3014</v>
      </c>
      <c r="F27" s="42">
        <v>213</v>
      </c>
      <c r="G27" s="400" t="s">
        <v>129</v>
      </c>
      <c r="H27" s="398"/>
      <c r="J27" s="251">
        <v>45704</v>
      </c>
      <c r="K27" s="226">
        <v>1961218</v>
      </c>
      <c r="L27" s="8">
        <v>45743</v>
      </c>
      <c r="M27" s="226">
        <v>500000</v>
      </c>
      <c r="N27" s="244">
        <f t="shared" ref="N27:N35" si="0">N26-M27</f>
        <v>5697121</v>
      </c>
    </row>
    <row r="28" spans="1:14" x14ac:dyDescent="0.3">
      <c r="A28" s="422"/>
      <c r="B28" s="419"/>
      <c r="C28" s="396"/>
      <c r="D28" s="42" t="s">
        <v>70</v>
      </c>
      <c r="E28" s="42">
        <v>1509</v>
      </c>
      <c r="F28" s="42">
        <v>80</v>
      </c>
      <c r="G28" s="402"/>
      <c r="H28" s="399"/>
      <c r="J28" s="251">
        <v>45713</v>
      </c>
      <c r="K28" s="226">
        <v>519004</v>
      </c>
      <c r="L28" s="8" t="s">
        <v>275</v>
      </c>
      <c r="M28" s="226">
        <v>500000</v>
      </c>
      <c r="N28" s="244">
        <f t="shared" si="0"/>
        <v>5197121</v>
      </c>
    </row>
    <row r="29" spans="1:14" x14ac:dyDescent="0.3">
      <c r="A29" s="421">
        <v>4</v>
      </c>
      <c r="B29" s="265">
        <v>45516</v>
      </c>
      <c r="C29" s="42" t="s">
        <v>74</v>
      </c>
      <c r="D29" s="394" t="s">
        <v>75</v>
      </c>
      <c r="E29" s="394">
        <f>927.59+399.16+171.07+136.08</f>
        <v>1633.8999999999999</v>
      </c>
      <c r="F29" s="394" t="s">
        <v>130</v>
      </c>
      <c r="G29" s="266"/>
      <c r="H29" s="403">
        <v>600187</v>
      </c>
      <c r="I29" s="415"/>
      <c r="J29" s="251">
        <v>45729</v>
      </c>
      <c r="K29" s="226">
        <v>575836</v>
      </c>
      <c r="L29" s="8">
        <v>45755</v>
      </c>
      <c r="M29" s="226">
        <v>1461218</v>
      </c>
      <c r="N29" s="244">
        <f t="shared" si="0"/>
        <v>3735903</v>
      </c>
    </row>
    <row r="30" spans="1:14" x14ac:dyDescent="0.3">
      <c r="A30" s="420"/>
      <c r="B30" s="417"/>
      <c r="C30" s="267" t="s">
        <v>121</v>
      </c>
      <c r="D30" s="395"/>
      <c r="E30" s="395"/>
      <c r="F30" s="395"/>
      <c r="G30" s="266"/>
      <c r="H30" s="404"/>
      <c r="I30" s="415"/>
      <c r="J30" s="251">
        <v>45748</v>
      </c>
      <c r="K30" s="226">
        <v>36031</v>
      </c>
      <c r="L30" s="8">
        <v>45760</v>
      </c>
      <c r="M30" s="226">
        <v>400000</v>
      </c>
      <c r="N30" s="244">
        <f t="shared" si="0"/>
        <v>3335903</v>
      </c>
    </row>
    <row r="31" spans="1:14" x14ac:dyDescent="0.3">
      <c r="A31" s="420"/>
      <c r="B31" s="418"/>
      <c r="C31" s="267" t="s">
        <v>122</v>
      </c>
      <c r="D31" s="395"/>
      <c r="E31" s="395"/>
      <c r="F31" s="396"/>
      <c r="G31" s="266"/>
      <c r="H31" s="404"/>
      <c r="J31" s="252">
        <v>45760</v>
      </c>
      <c r="K31" s="243">
        <v>558920</v>
      </c>
      <c r="L31" s="35">
        <v>45765</v>
      </c>
      <c r="M31" s="226">
        <v>119005</v>
      </c>
      <c r="N31" s="245">
        <f t="shared" si="0"/>
        <v>3216898</v>
      </c>
    </row>
    <row r="32" spans="1:14" x14ac:dyDescent="0.3">
      <c r="A32" s="420"/>
      <c r="B32" s="418"/>
      <c r="C32" s="267" t="s">
        <v>123</v>
      </c>
      <c r="D32" s="395"/>
      <c r="E32" s="394">
        <v>5609</v>
      </c>
      <c r="F32" s="394" t="s">
        <v>82</v>
      </c>
      <c r="G32" s="266"/>
      <c r="H32" s="404"/>
      <c r="I32" s="253" t="s">
        <v>155</v>
      </c>
      <c r="J32" s="252">
        <v>45765</v>
      </c>
      <c r="K32" s="243">
        <v>67825</v>
      </c>
      <c r="L32" s="35">
        <v>45783</v>
      </c>
      <c r="M32" s="226">
        <v>50000</v>
      </c>
      <c r="N32" s="248">
        <f t="shared" si="0"/>
        <v>3166898</v>
      </c>
    </row>
    <row r="33" spans="1:14" x14ac:dyDescent="0.3">
      <c r="A33" s="422"/>
      <c r="B33" s="419"/>
      <c r="C33" s="267" t="s">
        <v>124</v>
      </c>
      <c r="D33" s="396"/>
      <c r="E33" s="396"/>
      <c r="F33" s="396"/>
      <c r="G33" s="266"/>
      <c r="H33" s="405"/>
      <c r="J33" s="252">
        <v>45768</v>
      </c>
      <c r="K33" s="243">
        <v>985369</v>
      </c>
      <c r="L33" s="35">
        <v>45783</v>
      </c>
      <c r="M33" s="226">
        <v>450000</v>
      </c>
      <c r="N33" s="248">
        <f t="shared" si="0"/>
        <v>2716898</v>
      </c>
    </row>
    <row r="34" spans="1:14" x14ac:dyDescent="0.3">
      <c r="A34" s="421">
        <v>5</v>
      </c>
      <c r="B34" s="417">
        <v>45516</v>
      </c>
      <c r="C34" s="42" t="s">
        <v>102</v>
      </c>
      <c r="D34" s="394" t="s">
        <v>103</v>
      </c>
      <c r="E34" s="394">
        <v>1265.54</v>
      </c>
      <c r="F34" s="394" t="s">
        <v>130</v>
      </c>
      <c r="G34" s="266"/>
      <c r="H34" s="407">
        <v>502140</v>
      </c>
      <c r="J34" s="251">
        <v>45768</v>
      </c>
      <c r="K34" s="226">
        <v>20863</v>
      </c>
      <c r="L34" s="8">
        <v>45788</v>
      </c>
      <c r="M34" s="226">
        <v>200000</v>
      </c>
      <c r="N34" s="249">
        <f t="shared" si="0"/>
        <v>2516898</v>
      </c>
    </row>
    <row r="35" spans="1:14" x14ac:dyDescent="0.3">
      <c r="A35" s="422"/>
      <c r="B35" s="419"/>
      <c r="C35" s="267" t="s">
        <v>134</v>
      </c>
      <c r="D35" s="396"/>
      <c r="E35" s="396"/>
      <c r="F35" s="396"/>
      <c r="G35" s="266"/>
      <c r="H35" s="399"/>
      <c r="J35" s="251">
        <v>45771</v>
      </c>
      <c r="K35" s="223">
        <v>522012</v>
      </c>
      <c r="L35" s="8">
        <v>45797</v>
      </c>
      <c r="M35" s="226">
        <v>150000</v>
      </c>
      <c r="N35" s="249">
        <f t="shared" si="0"/>
        <v>2366898</v>
      </c>
    </row>
    <row r="36" spans="1:14" x14ac:dyDescent="0.3">
      <c r="A36" s="421">
        <v>8</v>
      </c>
      <c r="B36" s="417">
        <v>38224</v>
      </c>
      <c r="C36" s="394" t="s">
        <v>104</v>
      </c>
      <c r="D36" s="42" t="s">
        <v>105</v>
      </c>
      <c r="E36" s="394">
        <v>9270</v>
      </c>
      <c r="F36" s="42"/>
      <c r="G36" s="400" t="s">
        <v>131</v>
      </c>
      <c r="H36" s="406">
        <v>538864</v>
      </c>
      <c r="J36" s="251">
        <v>45790</v>
      </c>
      <c r="K36" s="223">
        <v>392393</v>
      </c>
      <c r="L36" s="4"/>
      <c r="M36" s="226"/>
      <c r="N36" s="154"/>
    </row>
    <row r="37" spans="1:14" x14ac:dyDescent="0.3">
      <c r="A37" s="420"/>
      <c r="B37" s="418"/>
      <c r="C37" s="395"/>
      <c r="D37" s="42" t="s">
        <v>106</v>
      </c>
      <c r="E37" s="395"/>
      <c r="F37" s="42"/>
      <c r="G37" s="401"/>
      <c r="H37" s="406"/>
      <c r="J37" s="251">
        <v>45792</v>
      </c>
      <c r="K37" s="223">
        <v>217500</v>
      </c>
      <c r="L37" s="4"/>
      <c r="M37" s="226"/>
      <c r="N37" s="154"/>
    </row>
    <row r="38" spans="1:14" x14ac:dyDescent="0.3">
      <c r="A38" s="420"/>
      <c r="B38" s="418"/>
      <c r="C38" s="395"/>
      <c r="D38" s="42" t="s">
        <v>107</v>
      </c>
      <c r="E38" s="395"/>
      <c r="F38" s="42"/>
      <c r="G38" s="401"/>
      <c r="H38" s="406"/>
      <c r="J38" s="251">
        <v>45794</v>
      </c>
      <c r="K38" s="223">
        <v>340150</v>
      </c>
      <c r="L38" s="4"/>
      <c r="M38" s="226"/>
      <c r="N38" s="154"/>
    </row>
    <row r="39" spans="1:14" x14ac:dyDescent="0.3">
      <c r="A39" s="422"/>
      <c r="B39" s="419"/>
      <c r="C39" s="396"/>
      <c r="D39" s="42" t="s">
        <v>108</v>
      </c>
      <c r="E39" s="395"/>
      <c r="F39" s="55"/>
      <c r="G39" s="401"/>
      <c r="H39" s="407"/>
      <c r="J39" s="250"/>
      <c r="K39" s="223"/>
      <c r="L39" s="4"/>
      <c r="M39" s="226"/>
      <c r="N39" s="154"/>
    </row>
    <row r="40" spans="1:14" x14ac:dyDescent="0.3">
      <c r="A40" s="268">
        <v>9</v>
      </c>
      <c r="B40" s="269">
        <v>45529</v>
      </c>
      <c r="C40" s="42" t="s">
        <v>76</v>
      </c>
      <c r="D40" s="42" t="s">
        <v>174</v>
      </c>
      <c r="E40" s="42">
        <v>630</v>
      </c>
      <c r="F40" s="42" t="s">
        <v>175</v>
      </c>
      <c r="G40" s="42"/>
      <c r="H40" s="270">
        <v>264600</v>
      </c>
      <c r="J40" s="250"/>
      <c r="K40" s="223"/>
      <c r="L40" s="4"/>
      <c r="M40" s="226"/>
      <c r="N40" s="154"/>
    </row>
    <row r="41" spans="1:14" x14ac:dyDescent="0.3">
      <c r="A41" s="268">
        <v>5</v>
      </c>
      <c r="B41" s="269">
        <v>45533</v>
      </c>
      <c r="C41" s="42" t="s">
        <v>51</v>
      </c>
      <c r="D41" s="42" t="s">
        <v>174</v>
      </c>
      <c r="E41" s="42">
        <v>690</v>
      </c>
      <c r="F41" s="42" t="s">
        <v>175</v>
      </c>
      <c r="G41" s="42"/>
      <c r="H41" s="270">
        <f>E41*420</f>
        <v>289800</v>
      </c>
      <c r="J41" s="250"/>
      <c r="K41" s="223"/>
      <c r="L41" s="4"/>
      <c r="M41" s="226"/>
      <c r="N41" s="154"/>
    </row>
    <row r="42" spans="1:14" x14ac:dyDescent="0.3">
      <c r="A42" s="271"/>
      <c r="B42" s="417" t="s">
        <v>85</v>
      </c>
      <c r="C42" s="394" t="s">
        <v>57</v>
      </c>
      <c r="D42" s="394" t="s">
        <v>153</v>
      </c>
      <c r="E42" s="42">
        <v>632.44799999999998</v>
      </c>
      <c r="F42" s="42" t="s">
        <v>130</v>
      </c>
      <c r="G42" s="272"/>
      <c r="H42" s="407">
        <v>216817</v>
      </c>
      <c r="J42" s="250"/>
      <c r="K42" s="223"/>
      <c r="L42" s="4"/>
      <c r="M42" s="226"/>
      <c r="N42" s="154"/>
    </row>
    <row r="43" spans="1:14" x14ac:dyDescent="0.3">
      <c r="A43" s="271"/>
      <c r="B43" s="419"/>
      <c r="C43" s="396"/>
      <c r="D43" s="396"/>
      <c r="E43" s="42">
        <v>1329.5</v>
      </c>
      <c r="F43" s="42" t="s">
        <v>82</v>
      </c>
      <c r="G43" s="272"/>
      <c r="H43" s="399"/>
      <c r="J43" s="250"/>
      <c r="K43" s="223"/>
      <c r="L43" s="4"/>
      <c r="M43" s="226"/>
      <c r="N43" s="154"/>
    </row>
    <row r="44" spans="1:14" x14ac:dyDescent="0.3">
      <c r="A44" s="268">
        <v>9</v>
      </c>
      <c r="B44" s="269">
        <v>45534</v>
      </c>
      <c r="C44" s="42" t="s">
        <v>57</v>
      </c>
      <c r="D44" s="42" t="s">
        <v>109</v>
      </c>
      <c r="E44" s="273">
        <v>4855</v>
      </c>
      <c r="F44" s="274"/>
      <c r="G44" s="275" t="s">
        <v>132</v>
      </c>
      <c r="H44" s="276">
        <v>368181</v>
      </c>
      <c r="J44" s="250"/>
      <c r="K44" s="223"/>
      <c r="L44" s="4"/>
      <c r="M44" s="13"/>
      <c r="N44" s="154"/>
    </row>
    <row r="45" spans="1:14" ht="15" thickBot="1" x14ac:dyDescent="0.35">
      <c r="A45" s="268"/>
      <c r="B45" s="269" t="s">
        <v>91</v>
      </c>
      <c r="C45" s="42" t="s">
        <v>57</v>
      </c>
      <c r="D45" s="42" t="s">
        <v>154</v>
      </c>
      <c r="E45" s="42">
        <v>195.5</v>
      </c>
      <c r="F45" s="42" t="s">
        <v>82</v>
      </c>
      <c r="G45" s="266"/>
      <c r="H45" s="277">
        <v>14317</v>
      </c>
      <c r="J45" s="287" t="s">
        <v>27</v>
      </c>
      <c r="K45" s="288">
        <f>SUM(K26:K38)</f>
        <v>6737616</v>
      </c>
      <c r="L45" s="289"/>
      <c r="M45" s="288">
        <f>SUM(M26:M35)</f>
        <v>4370718</v>
      </c>
      <c r="N45" s="261">
        <f>K45-M45</f>
        <v>2366898</v>
      </c>
    </row>
    <row r="46" spans="1:14" x14ac:dyDescent="0.3">
      <c r="A46" s="268">
        <v>10</v>
      </c>
      <c r="B46" s="269">
        <v>45547</v>
      </c>
      <c r="C46" s="42" t="s">
        <v>57</v>
      </c>
      <c r="D46" s="42" t="s">
        <v>110</v>
      </c>
      <c r="E46" s="264">
        <v>1769.5</v>
      </c>
      <c r="F46" s="42" t="s">
        <v>82</v>
      </c>
      <c r="G46" s="278" t="s">
        <v>129</v>
      </c>
      <c r="H46" s="279"/>
    </row>
    <row r="47" spans="1:14" x14ac:dyDescent="0.3">
      <c r="A47" s="421">
        <v>11</v>
      </c>
      <c r="B47" s="417">
        <v>45556</v>
      </c>
      <c r="C47" s="394" t="s">
        <v>57</v>
      </c>
      <c r="D47" s="42" t="s">
        <v>111</v>
      </c>
      <c r="E47" s="42">
        <v>884</v>
      </c>
      <c r="F47" s="42" t="s">
        <v>82</v>
      </c>
      <c r="G47" s="400" t="s">
        <v>128</v>
      </c>
      <c r="H47" s="411">
        <v>223637.36420000001</v>
      </c>
    </row>
    <row r="48" spans="1:14" x14ac:dyDescent="0.3">
      <c r="A48" s="420"/>
      <c r="B48" s="418"/>
      <c r="C48" s="395"/>
      <c r="D48" s="42" t="s">
        <v>112</v>
      </c>
      <c r="E48" s="42">
        <v>1358</v>
      </c>
      <c r="F48" s="42" t="s">
        <v>82</v>
      </c>
      <c r="G48" s="401"/>
      <c r="H48" s="411"/>
    </row>
    <row r="49" spans="1:14" x14ac:dyDescent="0.3">
      <c r="A49" s="420"/>
      <c r="B49" s="418"/>
      <c r="C49" s="395"/>
      <c r="D49" s="42" t="s">
        <v>113</v>
      </c>
      <c r="E49" s="42">
        <v>466</v>
      </c>
      <c r="F49" s="42" t="s">
        <v>82</v>
      </c>
      <c r="G49" s="401"/>
      <c r="H49" s="411"/>
    </row>
    <row r="50" spans="1:14" x14ac:dyDescent="0.3">
      <c r="A50" s="420"/>
      <c r="B50" s="418"/>
      <c r="C50" s="395"/>
      <c r="D50" s="42" t="s">
        <v>114</v>
      </c>
      <c r="E50" s="42">
        <v>597</v>
      </c>
      <c r="F50" s="42" t="s">
        <v>82</v>
      </c>
      <c r="G50" s="401"/>
      <c r="H50" s="411"/>
      <c r="J50" s="242"/>
      <c r="K50" s="242"/>
      <c r="L50" s="242"/>
      <c r="M50" s="242"/>
      <c r="N50" s="242"/>
    </row>
    <row r="51" spans="1:14" x14ac:dyDescent="0.3">
      <c r="A51" s="422"/>
      <c r="B51" s="419"/>
      <c r="C51" s="396"/>
      <c r="D51" s="42" t="s">
        <v>115</v>
      </c>
      <c r="E51" s="42">
        <v>2000</v>
      </c>
      <c r="F51" s="42" t="s">
        <v>32</v>
      </c>
      <c r="G51" s="402"/>
      <c r="H51" s="411"/>
    </row>
    <row r="52" spans="1:14" x14ac:dyDescent="0.3">
      <c r="A52" s="421">
        <v>12</v>
      </c>
      <c r="B52" s="416">
        <v>45563</v>
      </c>
      <c r="C52" s="426" t="s">
        <v>116</v>
      </c>
      <c r="D52" s="42" t="s">
        <v>117</v>
      </c>
      <c r="E52" s="42">
        <v>832</v>
      </c>
      <c r="F52" s="42" t="s">
        <v>82</v>
      </c>
      <c r="G52" s="400" t="s">
        <v>133</v>
      </c>
      <c r="H52" s="408">
        <v>76625.624599999996</v>
      </c>
    </row>
    <row r="53" spans="1:14" x14ac:dyDescent="0.3">
      <c r="A53" s="420"/>
      <c r="B53" s="416"/>
      <c r="C53" s="426"/>
      <c r="D53" s="42" t="s">
        <v>118</v>
      </c>
      <c r="E53" s="42">
        <v>228.5</v>
      </c>
      <c r="F53" s="42" t="s">
        <v>82</v>
      </c>
      <c r="G53" s="401"/>
      <c r="H53" s="409"/>
    </row>
    <row r="54" spans="1:14" x14ac:dyDescent="0.3">
      <c r="A54" s="420"/>
      <c r="B54" s="416"/>
      <c r="C54" s="426"/>
      <c r="D54" s="42" t="s">
        <v>119</v>
      </c>
      <c r="E54" s="42">
        <v>95</v>
      </c>
      <c r="F54" s="42" t="s">
        <v>82</v>
      </c>
      <c r="G54" s="401"/>
      <c r="H54" s="409"/>
    </row>
    <row r="55" spans="1:14" x14ac:dyDescent="0.3">
      <c r="A55" s="422"/>
      <c r="B55" s="416"/>
      <c r="C55" s="426"/>
      <c r="D55" s="42" t="s">
        <v>120</v>
      </c>
      <c r="E55" s="42">
        <v>75</v>
      </c>
      <c r="F55" s="42" t="s">
        <v>82</v>
      </c>
      <c r="G55" s="402"/>
      <c r="H55" s="410"/>
    </row>
    <row r="56" spans="1:14" x14ac:dyDescent="0.3">
      <c r="A56" s="421">
        <v>13</v>
      </c>
      <c r="B56" s="417">
        <v>45569</v>
      </c>
      <c r="C56" s="394" t="s">
        <v>57</v>
      </c>
      <c r="D56" s="42" t="s">
        <v>141</v>
      </c>
      <c r="E56" s="42">
        <v>1073</v>
      </c>
      <c r="F56" s="42" t="s">
        <v>82</v>
      </c>
      <c r="G56" s="266"/>
      <c r="H56" s="412">
        <v>386828</v>
      </c>
    </row>
    <row r="57" spans="1:14" x14ac:dyDescent="0.3">
      <c r="A57" s="420"/>
      <c r="B57" s="418"/>
      <c r="C57" s="395"/>
      <c r="D57" s="42" t="s">
        <v>142</v>
      </c>
      <c r="E57" s="42">
        <v>450</v>
      </c>
      <c r="F57" s="42" t="s">
        <v>82</v>
      </c>
      <c r="G57" s="266"/>
      <c r="H57" s="413"/>
    </row>
    <row r="58" spans="1:14" x14ac:dyDescent="0.3">
      <c r="A58" s="420"/>
      <c r="B58" s="418"/>
      <c r="C58" s="395"/>
      <c r="D58" s="42" t="s">
        <v>143</v>
      </c>
      <c r="E58" s="42">
        <v>99</v>
      </c>
      <c r="F58" s="42" t="s">
        <v>82</v>
      </c>
      <c r="G58" s="266"/>
      <c r="H58" s="413"/>
    </row>
    <row r="59" spans="1:14" x14ac:dyDescent="0.3">
      <c r="A59" s="422"/>
      <c r="B59" s="419"/>
      <c r="C59" s="396"/>
      <c r="D59" s="42" t="s">
        <v>144</v>
      </c>
      <c r="E59" s="42">
        <v>4500</v>
      </c>
      <c r="F59" s="42" t="s">
        <v>82</v>
      </c>
      <c r="G59" s="266"/>
      <c r="H59" s="414"/>
    </row>
    <row r="60" spans="1:14" x14ac:dyDescent="0.3">
      <c r="A60" s="421">
        <v>14</v>
      </c>
      <c r="B60" s="417">
        <v>45570</v>
      </c>
      <c r="C60" s="42" t="s">
        <v>57</v>
      </c>
      <c r="D60" s="42" t="s">
        <v>145</v>
      </c>
      <c r="E60" s="42">
        <v>1774</v>
      </c>
      <c r="F60" s="42" t="s">
        <v>82</v>
      </c>
      <c r="G60" s="266"/>
      <c r="H60" s="412">
        <v>784790</v>
      </c>
    </row>
    <row r="61" spans="1:14" x14ac:dyDescent="0.3">
      <c r="A61" s="420"/>
      <c r="B61" s="418"/>
      <c r="C61" s="267" t="s">
        <v>148</v>
      </c>
      <c r="D61" s="42" t="s">
        <v>146</v>
      </c>
      <c r="E61" s="42">
        <v>287.5</v>
      </c>
      <c r="F61" s="42" t="s">
        <v>82</v>
      </c>
      <c r="G61" s="266"/>
      <c r="H61" s="413"/>
    </row>
    <row r="62" spans="1:14" x14ac:dyDescent="0.3">
      <c r="A62" s="420"/>
      <c r="B62" s="418"/>
      <c r="C62" s="267" t="s">
        <v>149</v>
      </c>
      <c r="D62" s="42" t="s">
        <v>147</v>
      </c>
      <c r="E62" s="42">
        <v>250</v>
      </c>
      <c r="F62" s="42" t="s">
        <v>82</v>
      </c>
      <c r="G62" s="266"/>
      <c r="H62" s="413"/>
    </row>
    <row r="63" spans="1:14" x14ac:dyDescent="0.3">
      <c r="A63" s="420"/>
      <c r="B63" s="418"/>
      <c r="C63" s="267" t="s">
        <v>150</v>
      </c>
      <c r="D63" s="394" t="s">
        <v>153</v>
      </c>
      <c r="E63" s="42">
        <f>233.28+421.632+226.8+544.32+213.84</f>
        <v>1639.8720000000001</v>
      </c>
      <c r="F63" s="42" t="s">
        <v>130</v>
      </c>
      <c r="G63" s="266"/>
      <c r="H63" s="413"/>
    </row>
    <row r="64" spans="1:14" x14ac:dyDescent="0.3">
      <c r="A64" s="420"/>
      <c r="B64" s="418"/>
      <c r="C64" s="267" t="s">
        <v>151</v>
      </c>
      <c r="D64" s="395"/>
      <c r="E64" s="42">
        <v>5907.2</v>
      </c>
      <c r="F64" s="42" t="s">
        <v>82</v>
      </c>
      <c r="G64" s="266"/>
      <c r="H64" s="413"/>
    </row>
    <row r="65" spans="1:9" x14ac:dyDescent="0.3">
      <c r="A65" s="420"/>
      <c r="B65" s="418"/>
      <c r="C65" s="280" t="s">
        <v>152</v>
      </c>
      <c r="D65" s="396"/>
      <c r="E65" s="55"/>
      <c r="F65" s="55"/>
      <c r="G65" s="281"/>
      <c r="H65" s="413"/>
    </row>
    <row r="66" spans="1:9" x14ac:dyDescent="0.3">
      <c r="A66" s="282">
        <v>15</v>
      </c>
      <c r="B66" s="269">
        <v>45572</v>
      </c>
      <c r="C66" s="42" t="s">
        <v>51</v>
      </c>
      <c r="D66" s="42" t="s">
        <v>33</v>
      </c>
      <c r="E66" s="42">
        <v>520</v>
      </c>
      <c r="F66" s="42" t="s">
        <v>175</v>
      </c>
      <c r="G66" s="267"/>
      <c r="H66" s="283">
        <v>221000</v>
      </c>
    </row>
    <row r="67" spans="1:9" x14ac:dyDescent="0.3">
      <c r="A67" s="282">
        <v>16</v>
      </c>
      <c r="B67" s="269">
        <v>45572</v>
      </c>
      <c r="C67" s="42" t="s">
        <v>51</v>
      </c>
      <c r="D67" s="42" t="s">
        <v>33</v>
      </c>
      <c r="E67" s="42">
        <v>520</v>
      </c>
      <c r="F67" s="42" t="s">
        <v>175</v>
      </c>
      <c r="G67" s="267"/>
      <c r="H67" s="283">
        <v>221000</v>
      </c>
    </row>
    <row r="68" spans="1:9" x14ac:dyDescent="0.3">
      <c r="A68" s="421">
        <v>17</v>
      </c>
      <c r="B68" s="394" t="s">
        <v>224</v>
      </c>
      <c r="C68" s="55" t="s">
        <v>51</v>
      </c>
      <c r="D68" s="267" t="s">
        <v>225</v>
      </c>
      <c r="E68" s="41">
        <v>774</v>
      </c>
      <c r="F68" s="41" t="s">
        <v>82</v>
      </c>
      <c r="G68" s="267"/>
      <c r="H68" s="430">
        <v>376688</v>
      </c>
    </row>
    <row r="69" spans="1:9" x14ac:dyDescent="0.3">
      <c r="A69" s="420"/>
      <c r="B69" s="395"/>
      <c r="C69" s="284" t="s">
        <v>232</v>
      </c>
      <c r="D69" s="267" t="s">
        <v>226</v>
      </c>
      <c r="E69" s="41">
        <v>1683</v>
      </c>
      <c r="F69" s="41" t="s">
        <v>82</v>
      </c>
      <c r="G69" s="267"/>
      <c r="H69" s="431"/>
    </row>
    <row r="70" spans="1:9" x14ac:dyDescent="0.3">
      <c r="A70" s="420"/>
      <c r="B70" s="395"/>
      <c r="C70" s="284" t="s">
        <v>233</v>
      </c>
      <c r="D70" s="267" t="s">
        <v>227</v>
      </c>
      <c r="E70" s="41">
        <v>823</v>
      </c>
      <c r="F70" s="41" t="s">
        <v>82</v>
      </c>
      <c r="G70" s="267"/>
      <c r="H70" s="431"/>
    </row>
    <row r="71" spans="1:9" x14ac:dyDescent="0.3">
      <c r="A71" s="420"/>
      <c r="B71" s="395"/>
      <c r="C71" s="284"/>
      <c r="D71" s="267" t="s">
        <v>228</v>
      </c>
      <c r="E71" s="41">
        <v>340</v>
      </c>
      <c r="F71" s="41" t="s">
        <v>82</v>
      </c>
      <c r="G71" s="267"/>
      <c r="H71" s="431"/>
    </row>
    <row r="72" spans="1:9" x14ac:dyDescent="0.3">
      <c r="A72" s="420"/>
      <c r="B72" s="395"/>
      <c r="C72" s="284"/>
      <c r="D72" s="267" t="s">
        <v>229</v>
      </c>
      <c r="E72" s="41">
        <v>311</v>
      </c>
      <c r="F72" s="41" t="s">
        <v>82</v>
      </c>
      <c r="G72" s="267"/>
      <c r="H72" s="431"/>
    </row>
    <row r="73" spans="1:9" x14ac:dyDescent="0.3">
      <c r="A73" s="420"/>
      <c r="B73" s="395"/>
      <c r="C73" s="284"/>
      <c r="D73" s="267" t="s">
        <v>230</v>
      </c>
      <c r="E73" s="41">
        <v>200</v>
      </c>
      <c r="F73" s="41" t="s">
        <v>82</v>
      </c>
      <c r="G73" s="267"/>
      <c r="H73" s="431"/>
    </row>
    <row r="74" spans="1:9" x14ac:dyDescent="0.3">
      <c r="A74" s="422"/>
      <c r="B74" s="396"/>
      <c r="C74" s="285"/>
      <c r="D74" s="267" t="s">
        <v>231</v>
      </c>
      <c r="E74" s="41">
        <v>1208</v>
      </c>
      <c r="F74" s="41" t="s">
        <v>82</v>
      </c>
      <c r="G74" s="267"/>
      <c r="H74" s="432"/>
    </row>
    <row r="75" spans="1:9" ht="33" customHeight="1" x14ac:dyDescent="0.3">
      <c r="A75" s="436" t="s">
        <v>384</v>
      </c>
      <c r="B75" s="437"/>
      <c r="C75" s="437"/>
      <c r="D75" s="437"/>
      <c r="E75" s="437"/>
      <c r="F75" s="437"/>
      <c r="G75" s="437"/>
      <c r="H75" s="438"/>
    </row>
    <row r="76" spans="1:9" x14ac:dyDescent="0.3">
      <c r="A76" s="385">
        <v>18</v>
      </c>
      <c r="B76" s="376" t="s">
        <v>293</v>
      </c>
      <c r="C76" s="376" t="s">
        <v>51</v>
      </c>
      <c r="D76" s="13" t="s">
        <v>254</v>
      </c>
      <c r="E76" s="3">
        <v>1528</v>
      </c>
      <c r="F76" s="3" t="s">
        <v>82</v>
      </c>
      <c r="G76" s="376" t="s">
        <v>298</v>
      </c>
      <c r="H76" s="382">
        <v>540495</v>
      </c>
      <c r="I76" s="442" t="s">
        <v>385</v>
      </c>
    </row>
    <row r="77" spans="1:9" x14ac:dyDescent="0.3">
      <c r="A77" s="386"/>
      <c r="B77" s="377"/>
      <c r="C77" s="377"/>
      <c r="D77" s="13" t="s">
        <v>294</v>
      </c>
      <c r="E77" s="3">
        <v>2365</v>
      </c>
      <c r="F77" s="3" t="s">
        <v>82</v>
      </c>
      <c r="G77" s="377"/>
      <c r="H77" s="383"/>
      <c r="I77" s="442"/>
    </row>
    <row r="78" spans="1:9" x14ac:dyDescent="0.3">
      <c r="A78" s="386"/>
      <c r="B78" s="377"/>
      <c r="C78" s="377"/>
      <c r="D78" s="13" t="s">
        <v>245</v>
      </c>
      <c r="E78" s="3">
        <v>1084</v>
      </c>
      <c r="F78" s="3" t="s">
        <v>82</v>
      </c>
      <c r="G78" s="377"/>
      <c r="H78" s="383"/>
      <c r="I78" s="442"/>
    </row>
    <row r="79" spans="1:9" x14ac:dyDescent="0.3">
      <c r="A79" s="387"/>
      <c r="B79" s="378"/>
      <c r="C79" s="378"/>
      <c r="D79" s="198" t="s">
        <v>295</v>
      </c>
      <c r="E79" s="10">
        <v>4303</v>
      </c>
      <c r="F79" s="10" t="s">
        <v>82</v>
      </c>
      <c r="G79" s="378"/>
      <c r="H79" s="384"/>
      <c r="I79" s="442"/>
    </row>
    <row r="80" spans="1:9" x14ac:dyDescent="0.3">
      <c r="A80" s="385">
        <v>19</v>
      </c>
      <c r="B80" s="376" t="s">
        <v>296</v>
      </c>
      <c r="C80" s="376" t="s">
        <v>57</v>
      </c>
      <c r="D80" s="13" t="s">
        <v>294</v>
      </c>
      <c r="E80" s="3">
        <v>4990</v>
      </c>
      <c r="F80" s="3" t="s">
        <v>13</v>
      </c>
      <c r="G80" s="439" t="s">
        <v>299</v>
      </c>
      <c r="H80" s="382">
        <v>1961218</v>
      </c>
    </row>
    <row r="81" spans="1:10" x14ac:dyDescent="0.3">
      <c r="A81" s="386"/>
      <c r="B81" s="377"/>
      <c r="C81" s="377"/>
      <c r="D81" s="13" t="s">
        <v>295</v>
      </c>
      <c r="E81" s="3">
        <v>5090</v>
      </c>
      <c r="F81" s="3" t="s">
        <v>13</v>
      </c>
      <c r="G81" s="440"/>
      <c r="H81" s="383"/>
    </row>
    <row r="82" spans="1:10" x14ac:dyDescent="0.3">
      <c r="A82" s="387"/>
      <c r="B82" s="378"/>
      <c r="C82" s="378"/>
      <c r="D82" s="13" t="s">
        <v>297</v>
      </c>
      <c r="E82" s="3">
        <v>24940</v>
      </c>
      <c r="F82" s="3" t="s">
        <v>13</v>
      </c>
      <c r="G82" s="441"/>
      <c r="H82" s="384"/>
    </row>
    <row r="83" spans="1:10" x14ac:dyDescent="0.3">
      <c r="A83" s="385">
        <v>20</v>
      </c>
      <c r="B83" s="376" t="s">
        <v>256</v>
      </c>
      <c r="C83" s="9" t="s">
        <v>51</v>
      </c>
      <c r="D83" s="13" t="s">
        <v>257</v>
      </c>
      <c r="E83" s="3">
        <v>951</v>
      </c>
      <c r="F83" s="3" t="s">
        <v>82</v>
      </c>
      <c r="G83" s="376" t="s">
        <v>268</v>
      </c>
      <c r="H83" s="382">
        <f>437124.55+2710+79170.24</f>
        <v>519004.79</v>
      </c>
    </row>
    <row r="84" spans="1:10" x14ac:dyDescent="0.3">
      <c r="A84" s="386"/>
      <c r="B84" s="377"/>
      <c r="C84" s="13" t="s">
        <v>266</v>
      </c>
      <c r="D84" s="13" t="s">
        <v>258</v>
      </c>
      <c r="E84" s="3">
        <v>267</v>
      </c>
      <c r="F84" s="3" t="s">
        <v>82</v>
      </c>
      <c r="G84" s="377"/>
      <c r="H84" s="383"/>
    </row>
    <row r="85" spans="1:10" x14ac:dyDescent="0.3">
      <c r="A85" s="386"/>
      <c r="B85" s="377"/>
      <c r="C85" s="13" t="s">
        <v>265</v>
      </c>
      <c r="D85" s="13" t="s">
        <v>259</v>
      </c>
      <c r="E85" s="3">
        <v>303</v>
      </c>
      <c r="F85" s="3" t="s">
        <v>82</v>
      </c>
      <c r="G85" s="377"/>
      <c r="H85" s="383"/>
      <c r="J85" s="293">
        <f>H76+H83+H91+H103+H104+H114+H120+H121+H128+H134</f>
        <v>4687711.99</v>
      </c>
    </row>
    <row r="86" spans="1:10" x14ac:dyDescent="0.3">
      <c r="A86" s="386"/>
      <c r="B86" s="377"/>
      <c r="C86" s="13" t="s">
        <v>301</v>
      </c>
      <c r="D86" s="13" t="s">
        <v>260</v>
      </c>
      <c r="E86" s="4">
        <v>1923.5</v>
      </c>
      <c r="F86" s="3" t="s">
        <v>82</v>
      </c>
      <c r="G86" s="377"/>
      <c r="H86" s="383"/>
    </row>
    <row r="87" spans="1:10" x14ac:dyDescent="0.3">
      <c r="A87" s="386"/>
      <c r="B87" s="377"/>
      <c r="C87" s="13"/>
      <c r="D87" s="13" t="s">
        <v>261</v>
      </c>
      <c r="E87" s="4">
        <v>489</v>
      </c>
      <c r="F87" s="3" t="s">
        <v>82</v>
      </c>
      <c r="G87" s="377"/>
      <c r="H87" s="383"/>
    </row>
    <row r="88" spans="1:10" x14ac:dyDescent="0.3">
      <c r="A88" s="386"/>
      <c r="B88" s="377"/>
      <c r="C88" s="13"/>
      <c r="D88" s="13" t="s">
        <v>262</v>
      </c>
      <c r="E88" s="4">
        <v>400</v>
      </c>
      <c r="F88" s="3" t="s">
        <v>82</v>
      </c>
      <c r="G88" s="377"/>
      <c r="H88" s="383"/>
    </row>
    <row r="89" spans="1:10" x14ac:dyDescent="0.3">
      <c r="A89" s="386"/>
      <c r="B89" s="377"/>
      <c r="C89" s="13"/>
      <c r="D89" s="13" t="s">
        <v>263</v>
      </c>
      <c r="E89" s="4">
        <v>489.69</v>
      </c>
      <c r="F89" s="3" t="s">
        <v>82</v>
      </c>
      <c r="G89" s="377"/>
      <c r="H89" s="383"/>
    </row>
    <row r="90" spans="1:10" x14ac:dyDescent="0.3">
      <c r="A90" s="387"/>
      <c r="B90" s="378"/>
      <c r="C90" s="13"/>
      <c r="D90" s="13" t="s">
        <v>264</v>
      </c>
      <c r="E90" s="4">
        <v>2347.6</v>
      </c>
      <c r="F90" s="3" t="s">
        <v>82</v>
      </c>
      <c r="G90" s="378"/>
      <c r="H90" s="384"/>
    </row>
    <row r="91" spans="1:10" x14ac:dyDescent="0.3">
      <c r="A91" s="385">
        <v>21</v>
      </c>
      <c r="B91" s="376" t="s">
        <v>324</v>
      </c>
      <c r="C91" s="376" t="s">
        <v>57</v>
      </c>
      <c r="D91" s="13" t="s">
        <v>315</v>
      </c>
      <c r="E91" s="13">
        <v>1437</v>
      </c>
      <c r="F91" s="3" t="s">
        <v>82</v>
      </c>
      <c r="G91" s="376" t="s">
        <v>268</v>
      </c>
      <c r="H91" s="382">
        <f>484866.85+3130+87839.43</f>
        <v>575836.28</v>
      </c>
    </row>
    <row r="92" spans="1:10" x14ac:dyDescent="0.3">
      <c r="A92" s="386"/>
      <c r="B92" s="377"/>
      <c r="C92" s="377"/>
      <c r="D92" s="13" t="s">
        <v>316</v>
      </c>
      <c r="E92" s="13">
        <v>370</v>
      </c>
      <c r="F92" s="3" t="s">
        <v>82</v>
      </c>
      <c r="G92" s="377"/>
      <c r="H92" s="383"/>
    </row>
    <row r="93" spans="1:10" x14ac:dyDescent="0.3">
      <c r="A93" s="386"/>
      <c r="B93" s="377"/>
      <c r="C93" s="377"/>
      <c r="D93" s="13" t="s">
        <v>317</v>
      </c>
      <c r="E93" s="13">
        <v>789</v>
      </c>
      <c r="F93" s="3" t="s">
        <v>82</v>
      </c>
      <c r="G93" s="377"/>
      <c r="H93" s="383"/>
    </row>
    <row r="94" spans="1:10" x14ac:dyDescent="0.3">
      <c r="A94" s="386"/>
      <c r="B94" s="377"/>
      <c r="C94" s="377"/>
      <c r="D94" s="13" t="s">
        <v>318</v>
      </c>
      <c r="E94" s="13">
        <v>302</v>
      </c>
      <c r="F94" s="3" t="s">
        <v>82</v>
      </c>
      <c r="G94" s="377"/>
      <c r="H94" s="383"/>
    </row>
    <row r="95" spans="1:10" x14ac:dyDescent="0.3">
      <c r="A95" s="386"/>
      <c r="B95" s="377"/>
      <c r="C95" s="377"/>
      <c r="D95" s="13" t="s">
        <v>254</v>
      </c>
      <c r="E95" s="13">
        <v>1480</v>
      </c>
      <c r="F95" s="3" t="s">
        <v>82</v>
      </c>
      <c r="G95" s="377"/>
      <c r="H95" s="383"/>
    </row>
    <row r="96" spans="1:10" x14ac:dyDescent="0.3">
      <c r="A96" s="386"/>
      <c r="B96" s="377"/>
      <c r="C96" s="377"/>
      <c r="D96" s="13" t="s">
        <v>294</v>
      </c>
      <c r="E96" s="13">
        <v>307</v>
      </c>
      <c r="F96" s="3" t="s">
        <v>82</v>
      </c>
      <c r="G96" s="377"/>
      <c r="H96" s="383"/>
    </row>
    <row r="97" spans="1:8" x14ac:dyDescent="0.3">
      <c r="A97" s="386"/>
      <c r="B97" s="377"/>
      <c r="C97" s="377"/>
      <c r="D97" s="13" t="s">
        <v>83</v>
      </c>
      <c r="E97" s="13">
        <v>50</v>
      </c>
      <c r="F97" s="3" t="s">
        <v>82</v>
      </c>
      <c r="G97" s="377"/>
      <c r="H97" s="383"/>
    </row>
    <row r="98" spans="1:8" x14ac:dyDescent="0.3">
      <c r="A98" s="386"/>
      <c r="B98" s="377"/>
      <c r="C98" s="377"/>
      <c r="D98" s="13" t="s">
        <v>319</v>
      </c>
      <c r="E98" s="13">
        <v>1762</v>
      </c>
      <c r="F98" s="3" t="s">
        <v>82</v>
      </c>
      <c r="G98" s="377"/>
      <c r="H98" s="383"/>
    </row>
    <row r="99" spans="1:8" x14ac:dyDescent="0.3">
      <c r="A99" s="386"/>
      <c r="B99" s="377"/>
      <c r="C99" s="377"/>
      <c r="D99" s="13" t="s">
        <v>320</v>
      </c>
      <c r="E99" s="13">
        <v>30</v>
      </c>
      <c r="F99" s="3" t="s">
        <v>82</v>
      </c>
      <c r="G99" s="377"/>
      <c r="H99" s="383"/>
    </row>
    <row r="100" spans="1:8" x14ac:dyDescent="0.3">
      <c r="A100" s="386"/>
      <c r="B100" s="377"/>
      <c r="C100" s="377"/>
      <c r="D100" s="13" t="s">
        <v>321</v>
      </c>
      <c r="E100" s="13">
        <v>1870</v>
      </c>
      <c r="F100" s="3" t="s">
        <v>82</v>
      </c>
      <c r="G100" s="377"/>
      <c r="H100" s="383"/>
    </row>
    <row r="101" spans="1:8" x14ac:dyDescent="0.3">
      <c r="A101" s="386"/>
      <c r="B101" s="377"/>
      <c r="C101" s="377"/>
      <c r="D101" s="13" t="s">
        <v>322</v>
      </c>
      <c r="E101" s="13">
        <v>453</v>
      </c>
      <c r="F101" s="3" t="s">
        <v>82</v>
      </c>
      <c r="G101" s="377"/>
      <c r="H101" s="383"/>
    </row>
    <row r="102" spans="1:8" x14ac:dyDescent="0.3">
      <c r="A102" s="387"/>
      <c r="B102" s="378"/>
      <c r="C102" s="378"/>
      <c r="D102" s="13" t="s">
        <v>323</v>
      </c>
      <c r="E102" s="13">
        <v>87</v>
      </c>
      <c r="F102" s="3" t="s">
        <v>82</v>
      </c>
      <c r="G102" s="378"/>
      <c r="H102" s="384"/>
    </row>
    <row r="103" spans="1:8" x14ac:dyDescent="0.3">
      <c r="A103" s="234">
        <v>22</v>
      </c>
      <c r="B103" s="31" t="s">
        <v>331</v>
      </c>
      <c r="C103" s="31" t="s">
        <v>57</v>
      </c>
      <c r="D103" s="13" t="s">
        <v>341</v>
      </c>
      <c r="E103" s="13">
        <v>455</v>
      </c>
      <c r="F103" s="3" t="s">
        <v>82</v>
      </c>
      <c r="G103" s="31" t="s">
        <v>268</v>
      </c>
      <c r="H103" s="262">
        <v>36031</v>
      </c>
    </row>
    <row r="104" spans="1:8" x14ac:dyDescent="0.3">
      <c r="A104" s="385">
        <v>23</v>
      </c>
      <c r="B104" s="373">
        <v>45758</v>
      </c>
      <c r="C104" s="376" t="s">
        <v>57</v>
      </c>
      <c r="D104" s="13" t="s">
        <v>332</v>
      </c>
      <c r="E104" s="13">
        <v>1999</v>
      </c>
      <c r="F104" s="3" t="s">
        <v>82</v>
      </c>
      <c r="G104" s="376" t="s">
        <v>335</v>
      </c>
      <c r="H104" s="446">
        <f>470741.23+2920+85259.04</f>
        <v>558920.27</v>
      </c>
    </row>
    <row r="105" spans="1:8" x14ac:dyDescent="0.3">
      <c r="A105" s="386"/>
      <c r="B105" s="374"/>
      <c r="C105" s="377"/>
      <c r="D105" s="13" t="s">
        <v>336</v>
      </c>
      <c r="E105" s="13">
        <v>614</v>
      </c>
      <c r="F105" s="3" t="s">
        <v>82</v>
      </c>
      <c r="G105" s="377"/>
      <c r="H105" s="447"/>
    </row>
    <row r="106" spans="1:8" x14ac:dyDescent="0.3">
      <c r="A106" s="386"/>
      <c r="B106" s="374"/>
      <c r="C106" s="377"/>
      <c r="D106" s="13" t="s">
        <v>337</v>
      </c>
      <c r="E106" s="13">
        <v>368</v>
      </c>
      <c r="F106" s="3" t="s">
        <v>82</v>
      </c>
      <c r="G106" s="377"/>
      <c r="H106" s="447"/>
    </row>
    <row r="107" spans="1:8" x14ac:dyDescent="0.3">
      <c r="A107" s="386"/>
      <c r="B107" s="374"/>
      <c r="C107" s="377"/>
      <c r="D107" s="13" t="s">
        <v>338</v>
      </c>
      <c r="E107" s="13">
        <v>214</v>
      </c>
      <c r="F107" s="3" t="s">
        <v>82</v>
      </c>
      <c r="G107" s="377"/>
      <c r="H107" s="447"/>
    </row>
    <row r="108" spans="1:8" x14ac:dyDescent="0.3">
      <c r="A108" s="386"/>
      <c r="B108" s="374"/>
      <c r="C108" s="377"/>
      <c r="D108" s="13" t="s">
        <v>339</v>
      </c>
      <c r="E108" s="13">
        <v>815</v>
      </c>
      <c r="F108" s="3" t="s">
        <v>82</v>
      </c>
      <c r="G108" s="377"/>
      <c r="H108" s="447"/>
    </row>
    <row r="109" spans="1:8" x14ac:dyDescent="0.3">
      <c r="A109" s="386"/>
      <c r="B109" s="374"/>
      <c r="C109" s="377"/>
      <c r="D109" s="13" t="s">
        <v>67</v>
      </c>
      <c r="E109" s="13">
        <v>22</v>
      </c>
      <c r="F109" s="3" t="s">
        <v>82</v>
      </c>
      <c r="G109" s="377"/>
      <c r="H109" s="447"/>
    </row>
    <row r="110" spans="1:8" x14ac:dyDescent="0.3">
      <c r="A110" s="386"/>
      <c r="B110" s="374"/>
      <c r="C110" s="377"/>
      <c r="D110" s="13" t="s">
        <v>334</v>
      </c>
      <c r="E110" s="13">
        <v>775</v>
      </c>
      <c r="F110" s="3" t="s">
        <v>82</v>
      </c>
      <c r="G110" s="377"/>
      <c r="H110" s="447"/>
    </row>
    <row r="111" spans="1:8" x14ac:dyDescent="0.3">
      <c r="A111" s="386"/>
      <c r="B111" s="374"/>
      <c r="C111" s="377"/>
      <c r="D111" s="13" t="s">
        <v>333</v>
      </c>
      <c r="E111" s="13">
        <v>2920</v>
      </c>
      <c r="F111" s="3" t="s">
        <v>82</v>
      </c>
      <c r="G111" s="377"/>
      <c r="H111" s="447"/>
    </row>
    <row r="112" spans="1:8" x14ac:dyDescent="0.3">
      <c r="A112" s="387"/>
      <c r="B112" s="375"/>
      <c r="C112" s="378"/>
      <c r="D112" s="13" t="s">
        <v>333</v>
      </c>
      <c r="E112" s="13">
        <v>608</v>
      </c>
      <c r="F112" s="3" t="s">
        <v>82</v>
      </c>
      <c r="G112" s="378"/>
      <c r="H112" s="448"/>
    </row>
    <row r="113" spans="1:14" x14ac:dyDescent="0.3">
      <c r="A113" s="234"/>
      <c r="B113" s="233">
        <v>45765</v>
      </c>
      <c r="C113" s="17" t="s">
        <v>57</v>
      </c>
      <c r="D113" s="13" t="s">
        <v>333</v>
      </c>
      <c r="E113" s="13">
        <v>1051.5</v>
      </c>
      <c r="F113" s="3" t="s">
        <v>82</v>
      </c>
      <c r="G113" s="31" t="s">
        <v>350</v>
      </c>
      <c r="H113" s="263">
        <v>67825</v>
      </c>
    </row>
    <row r="114" spans="1:14" x14ac:dyDescent="0.3">
      <c r="A114" s="385">
        <v>24</v>
      </c>
      <c r="B114" s="373">
        <v>45768</v>
      </c>
      <c r="C114" s="3" t="s">
        <v>57</v>
      </c>
      <c r="D114" s="13" t="s">
        <v>342</v>
      </c>
      <c r="E114" s="13">
        <v>174.05</v>
      </c>
      <c r="F114" s="3" t="s">
        <v>82</v>
      </c>
      <c r="G114" s="376" t="s">
        <v>268</v>
      </c>
      <c r="H114" s="382">
        <f>835059.01+150310.64</f>
        <v>985369.65</v>
      </c>
    </row>
    <row r="115" spans="1:14" x14ac:dyDescent="0.3">
      <c r="A115" s="386"/>
      <c r="B115" s="374"/>
      <c r="C115" s="13" t="s">
        <v>347</v>
      </c>
      <c r="D115" s="13" t="s">
        <v>343</v>
      </c>
      <c r="E115" s="13">
        <v>377</v>
      </c>
      <c r="F115" s="3" t="s">
        <v>82</v>
      </c>
      <c r="G115" s="377"/>
      <c r="H115" s="383"/>
    </row>
    <row r="116" spans="1:14" x14ac:dyDescent="0.3">
      <c r="A116" s="386"/>
      <c r="B116" s="374"/>
      <c r="C116" s="13" t="s">
        <v>348</v>
      </c>
      <c r="D116" s="13" t="s">
        <v>344</v>
      </c>
      <c r="E116" s="13">
        <v>2647.59</v>
      </c>
      <c r="F116" s="3" t="s">
        <v>130</v>
      </c>
      <c r="G116" s="377"/>
      <c r="H116" s="383"/>
      <c r="I116" s="242" t="s">
        <v>351</v>
      </c>
    </row>
    <row r="117" spans="1:14" x14ac:dyDescent="0.3">
      <c r="A117" s="386"/>
      <c r="B117" s="374"/>
      <c r="C117" s="13" t="s">
        <v>349</v>
      </c>
      <c r="D117" s="13" t="s">
        <v>345</v>
      </c>
      <c r="E117" s="13">
        <v>340</v>
      </c>
      <c r="F117" s="3" t="s">
        <v>82</v>
      </c>
      <c r="G117" s="377"/>
      <c r="H117" s="383"/>
    </row>
    <row r="118" spans="1:14" x14ac:dyDescent="0.3">
      <c r="A118" s="387"/>
      <c r="B118" s="375"/>
      <c r="C118" s="13"/>
      <c r="D118" s="13" t="s">
        <v>346</v>
      </c>
      <c r="E118" s="13">
        <v>1013.57</v>
      </c>
      <c r="F118" s="3" t="s">
        <v>82</v>
      </c>
      <c r="G118" s="378"/>
      <c r="H118" s="384"/>
    </row>
    <row r="119" spans="1:14" s="23" customFormat="1" x14ac:dyDescent="0.3">
      <c r="A119" s="1">
        <v>25</v>
      </c>
      <c r="B119" s="2">
        <v>45768</v>
      </c>
      <c r="C119" s="236" t="s">
        <v>57</v>
      </c>
      <c r="D119" s="236" t="s">
        <v>174</v>
      </c>
      <c r="E119" s="3">
        <v>49</v>
      </c>
      <c r="F119" s="3" t="s">
        <v>35</v>
      </c>
      <c r="G119" s="3" t="s">
        <v>350</v>
      </c>
      <c r="H119" s="240">
        <v>20863</v>
      </c>
      <c r="J119" t="s">
        <v>340</v>
      </c>
      <c r="K119"/>
      <c r="L119"/>
      <c r="M119"/>
      <c r="N119"/>
    </row>
    <row r="120" spans="1:14" x14ac:dyDescent="0.3">
      <c r="A120" s="1">
        <v>26</v>
      </c>
      <c r="B120" s="37">
        <v>45792</v>
      </c>
      <c r="C120" s="236" t="s">
        <v>57</v>
      </c>
      <c r="D120" s="236" t="s">
        <v>174</v>
      </c>
      <c r="E120" s="3">
        <v>500</v>
      </c>
      <c r="F120" s="3" t="s">
        <v>35</v>
      </c>
      <c r="G120" s="3" t="s">
        <v>268</v>
      </c>
      <c r="H120" s="212">
        <v>217500</v>
      </c>
    </row>
    <row r="121" spans="1:14" x14ac:dyDescent="0.3">
      <c r="A121" s="385">
        <v>27</v>
      </c>
      <c r="B121" s="373">
        <v>45772</v>
      </c>
      <c r="C121" s="376" t="s">
        <v>368</v>
      </c>
      <c r="D121" s="3" t="s">
        <v>369</v>
      </c>
      <c r="E121" s="33">
        <v>3096</v>
      </c>
      <c r="F121" s="13" t="s">
        <v>13</v>
      </c>
      <c r="G121" s="376" t="s">
        <v>268</v>
      </c>
      <c r="H121" s="382">
        <v>522012</v>
      </c>
    </row>
    <row r="122" spans="1:14" x14ac:dyDescent="0.3">
      <c r="A122" s="386"/>
      <c r="B122" s="374"/>
      <c r="C122" s="377"/>
      <c r="D122" s="3" t="s">
        <v>370</v>
      </c>
      <c r="E122" s="33">
        <v>250</v>
      </c>
      <c r="F122" s="13" t="s">
        <v>13</v>
      </c>
      <c r="G122" s="377"/>
      <c r="H122" s="383"/>
    </row>
    <row r="123" spans="1:14" x14ac:dyDescent="0.3">
      <c r="A123" s="386"/>
      <c r="B123" s="374"/>
      <c r="C123" s="377"/>
      <c r="D123" s="3" t="s">
        <v>371</v>
      </c>
      <c r="E123" s="33">
        <v>152</v>
      </c>
      <c r="F123" s="13" t="s">
        <v>13</v>
      </c>
      <c r="G123" s="377"/>
      <c r="H123" s="383"/>
    </row>
    <row r="124" spans="1:14" x14ac:dyDescent="0.3">
      <c r="A124" s="386"/>
      <c r="B124" s="374"/>
      <c r="C124" s="377"/>
      <c r="D124" s="3" t="s">
        <v>372</v>
      </c>
      <c r="E124" s="33">
        <v>100.2</v>
      </c>
      <c r="F124" s="13" t="s">
        <v>13</v>
      </c>
      <c r="G124" s="377"/>
      <c r="H124" s="383"/>
    </row>
    <row r="125" spans="1:14" x14ac:dyDescent="0.3">
      <c r="A125" s="386"/>
      <c r="B125" s="374"/>
      <c r="C125" s="377"/>
      <c r="D125" s="3" t="s">
        <v>373</v>
      </c>
      <c r="E125" s="33">
        <v>5000</v>
      </c>
      <c r="F125" s="13" t="s">
        <v>32</v>
      </c>
      <c r="G125" s="377"/>
      <c r="H125" s="383"/>
    </row>
    <row r="126" spans="1:14" x14ac:dyDescent="0.3">
      <c r="A126" s="386"/>
      <c r="B126" s="374"/>
      <c r="C126" s="377"/>
      <c r="D126" s="3" t="s">
        <v>374</v>
      </c>
      <c r="E126" s="33">
        <v>792</v>
      </c>
      <c r="F126" s="13" t="s">
        <v>375</v>
      </c>
      <c r="G126" s="377"/>
      <c r="H126" s="383"/>
    </row>
    <row r="127" spans="1:14" x14ac:dyDescent="0.3">
      <c r="A127" s="386"/>
      <c r="B127" s="374"/>
      <c r="C127" s="377"/>
      <c r="D127" s="3" t="s">
        <v>376</v>
      </c>
      <c r="E127" s="33">
        <v>288.39999999999998</v>
      </c>
      <c r="F127" s="13" t="s">
        <v>13</v>
      </c>
      <c r="G127" s="377"/>
      <c r="H127" s="384"/>
    </row>
    <row r="128" spans="1:14" x14ac:dyDescent="0.3">
      <c r="A128" s="385">
        <v>28</v>
      </c>
      <c r="B128" s="373">
        <v>45790</v>
      </c>
      <c r="C128" s="376" t="s">
        <v>354</v>
      </c>
      <c r="D128" s="3" t="s">
        <v>355</v>
      </c>
      <c r="E128" s="3">
        <v>751</v>
      </c>
      <c r="F128" s="13"/>
      <c r="G128" s="376" t="s">
        <v>268</v>
      </c>
      <c r="H128" s="382">
        <v>392393</v>
      </c>
    </row>
    <row r="129" spans="1:8" x14ac:dyDescent="0.3">
      <c r="A129" s="386"/>
      <c r="B129" s="374"/>
      <c r="C129" s="377"/>
      <c r="D129" s="3" t="s">
        <v>356</v>
      </c>
      <c r="E129" s="3">
        <v>1041</v>
      </c>
      <c r="F129" s="13"/>
      <c r="G129" s="377"/>
      <c r="H129" s="383"/>
    </row>
    <row r="130" spans="1:8" x14ac:dyDescent="0.3">
      <c r="A130" s="386"/>
      <c r="B130" s="374"/>
      <c r="C130" s="377"/>
      <c r="D130" s="3" t="s">
        <v>357</v>
      </c>
      <c r="E130" s="3">
        <v>1999</v>
      </c>
      <c r="F130" s="13"/>
      <c r="G130" s="377"/>
      <c r="H130" s="383"/>
    </row>
    <row r="131" spans="1:8" x14ac:dyDescent="0.3">
      <c r="A131" s="386"/>
      <c r="B131" s="374"/>
      <c r="C131" s="377"/>
      <c r="D131" s="3" t="s">
        <v>358</v>
      </c>
      <c r="E131" s="3">
        <v>507</v>
      </c>
      <c r="F131" s="13"/>
      <c r="G131" s="377"/>
      <c r="H131" s="383"/>
    </row>
    <row r="132" spans="1:8" x14ac:dyDescent="0.3">
      <c r="A132" s="386"/>
      <c r="B132" s="374"/>
      <c r="C132" s="377"/>
      <c r="D132" s="3" t="s">
        <v>359</v>
      </c>
      <c r="E132" s="3">
        <v>934</v>
      </c>
      <c r="F132" s="13"/>
      <c r="G132" s="377"/>
      <c r="H132" s="383"/>
    </row>
    <row r="133" spans="1:8" x14ac:dyDescent="0.3">
      <c r="A133" s="387"/>
      <c r="B133" s="375"/>
      <c r="C133" s="378"/>
      <c r="D133" s="3" t="s">
        <v>360</v>
      </c>
      <c r="E133" s="3">
        <v>978</v>
      </c>
      <c r="F133" s="13"/>
      <c r="G133" s="378"/>
      <c r="H133" s="384"/>
    </row>
    <row r="134" spans="1:8" x14ac:dyDescent="0.3">
      <c r="A134" s="385">
        <v>29</v>
      </c>
      <c r="B134" s="373">
        <v>45794</v>
      </c>
      <c r="C134" s="376" t="s">
        <v>361</v>
      </c>
      <c r="D134" s="3" t="s">
        <v>362</v>
      </c>
      <c r="E134" s="3">
        <v>1987</v>
      </c>
      <c r="F134" s="13"/>
      <c r="G134" s="376" t="s">
        <v>268</v>
      </c>
      <c r="H134" s="382">
        <v>340150</v>
      </c>
    </row>
    <row r="135" spans="1:8" x14ac:dyDescent="0.3">
      <c r="A135" s="386"/>
      <c r="B135" s="374"/>
      <c r="C135" s="377"/>
      <c r="D135" s="3" t="s">
        <v>363</v>
      </c>
      <c r="E135" s="3">
        <v>3030</v>
      </c>
      <c r="F135" s="13"/>
      <c r="G135" s="377"/>
      <c r="H135" s="383"/>
    </row>
    <row r="136" spans="1:8" x14ac:dyDescent="0.3">
      <c r="A136" s="386"/>
      <c r="B136" s="374"/>
      <c r="C136" s="377"/>
      <c r="D136" s="3" t="s">
        <v>364</v>
      </c>
      <c r="E136" s="3">
        <v>220</v>
      </c>
      <c r="F136" s="13"/>
      <c r="G136" s="377"/>
      <c r="H136" s="383"/>
    </row>
    <row r="137" spans="1:8" x14ac:dyDescent="0.3">
      <c r="A137" s="386"/>
      <c r="B137" s="374"/>
      <c r="C137" s="377"/>
      <c r="D137" s="10" t="s">
        <v>365</v>
      </c>
      <c r="E137" s="10">
        <v>297</v>
      </c>
      <c r="F137" s="198"/>
      <c r="G137" s="377"/>
      <c r="H137" s="383"/>
    </row>
    <row r="138" spans="1:8" x14ac:dyDescent="0.3">
      <c r="A138" s="376">
        <v>30</v>
      </c>
      <c r="B138" s="373">
        <v>45807</v>
      </c>
      <c r="C138" s="376" t="s">
        <v>386</v>
      </c>
      <c r="D138" s="3" t="s">
        <v>387</v>
      </c>
      <c r="E138" s="3">
        <v>443</v>
      </c>
      <c r="F138" s="13"/>
      <c r="G138" s="376" t="s">
        <v>268</v>
      </c>
      <c r="H138" s="443">
        <v>57612</v>
      </c>
    </row>
    <row r="139" spans="1:8" x14ac:dyDescent="0.3">
      <c r="A139" s="377"/>
      <c r="B139" s="374"/>
      <c r="C139" s="377"/>
      <c r="D139" s="3" t="s">
        <v>388</v>
      </c>
      <c r="E139" s="3">
        <v>392</v>
      </c>
      <c r="F139" s="13"/>
      <c r="G139" s="377"/>
      <c r="H139" s="444"/>
    </row>
    <row r="140" spans="1:8" x14ac:dyDescent="0.3">
      <c r="A140" s="378"/>
      <c r="B140" s="375"/>
      <c r="C140" s="378"/>
      <c r="D140" s="3" t="s">
        <v>389</v>
      </c>
      <c r="E140" s="3">
        <v>26</v>
      </c>
      <c r="F140" s="13"/>
      <c r="G140" s="378"/>
      <c r="H140" s="445"/>
    </row>
    <row r="141" spans="1:8" x14ac:dyDescent="0.3">
      <c r="A141" s="17">
        <v>31</v>
      </c>
      <c r="B141" s="26">
        <v>45807</v>
      </c>
      <c r="C141" s="17" t="s">
        <v>390</v>
      </c>
      <c r="D141" s="3" t="s">
        <v>391</v>
      </c>
      <c r="E141" s="3">
        <v>3925.3</v>
      </c>
      <c r="F141" s="13"/>
      <c r="G141" s="3" t="s">
        <v>268</v>
      </c>
      <c r="H141" s="206">
        <v>343220</v>
      </c>
    </row>
    <row r="142" spans="1:8" x14ac:dyDescent="0.3">
      <c r="A142" s="17">
        <v>32</v>
      </c>
      <c r="B142" s="26">
        <v>45807</v>
      </c>
      <c r="C142" s="17" t="s">
        <v>392</v>
      </c>
      <c r="D142" s="3" t="s">
        <v>393</v>
      </c>
      <c r="E142" s="3">
        <v>4.9000000000000004</v>
      </c>
      <c r="F142" s="13"/>
      <c r="G142" s="3" t="s">
        <v>268</v>
      </c>
      <c r="H142" s="206">
        <v>432</v>
      </c>
    </row>
    <row r="143" spans="1:8" x14ac:dyDescent="0.3">
      <c r="A143" s="3">
        <v>33</v>
      </c>
      <c r="B143" s="2">
        <v>45834</v>
      </c>
      <c r="C143" s="17" t="s">
        <v>514</v>
      </c>
      <c r="D143" s="3" t="s">
        <v>465</v>
      </c>
      <c r="E143" s="3">
        <v>600</v>
      </c>
      <c r="F143" s="13"/>
      <c r="G143" s="3" t="s">
        <v>268</v>
      </c>
      <c r="H143" s="237">
        <v>258000</v>
      </c>
    </row>
    <row r="144" spans="1:8" x14ac:dyDescent="0.3">
      <c r="A144" s="376">
        <v>34</v>
      </c>
      <c r="B144" s="373">
        <v>45834</v>
      </c>
      <c r="C144" s="376" t="s">
        <v>523</v>
      </c>
      <c r="D144" s="3" t="s">
        <v>517</v>
      </c>
      <c r="E144" s="3">
        <v>705</v>
      </c>
      <c r="F144" s="13"/>
      <c r="G144" s="3"/>
      <c r="H144" s="379">
        <v>285212</v>
      </c>
    </row>
    <row r="145" spans="1:8" x14ac:dyDescent="0.3">
      <c r="A145" s="377"/>
      <c r="B145" s="374"/>
      <c r="C145" s="377"/>
      <c r="D145" s="3" t="s">
        <v>518</v>
      </c>
      <c r="E145" s="3">
        <v>3003</v>
      </c>
      <c r="F145" s="13"/>
      <c r="G145" s="3"/>
      <c r="H145" s="380"/>
    </row>
    <row r="146" spans="1:8" x14ac:dyDescent="0.3">
      <c r="A146" s="377"/>
      <c r="B146" s="374"/>
      <c r="C146" s="377"/>
      <c r="D146" s="3" t="s">
        <v>519</v>
      </c>
      <c r="E146" s="3">
        <v>1002</v>
      </c>
      <c r="F146" s="13"/>
      <c r="G146" s="3"/>
      <c r="H146" s="380"/>
    </row>
    <row r="147" spans="1:8" x14ac:dyDescent="0.3">
      <c r="A147" s="377"/>
      <c r="B147" s="374"/>
      <c r="C147" s="377"/>
      <c r="D147" s="3" t="s">
        <v>520</v>
      </c>
      <c r="E147" s="3">
        <v>43.4</v>
      </c>
      <c r="F147" s="13"/>
      <c r="G147" s="3"/>
      <c r="H147" s="380"/>
    </row>
    <row r="148" spans="1:8" x14ac:dyDescent="0.3">
      <c r="A148" s="377"/>
      <c r="B148" s="374"/>
      <c r="C148" s="377"/>
      <c r="D148" s="3" t="s">
        <v>522</v>
      </c>
      <c r="E148" s="3">
        <v>1500</v>
      </c>
      <c r="F148" s="13"/>
      <c r="G148" s="3"/>
      <c r="H148" s="380"/>
    </row>
    <row r="149" spans="1:8" x14ac:dyDescent="0.3">
      <c r="A149" s="378"/>
      <c r="B149" s="375"/>
      <c r="C149" s="378"/>
      <c r="D149" s="3" t="s">
        <v>521</v>
      </c>
      <c r="E149" s="3">
        <v>400</v>
      </c>
      <c r="F149" s="13"/>
      <c r="G149" s="3"/>
      <c r="H149" s="381"/>
    </row>
    <row r="150" spans="1:8" x14ac:dyDescent="0.3">
      <c r="A150" s="376">
        <v>35</v>
      </c>
      <c r="B150" s="373">
        <v>45834</v>
      </c>
      <c r="C150" s="376" t="s">
        <v>528</v>
      </c>
      <c r="D150" s="17" t="s">
        <v>524</v>
      </c>
      <c r="E150" s="3">
        <v>436.16899999999998</v>
      </c>
      <c r="F150" s="13"/>
      <c r="G150" s="3"/>
      <c r="H150" s="379">
        <v>364281</v>
      </c>
    </row>
    <row r="151" spans="1:8" x14ac:dyDescent="0.3">
      <c r="A151" s="377"/>
      <c r="B151" s="374"/>
      <c r="C151" s="377"/>
      <c r="D151" s="17" t="s">
        <v>525</v>
      </c>
      <c r="E151" s="3">
        <v>566.37400000000002</v>
      </c>
      <c r="F151" s="13"/>
      <c r="G151" s="3"/>
      <c r="H151" s="380"/>
    </row>
    <row r="152" spans="1:8" x14ac:dyDescent="0.3">
      <c r="A152" s="377"/>
      <c r="B152" s="374"/>
      <c r="C152" s="377"/>
      <c r="D152" s="17" t="s">
        <v>526</v>
      </c>
      <c r="E152" s="3">
        <v>190.5</v>
      </c>
      <c r="F152" s="13"/>
      <c r="G152" s="3"/>
      <c r="H152" s="380"/>
    </row>
    <row r="153" spans="1:8" x14ac:dyDescent="0.3">
      <c r="A153" s="378"/>
      <c r="B153" s="375"/>
      <c r="C153" s="378"/>
      <c r="D153" s="17" t="s">
        <v>527</v>
      </c>
      <c r="E153" s="3">
        <v>457.8</v>
      </c>
      <c r="F153" s="13"/>
      <c r="G153" s="3"/>
      <c r="H153" s="381"/>
    </row>
    <row r="154" spans="1:8" x14ac:dyDescent="0.3">
      <c r="A154" s="3">
        <v>36</v>
      </c>
      <c r="B154" s="2">
        <v>45895</v>
      </c>
      <c r="C154" s="17" t="s">
        <v>466</v>
      </c>
      <c r="D154" s="3" t="s">
        <v>465</v>
      </c>
      <c r="E154" s="3">
        <v>400</v>
      </c>
      <c r="F154" s="13"/>
      <c r="G154" s="3" t="s">
        <v>268</v>
      </c>
      <c r="H154" s="237">
        <v>176000</v>
      </c>
    </row>
    <row r="155" spans="1:8" x14ac:dyDescent="0.3">
      <c r="A155" s="376">
        <v>37</v>
      </c>
      <c r="B155" s="373">
        <v>45920</v>
      </c>
      <c r="C155" s="376" t="s">
        <v>467</v>
      </c>
      <c r="D155" s="3" t="s">
        <v>469</v>
      </c>
      <c r="E155" s="3">
        <v>1680</v>
      </c>
      <c r="F155" s="13"/>
      <c r="G155" s="376" t="s">
        <v>268</v>
      </c>
      <c r="H155" s="379">
        <v>378265</v>
      </c>
    </row>
    <row r="156" spans="1:8" x14ac:dyDescent="0.3">
      <c r="A156" s="377"/>
      <c r="B156" s="374"/>
      <c r="C156" s="377"/>
      <c r="D156" s="3" t="s">
        <v>468</v>
      </c>
      <c r="E156" s="3">
        <v>481</v>
      </c>
      <c r="F156" s="13"/>
      <c r="G156" s="377"/>
      <c r="H156" s="380"/>
    </row>
    <row r="157" spans="1:8" x14ac:dyDescent="0.3">
      <c r="A157" s="377"/>
      <c r="B157" s="374"/>
      <c r="C157" s="377"/>
      <c r="D157" s="3" t="s">
        <v>470</v>
      </c>
      <c r="E157" s="3">
        <v>1575</v>
      </c>
      <c r="F157" s="13"/>
      <c r="G157" s="377"/>
      <c r="H157" s="380"/>
    </row>
    <row r="158" spans="1:8" x14ac:dyDescent="0.3">
      <c r="A158" s="377"/>
      <c r="B158" s="374"/>
      <c r="C158" s="377"/>
      <c r="D158" s="3" t="s">
        <v>471</v>
      </c>
      <c r="E158" s="3">
        <v>1019</v>
      </c>
      <c r="F158" s="13"/>
      <c r="G158" s="377"/>
      <c r="H158" s="380"/>
    </row>
    <row r="159" spans="1:8" x14ac:dyDescent="0.3">
      <c r="A159" s="378"/>
      <c r="B159" s="375"/>
      <c r="C159" s="378"/>
      <c r="D159" s="3" t="s">
        <v>472</v>
      </c>
      <c r="E159" s="3">
        <v>2045</v>
      </c>
      <c r="F159" s="13"/>
      <c r="G159" s="378"/>
      <c r="H159" s="381"/>
    </row>
    <row r="160" spans="1:8" x14ac:dyDescent="0.3">
      <c r="A160" s="376">
        <v>38</v>
      </c>
      <c r="B160" s="373">
        <v>45946</v>
      </c>
      <c r="C160" s="376" t="s">
        <v>490</v>
      </c>
      <c r="D160" s="3" t="s">
        <v>472</v>
      </c>
      <c r="E160" s="3">
        <v>2016</v>
      </c>
      <c r="F160" s="13"/>
      <c r="G160" s="376" t="s">
        <v>268</v>
      </c>
      <c r="H160" s="379">
        <v>547937</v>
      </c>
    </row>
    <row r="161" spans="1:12" x14ac:dyDescent="0.3">
      <c r="A161" s="377"/>
      <c r="B161" s="374"/>
      <c r="C161" s="377"/>
      <c r="D161" s="3" t="s">
        <v>485</v>
      </c>
      <c r="E161" s="3">
        <v>3725</v>
      </c>
      <c r="F161" s="13"/>
      <c r="G161" s="377"/>
      <c r="H161" s="380"/>
    </row>
    <row r="162" spans="1:12" x14ac:dyDescent="0.3">
      <c r="A162" s="377"/>
      <c r="B162" s="374"/>
      <c r="C162" s="377"/>
      <c r="D162" s="3" t="s">
        <v>486</v>
      </c>
      <c r="E162" s="3">
        <v>1752</v>
      </c>
      <c r="F162" s="13"/>
      <c r="G162" s="377"/>
      <c r="H162" s="380"/>
    </row>
    <row r="163" spans="1:12" x14ac:dyDescent="0.3">
      <c r="A163" s="377"/>
      <c r="B163" s="374"/>
      <c r="C163" s="377"/>
      <c r="D163" s="3" t="s">
        <v>487</v>
      </c>
      <c r="E163" s="3">
        <v>1952</v>
      </c>
      <c r="F163" s="13"/>
      <c r="G163" s="377"/>
      <c r="H163" s="380"/>
    </row>
    <row r="164" spans="1:12" x14ac:dyDescent="0.3">
      <c r="A164" s="378"/>
      <c r="B164" s="375"/>
      <c r="C164" s="378"/>
      <c r="D164" s="3" t="s">
        <v>83</v>
      </c>
      <c r="E164" s="3">
        <v>50</v>
      </c>
      <c r="F164" s="13"/>
      <c r="G164" s="378"/>
      <c r="H164" s="381"/>
      <c r="J164" s="451" t="s">
        <v>556</v>
      </c>
      <c r="K164" s="451"/>
    </row>
    <row r="165" spans="1:12" x14ac:dyDescent="0.3">
      <c r="A165" s="3">
        <v>39</v>
      </c>
      <c r="B165" s="2">
        <v>45947</v>
      </c>
      <c r="C165" s="17" t="s">
        <v>488</v>
      </c>
      <c r="D165" s="3" t="s">
        <v>465</v>
      </c>
      <c r="E165" s="3">
        <v>400</v>
      </c>
      <c r="F165" s="13"/>
      <c r="G165" s="3" t="s">
        <v>268</v>
      </c>
      <c r="H165" s="237">
        <v>182000</v>
      </c>
      <c r="J165" s="316">
        <v>45973</v>
      </c>
      <c r="K165" s="231">
        <v>400000</v>
      </c>
    </row>
    <row r="166" spans="1:12" x14ac:dyDescent="0.3">
      <c r="A166" s="3">
        <v>40</v>
      </c>
      <c r="B166" s="2">
        <v>45962</v>
      </c>
      <c r="C166" s="17" t="s">
        <v>488</v>
      </c>
      <c r="D166" s="3" t="s">
        <v>465</v>
      </c>
      <c r="E166" s="3">
        <v>400</v>
      </c>
      <c r="F166" s="13"/>
      <c r="G166" s="3" t="s">
        <v>268</v>
      </c>
      <c r="H166" s="237">
        <v>182000</v>
      </c>
      <c r="J166" s="316">
        <v>45982</v>
      </c>
      <c r="K166" s="231">
        <v>200000</v>
      </c>
    </row>
    <row r="167" spans="1:12" x14ac:dyDescent="0.3">
      <c r="A167" s="3">
        <v>41</v>
      </c>
      <c r="B167" s="37">
        <v>45983</v>
      </c>
      <c r="C167" s="17" t="s">
        <v>532</v>
      </c>
      <c r="D167" s="3" t="s">
        <v>174</v>
      </c>
      <c r="E167" s="3">
        <v>493</v>
      </c>
      <c r="F167" s="3"/>
      <c r="G167" s="3" t="s">
        <v>268</v>
      </c>
      <c r="H167" s="237">
        <v>224315</v>
      </c>
      <c r="J167" s="316">
        <v>46003</v>
      </c>
      <c r="K167" s="231">
        <v>150000</v>
      </c>
    </row>
    <row r="168" spans="1:12" x14ac:dyDescent="0.3">
      <c r="A168" s="376">
        <v>42</v>
      </c>
      <c r="B168" s="373">
        <v>45994</v>
      </c>
      <c r="C168" s="376" t="s">
        <v>538</v>
      </c>
      <c r="D168" s="3" t="s">
        <v>539</v>
      </c>
      <c r="E168" s="3">
        <v>970</v>
      </c>
      <c r="F168" s="3"/>
      <c r="G168" s="3"/>
      <c r="H168" s="379">
        <v>439489</v>
      </c>
      <c r="J168" s="316">
        <v>46000</v>
      </c>
      <c r="K168" s="231">
        <v>150000</v>
      </c>
    </row>
    <row r="169" spans="1:12" x14ac:dyDescent="0.3">
      <c r="A169" s="377"/>
      <c r="B169" s="374"/>
      <c r="C169" s="377"/>
      <c r="D169" s="3" t="s">
        <v>540</v>
      </c>
      <c r="E169" s="3">
        <v>1120</v>
      </c>
      <c r="F169" s="3"/>
      <c r="G169" s="3"/>
      <c r="H169" s="380"/>
      <c r="J169" s="316">
        <v>46089</v>
      </c>
      <c r="K169" s="231">
        <v>200000</v>
      </c>
      <c r="L169" t="s">
        <v>578</v>
      </c>
    </row>
    <row r="170" spans="1:12" x14ac:dyDescent="0.3">
      <c r="A170" s="377"/>
      <c r="B170" s="374"/>
      <c r="C170" s="377"/>
      <c r="D170" s="3" t="s">
        <v>541</v>
      </c>
      <c r="E170" s="3">
        <v>525</v>
      </c>
      <c r="F170" s="3"/>
      <c r="G170" s="3"/>
      <c r="H170" s="380"/>
      <c r="J170" s="316"/>
      <c r="K170" s="231"/>
    </row>
    <row r="171" spans="1:12" x14ac:dyDescent="0.3">
      <c r="A171" s="377"/>
      <c r="B171" s="374"/>
      <c r="C171" s="377"/>
      <c r="D171" s="3" t="s">
        <v>542</v>
      </c>
      <c r="E171" s="3">
        <v>378</v>
      </c>
      <c r="F171" s="3"/>
      <c r="G171" s="3"/>
      <c r="H171" s="380"/>
      <c r="J171" s="316"/>
      <c r="K171" s="231"/>
    </row>
    <row r="172" spans="1:12" x14ac:dyDescent="0.3">
      <c r="A172" s="377"/>
      <c r="B172" s="374"/>
      <c r="C172" s="377"/>
      <c r="D172" s="3" t="s">
        <v>543</v>
      </c>
      <c r="E172" s="3">
        <v>332</v>
      </c>
      <c r="F172" s="3"/>
      <c r="G172" s="3"/>
      <c r="H172" s="380"/>
      <c r="J172" s="316" t="s">
        <v>579</v>
      </c>
      <c r="K172" s="231">
        <f>796229-200000</f>
        <v>596229</v>
      </c>
    </row>
    <row r="173" spans="1:12" x14ac:dyDescent="0.3">
      <c r="A173" s="377"/>
      <c r="B173" s="374"/>
      <c r="C173" s="377"/>
      <c r="D173" s="3" t="s">
        <v>544</v>
      </c>
      <c r="E173" s="3">
        <v>56</v>
      </c>
      <c r="F173" s="3"/>
      <c r="G173" s="3"/>
      <c r="H173" s="380"/>
      <c r="J173" s="316" t="s">
        <v>580</v>
      </c>
      <c r="K173" s="231"/>
    </row>
    <row r="174" spans="1:12" x14ac:dyDescent="0.3">
      <c r="A174" s="377"/>
      <c r="B174" s="374"/>
      <c r="C174" s="377"/>
      <c r="D174" s="3" t="s">
        <v>545</v>
      </c>
      <c r="E174" s="3">
        <v>294</v>
      </c>
      <c r="F174" s="3"/>
      <c r="G174" s="3"/>
      <c r="H174" s="380"/>
      <c r="J174" s="316" t="s">
        <v>581</v>
      </c>
      <c r="K174" s="231"/>
      <c r="L174" s="94"/>
    </row>
    <row r="175" spans="1:12" x14ac:dyDescent="0.3">
      <c r="A175" s="377"/>
      <c r="B175" s="374"/>
      <c r="C175" s="377"/>
      <c r="D175" s="3" t="s">
        <v>546</v>
      </c>
      <c r="E175" s="3">
        <v>248</v>
      </c>
      <c r="F175" s="3"/>
      <c r="G175" s="3"/>
      <c r="H175" s="380"/>
      <c r="J175" s="316"/>
      <c r="K175" s="231"/>
    </row>
    <row r="176" spans="1:12" x14ac:dyDescent="0.3">
      <c r="A176" s="377"/>
      <c r="B176" s="374"/>
      <c r="C176" s="377"/>
      <c r="D176" s="3" t="s">
        <v>547</v>
      </c>
      <c r="E176" s="3">
        <v>678</v>
      </c>
      <c r="F176" s="3"/>
      <c r="G176" s="3"/>
      <c r="H176" s="380"/>
      <c r="J176" s="316">
        <v>46101</v>
      </c>
      <c r="K176" s="231">
        <v>200000</v>
      </c>
    </row>
    <row r="177" spans="1:11" x14ac:dyDescent="0.3">
      <c r="A177" s="377"/>
      <c r="B177" s="374"/>
      <c r="C177" s="377"/>
      <c r="D177" s="3" t="s">
        <v>577</v>
      </c>
      <c r="E177" s="3">
        <v>575</v>
      </c>
      <c r="F177" s="3"/>
      <c r="G177" s="3"/>
      <c r="H177" s="380"/>
      <c r="J177" s="316">
        <v>46132</v>
      </c>
      <c r="K177" s="231">
        <v>200000</v>
      </c>
    </row>
    <row r="178" spans="1:11" x14ac:dyDescent="0.3">
      <c r="A178" s="377"/>
      <c r="B178" s="374"/>
      <c r="C178" s="377"/>
      <c r="D178" s="3" t="s">
        <v>576</v>
      </c>
      <c r="E178" s="3">
        <v>919</v>
      </c>
      <c r="F178" s="13"/>
      <c r="G178" s="13"/>
      <c r="H178" s="380"/>
      <c r="J178" s="316"/>
      <c r="K178" s="231"/>
    </row>
    <row r="179" spans="1:11" x14ac:dyDescent="0.3">
      <c r="A179" s="377"/>
      <c r="B179" s="374"/>
      <c r="C179" s="377"/>
      <c r="D179" s="3" t="s">
        <v>548</v>
      </c>
      <c r="E179" s="3">
        <v>110.3</v>
      </c>
      <c r="F179" s="13"/>
      <c r="G179" s="13"/>
      <c r="H179" s="380"/>
      <c r="J179" s="316"/>
      <c r="K179" s="231">
        <f>K172-K176-K177</f>
        <v>196229</v>
      </c>
    </row>
    <row r="180" spans="1:11" x14ac:dyDescent="0.3">
      <c r="A180" s="378"/>
      <c r="B180" s="375"/>
      <c r="C180" s="378"/>
      <c r="D180" s="3" t="s">
        <v>549</v>
      </c>
      <c r="E180" s="3">
        <v>185.6</v>
      </c>
      <c r="F180" s="13"/>
      <c r="G180" s="13"/>
      <c r="H180" s="381"/>
      <c r="J180" s="316"/>
      <c r="K180" s="231"/>
    </row>
    <row r="181" spans="1:11" x14ac:dyDescent="0.3">
      <c r="A181" s="3">
        <v>43</v>
      </c>
      <c r="B181" s="37">
        <v>45994</v>
      </c>
      <c r="C181" s="17" t="s">
        <v>553</v>
      </c>
      <c r="D181" s="3" t="s">
        <v>75</v>
      </c>
      <c r="E181" s="3">
        <v>1824</v>
      </c>
      <c r="F181" s="13"/>
      <c r="G181" s="13"/>
      <c r="H181" s="226">
        <v>158690</v>
      </c>
      <c r="K181" s="94"/>
    </row>
    <row r="182" spans="1:11" x14ac:dyDescent="0.3">
      <c r="A182" s="3">
        <v>44</v>
      </c>
      <c r="B182" s="37">
        <v>45995</v>
      </c>
      <c r="C182" s="17" t="s">
        <v>553</v>
      </c>
      <c r="D182" s="3" t="s">
        <v>174</v>
      </c>
      <c r="E182" s="3">
        <v>450</v>
      </c>
      <c r="F182" s="13"/>
      <c r="G182" s="13"/>
      <c r="H182" s="226">
        <v>200250</v>
      </c>
    </row>
    <row r="183" spans="1:11" x14ac:dyDescent="0.3">
      <c r="A183" s="376">
        <v>45</v>
      </c>
      <c r="B183" s="373">
        <v>46043</v>
      </c>
      <c r="C183" s="376" t="s">
        <v>564</v>
      </c>
      <c r="D183" s="3" t="s">
        <v>174</v>
      </c>
      <c r="E183" s="3">
        <v>150</v>
      </c>
      <c r="F183" s="13"/>
      <c r="G183" s="13"/>
      <c r="H183" s="449">
        <v>196229</v>
      </c>
    </row>
    <row r="184" spans="1:11" x14ac:dyDescent="0.3">
      <c r="A184" s="378"/>
      <c r="B184" s="375"/>
      <c r="C184" s="378"/>
      <c r="D184" s="3" t="s">
        <v>565</v>
      </c>
      <c r="E184" s="3">
        <v>2045</v>
      </c>
      <c r="F184" s="13"/>
      <c r="G184" s="13"/>
      <c r="H184" s="450"/>
    </row>
    <row r="185" spans="1:11" x14ac:dyDescent="0.3">
      <c r="A185" s="13"/>
      <c r="B185" s="13"/>
      <c r="C185" s="13"/>
      <c r="D185" s="13"/>
      <c r="E185" s="13"/>
      <c r="F185" s="13"/>
      <c r="G185" s="13"/>
      <c r="H185" s="13"/>
    </row>
    <row r="187" spans="1:11" x14ac:dyDescent="0.3">
      <c r="K187" s="94"/>
    </row>
  </sheetData>
  <autoFilter ref="A2:H2" xr:uid="{00000000-0001-0000-0100-000000000000}"/>
  <mergeCells count="148">
    <mergeCell ref="H183:H184"/>
    <mergeCell ref="C183:C184"/>
    <mergeCell ref="B183:B184"/>
    <mergeCell ref="A183:A184"/>
    <mergeCell ref="J164:K164"/>
    <mergeCell ref="H144:H149"/>
    <mergeCell ref="C144:C149"/>
    <mergeCell ref="B144:B149"/>
    <mergeCell ref="A144:A149"/>
    <mergeCell ref="H150:H153"/>
    <mergeCell ref="C150:C153"/>
    <mergeCell ref="B150:B153"/>
    <mergeCell ref="A150:A153"/>
    <mergeCell ref="A160:A164"/>
    <mergeCell ref="B160:B164"/>
    <mergeCell ref="C160:C164"/>
    <mergeCell ref="G160:G164"/>
    <mergeCell ref="H160:H164"/>
    <mergeCell ref="C155:C159"/>
    <mergeCell ref="B155:B159"/>
    <mergeCell ref="A155:A159"/>
    <mergeCell ref="G155:G159"/>
    <mergeCell ref="H155:H159"/>
    <mergeCell ref="C168:C180"/>
    <mergeCell ref="I76:I79"/>
    <mergeCell ref="A138:A140"/>
    <mergeCell ref="B138:B140"/>
    <mergeCell ref="C138:C140"/>
    <mergeCell ref="G138:G140"/>
    <mergeCell ref="H138:H140"/>
    <mergeCell ref="H114:H118"/>
    <mergeCell ref="G114:G118"/>
    <mergeCell ref="B114:B118"/>
    <mergeCell ref="A114:A118"/>
    <mergeCell ref="C91:C102"/>
    <mergeCell ref="B91:B102"/>
    <mergeCell ref="A91:A102"/>
    <mergeCell ref="G91:G102"/>
    <mergeCell ref="H91:H102"/>
    <mergeCell ref="G104:G112"/>
    <mergeCell ref="H104:H112"/>
    <mergeCell ref="C104:C112"/>
    <mergeCell ref="A104:A112"/>
    <mergeCell ref="B104:B112"/>
    <mergeCell ref="G121:G127"/>
    <mergeCell ref="G128:G133"/>
    <mergeCell ref="G134:G137"/>
    <mergeCell ref="H128:H133"/>
    <mergeCell ref="G3:G10"/>
    <mergeCell ref="H3:H10"/>
    <mergeCell ref="A75:H75"/>
    <mergeCell ref="A80:A82"/>
    <mergeCell ref="H83:H90"/>
    <mergeCell ref="A68:A74"/>
    <mergeCell ref="B83:B90"/>
    <mergeCell ref="A83:A90"/>
    <mergeCell ref="G83:G90"/>
    <mergeCell ref="H80:H82"/>
    <mergeCell ref="G76:G79"/>
    <mergeCell ref="G80:G82"/>
    <mergeCell ref="C80:C82"/>
    <mergeCell ref="B80:B82"/>
    <mergeCell ref="E29:E31"/>
    <mergeCell ref="E32:E33"/>
    <mergeCell ref="F29:F31"/>
    <mergeCell ref="F32:F33"/>
    <mergeCell ref="B42:B43"/>
    <mergeCell ref="B30:B33"/>
    <mergeCell ref="C3:C10"/>
    <mergeCell ref="A56:A59"/>
    <mergeCell ref="B3:B10"/>
    <mergeCell ref="A3:A10"/>
    <mergeCell ref="J23:N23"/>
    <mergeCell ref="C76:C79"/>
    <mergeCell ref="B76:B79"/>
    <mergeCell ref="A76:A79"/>
    <mergeCell ref="H76:H79"/>
    <mergeCell ref="H60:H65"/>
    <mergeCell ref="E34:E35"/>
    <mergeCell ref="D34:D35"/>
    <mergeCell ref="F34:F35"/>
    <mergeCell ref="G36:G39"/>
    <mergeCell ref="C36:C39"/>
    <mergeCell ref="E36:E39"/>
    <mergeCell ref="B34:B35"/>
    <mergeCell ref="A34:A35"/>
    <mergeCell ref="B47:B51"/>
    <mergeCell ref="C52:C55"/>
    <mergeCell ref="J24:K24"/>
    <mergeCell ref="L24:N24"/>
    <mergeCell ref="B60:B65"/>
    <mergeCell ref="A60:A65"/>
    <mergeCell ref="C56:C59"/>
    <mergeCell ref="A47:A51"/>
    <mergeCell ref="H68:H74"/>
    <mergeCell ref="B68:B74"/>
    <mergeCell ref="D3:D10"/>
    <mergeCell ref="E3:E10"/>
    <mergeCell ref="F3:F10"/>
    <mergeCell ref="B56:B59"/>
    <mergeCell ref="A11:A21"/>
    <mergeCell ref="B11:B21"/>
    <mergeCell ref="C11:C21"/>
    <mergeCell ref="A52:A55"/>
    <mergeCell ref="A22:A28"/>
    <mergeCell ref="B22:B28"/>
    <mergeCell ref="C22:C28"/>
    <mergeCell ref="A29:A33"/>
    <mergeCell ref="A36:A39"/>
    <mergeCell ref="B36:B39"/>
    <mergeCell ref="J8:M8"/>
    <mergeCell ref="A1:H1"/>
    <mergeCell ref="D63:D65"/>
    <mergeCell ref="J3:N3"/>
    <mergeCell ref="D42:D43"/>
    <mergeCell ref="C42:C43"/>
    <mergeCell ref="H11:H21"/>
    <mergeCell ref="C47:C51"/>
    <mergeCell ref="D29:D33"/>
    <mergeCell ref="G47:G51"/>
    <mergeCell ref="G52:G55"/>
    <mergeCell ref="H29:H33"/>
    <mergeCell ref="H36:H39"/>
    <mergeCell ref="H52:H55"/>
    <mergeCell ref="H47:H51"/>
    <mergeCell ref="H56:H59"/>
    <mergeCell ref="H34:H35"/>
    <mergeCell ref="H42:H43"/>
    <mergeCell ref="I29:I30"/>
    <mergeCell ref="G11:G21"/>
    <mergeCell ref="G22:G26"/>
    <mergeCell ref="G27:G28"/>
    <mergeCell ref="H22:H28"/>
    <mergeCell ref="B52:B55"/>
    <mergeCell ref="B168:B180"/>
    <mergeCell ref="A168:A180"/>
    <mergeCell ref="H168:H180"/>
    <mergeCell ref="H134:H137"/>
    <mergeCell ref="H121:H127"/>
    <mergeCell ref="A134:A137"/>
    <mergeCell ref="B134:B137"/>
    <mergeCell ref="C134:C137"/>
    <mergeCell ref="A121:A127"/>
    <mergeCell ref="B121:B127"/>
    <mergeCell ref="C121:C127"/>
    <mergeCell ref="A128:A133"/>
    <mergeCell ref="B128:B133"/>
    <mergeCell ref="C128:C133"/>
  </mergeCells>
  <pageMargins left="0.7" right="0.7" top="0.75" bottom="0.75" header="0.3" footer="0.3"/>
  <pageSetup paperSize="9" scale="33" orientation="portrait" horizontalDpi="4294967293" r:id="rId1"/>
  <ignoredErrors>
    <ignoredError sqref="M20 M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opLeftCell="A4" workbookViewId="0">
      <selection activeCell="H18" sqref="H18"/>
    </sheetView>
  </sheetViews>
  <sheetFormatPr defaultRowHeight="14.4" x14ac:dyDescent="0.3"/>
  <cols>
    <col min="1" max="1" width="14.5546875" bestFit="1" customWidth="1"/>
    <col min="2" max="2" width="45.6640625" bestFit="1" customWidth="1"/>
    <col min="3" max="3" width="22" bestFit="1" customWidth="1"/>
    <col min="6" max="6" width="9.88671875" bestFit="1" customWidth="1"/>
    <col min="7" max="7" width="20.33203125" bestFit="1" customWidth="1"/>
    <col min="8" max="8" width="12.109375" bestFit="1" customWidth="1"/>
    <col min="9" max="9" width="14" customWidth="1"/>
  </cols>
  <sheetData>
    <row r="1" spans="1:11" ht="18.600000000000001" thickBot="1" x14ac:dyDescent="0.4">
      <c r="A1" s="507" t="s">
        <v>157</v>
      </c>
      <c r="B1" s="508"/>
      <c r="C1" s="508"/>
      <c r="D1" s="508"/>
      <c r="E1" s="509"/>
      <c r="G1" s="511" t="s">
        <v>162</v>
      </c>
      <c r="H1" s="511"/>
      <c r="I1" s="511"/>
      <c r="J1" s="511"/>
      <c r="K1" s="511"/>
    </row>
    <row r="2" spans="1:11" x14ac:dyDescent="0.3">
      <c r="A2" s="515">
        <v>45418</v>
      </c>
      <c r="B2" s="17" t="s">
        <v>218</v>
      </c>
      <c r="C2" s="516" t="s">
        <v>221</v>
      </c>
      <c r="D2" s="16"/>
      <c r="E2" s="16"/>
      <c r="G2" s="13" t="s">
        <v>160</v>
      </c>
      <c r="H2" s="108" t="s">
        <v>27</v>
      </c>
      <c r="I2" s="13">
        <v>4538</v>
      </c>
      <c r="J2" s="13"/>
      <c r="K2" s="13"/>
    </row>
    <row r="3" spans="1:11" x14ac:dyDescent="0.3">
      <c r="A3" s="374"/>
      <c r="B3" s="3" t="s">
        <v>220</v>
      </c>
      <c r="C3" s="494"/>
      <c r="D3" s="3">
        <v>851.47199999999998</v>
      </c>
      <c r="E3" s="3" t="s">
        <v>130</v>
      </c>
      <c r="G3" s="13" t="s">
        <v>161</v>
      </c>
      <c r="H3" s="108" t="s">
        <v>158</v>
      </c>
      <c r="I3" s="13">
        <v>4100</v>
      </c>
      <c r="J3" s="13"/>
      <c r="K3" s="13"/>
    </row>
    <row r="4" spans="1:11" x14ac:dyDescent="0.3">
      <c r="A4" s="375"/>
      <c r="B4" s="3" t="s">
        <v>219</v>
      </c>
      <c r="C4" s="495"/>
      <c r="D4" s="3">
        <v>769.47799999999995</v>
      </c>
      <c r="E4" s="3"/>
      <c r="G4" s="13" t="s">
        <v>161</v>
      </c>
      <c r="H4" s="108" t="s">
        <v>159</v>
      </c>
      <c r="I4" s="13">
        <v>455</v>
      </c>
      <c r="J4" s="13">
        <v>273</v>
      </c>
      <c r="K4" s="13" t="s">
        <v>130</v>
      </c>
    </row>
    <row r="5" spans="1:11" ht="18" x14ac:dyDescent="0.35">
      <c r="A5" s="197"/>
      <c r="B5" s="197"/>
      <c r="C5" s="197"/>
      <c r="D5" s="3">
        <f>SUM(D3:D4)</f>
        <v>1620.9499999999998</v>
      </c>
      <c r="E5" s="197"/>
    </row>
    <row r="6" spans="1:11" x14ac:dyDescent="0.3">
      <c r="A6" s="196">
        <v>45516</v>
      </c>
      <c r="B6" s="17" t="s">
        <v>74</v>
      </c>
      <c r="C6" s="378" t="s">
        <v>75</v>
      </c>
      <c r="D6" s="378">
        <f>927.59+399.16+171.07+136.08</f>
        <v>1633.8999999999999</v>
      </c>
      <c r="E6" s="435" t="s">
        <v>130</v>
      </c>
    </row>
    <row r="7" spans="1:11" x14ac:dyDescent="0.3">
      <c r="A7" s="514"/>
      <c r="B7" s="13" t="s">
        <v>121</v>
      </c>
      <c r="C7" s="505"/>
      <c r="D7" s="505"/>
      <c r="E7" s="513"/>
      <c r="G7">
        <f>D3+D4</f>
        <v>1620.9499999999998</v>
      </c>
    </row>
    <row r="8" spans="1:11" x14ac:dyDescent="0.3">
      <c r="A8" s="514"/>
      <c r="B8" s="13" t="s">
        <v>122</v>
      </c>
      <c r="C8" s="505"/>
      <c r="D8" s="505"/>
      <c r="E8" s="513"/>
      <c r="F8" s="4" t="s">
        <v>156</v>
      </c>
    </row>
    <row r="9" spans="1:11" x14ac:dyDescent="0.3">
      <c r="A9" s="514"/>
      <c r="B9" s="13" t="s">
        <v>123</v>
      </c>
      <c r="C9" s="505"/>
      <c r="D9" s="505"/>
      <c r="E9" s="513"/>
    </row>
    <row r="10" spans="1:11" x14ac:dyDescent="0.3">
      <c r="A10" s="514"/>
      <c r="B10" s="13" t="s">
        <v>124</v>
      </c>
      <c r="C10" s="505"/>
      <c r="D10" s="505"/>
      <c r="E10" s="513"/>
    </row>
    <row r="11" spans="1:11" x14ac:dyDescent="0.3">
      <c r="A11" s="503">
        <v>45516</v>
      </c>
      <c r="B11" s="4" t="s">
        <v>102</v>
      </c>
      <c r="C11" s="505" t="s">
        <v>103</v>
      </c>
      <c r="D11" s="505">
        <v>1265.54</v>
      </c>
      <c r="E11" s="513" t="s">
        <v>130</v>
      </c>
    </row>
    <row r="12" spans="1:11" x14ac:dyDescent="0.3">
      <c r="A12" s="503"/>
      <c r="B12" s="13" t="s">
        <v>134</v>
      </c>
      <c r="C12" s="505"/>
      <c r="D12" s="505"/>
      <c r="E12" s="513"/>
    </row>
    <row r="13" spans="1:11" x14ac:dyDescent="0.3">
      <c r="A13" s="136" t="s">
        <v>85</v>
      </c>
      <c r="B13" s="4" t="s">
        <v>57</v>
      </c>
      <c r="C13" s="4" t="s">
        <v>153</v>
      </c>
      <c r="D13" s="4">
        <v>632.44799999999998</v>
      </c>
      <c r="E13" s="27" t="s">
        <v>130</v>
      </c>
    </row>
    <row r="14" spans="1:11" x14ac:dyDescent="0.3">
      <c r="A14" s="503">
        <v>45570</v>
      </c>
      <c r="B14" s="4" t="s">
        <v>57</v>
      </c>
      <c r="C14" s="13"/>
      <c r="D14" s="13"/>
      <c r="E14" s="21"/>
    </row>
    <row r="15" spans="1:11" x14ac:dyDescent="0.3">
      <c r="A15" s="503"/>
      <c r="B15" s="13" t="s">
        <v>148</v>
      </c>
      <c r="C15" s="505" t="s">
        <v>153</v>
      </c>
      <c r="D15" s="376">
        <f>233.28+421.632+226.8+544.32+213.84</f>
        <v>1639.8720000000001</v>
      </c>
      <c r="E15" s="433" t="s">
        <v>130</v>
      </c>
    </row>
    <row r="16" spans="1:11" x14ac:dyDescent="0.3">
      <c r="A16" s="503"/>
      <c r="B16" s="13" t="s">
        <v>149</v>
      </c>
      <c r="C16" s="505"/>
      <c r="D16" s="377"/>
      <c r="E16" s="434"/>
    </row>
    <row r="17" spans="1:5" x14ac:dyDescent="0.3">
      <c r="A17" s="503"/>
      <c r="B17" s="13" t="s">
        <v>150</v>
      </c>
      <c r="C17" s="505"/>
      <c r="D17" s="377"/>
      <c r="E17" s="434"/>
    </row>
    <row r="18" spans="1:5" x14ac:dyDescent="0.3">
      <c r="A18" s="503"/>
      <c r="B18" s="13" t="s">
        <v>151</v>
      </c>
      <c r="C18" s="505"/>
      <c r="D18" s="377"/>
      <c r="E18" s="434"/>
    </row>
    <row r="19" spans="1:5" ht="15" thickBot="1" x14ac:dyDescent="0.35">
      <c r="A19" s="504"/>
      <c r="B19" s="120" t="s">
        <v>152</v>
      </c>
      <c r="C19" s="506"/>
      <c r="D19" s="510"/>
      <c r="E19" s="512"/>
    </row>
    <row r="21" spans="1:5" x14ac:dyDescent="0.3">
      <c r="B21" t="s">
        <v>216</v>
      </c>
      <c r="C21">
        <v>16</v>
      </c>
      <c r="D21">
        <v>762.6</v>
      </c>
    </row>
    <row r="22" spans="1:5" x14ac:dyDescent="0.3">
      <c r="C22">
        <v>18</v>
      </c>
      <c r="D22">
        <v>858.16800000000001</v>
      </c>
    </row>
  </sheetData>
  <mergeCells count="16">
    <mergeCell ref="A14:A19"/>
    <mergeCell ref="C15:C19"/>
    <mergeCell ref="A1:E1"/>
    <mergeCell ref="D15:D19"/>
    <mergeCell ref="G1:K1"/>
    <mergeCell ref="E15:E19"/>
    <mergeCell ref="C6:C10"/>
    <mergeCell ref="D6:D10"/>
    <mergeCell ref="E6:E10"/>
    <mergeCell ref="A7:A10"/>
    <mergeCell ref="A11:A12"/>
    <mergeCell ref="C11:C12"/>
    <mergeCell ref="D11:D12"/>
    <mergeCell ref="E11:E12"/>
    <mergeCell ref="A2:A4"/>
    <mergeCell ref="C2:C4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2"/>
  <sheetViews>
    <sheetView topLeftCell="A16" workbookViewId="0">
      <selection activeCell="J17" sqref="J17"/>
    </sheetView>
  </sheetViews>
  <sheetFormatPr defaultRowHeight="14.4" x14ac:dyDescent="0.3"/>
  <cols>
    <col min="2" max="2" width="11.5546875" bestFit="1" customWidth="1"/>
    <col min="3" max="3" width="22.44140625" bestFit="1" customWidth="1"/>
    <col min="4" max="5" width="12.44140625" bestFit="1" customWidth="1"/>
    <col min="6" max="6" width="11.88671875" bestFit="1" customWidth="1"/>
    <col min="7" max="7" width="10.6640625" bestFit="1" customWidth="1"/>
  </cols>
  <sheetData>
    <row r="1" spans="1:7" ht="18" thickBot="1" x14ac:dyDescent="0.5">
      <c r="A1" s="517" t="s">
        <v>97</v>
      </c>
      <c r="B1" s="518"/>
      <c r="C1" s="518"/>
      <c r="D1" s="518"/>
      <c r="E1" s="518"/>
      <c r="F1" s="518"/>
      <c r="G1" s="519"/>
    </row>
    <row r="2" spans="1:7" ht="16.2" thickBot="1" x14ac:dyDescent="0.35">
      <c r="A2" s="117" t="s">
        <v>135</v>
      </c>
      <c r="B2" s="118" t="s">
        <v>2</v>
      </c>
      <c r="C2" s="118" t="s">
        <v>136</v>
      </c>
      <c r="D2" s="118" t="s">
        <v>137</v>
      </c>
      <c r="E2" s="118" t="s">
        <v>6</v>
      </c>
      <c r="F2" s="118" t="s">
        <v>138</v>
      </c>
      <c r="G2" s="119" t="s">
        <v>126</v>
      </c>
    </row>
    <row r="3" spans="1:7" x14ac:dyDescent="0.3">
      <c r="A3" s="88">
        <v>1</v>
      </c>
      <c r="B3" s="15">
        <v>45533</v>
      </c>
      <c r="C3" s="16" t="s">
        <v>43</v>
      </c>
      <c r="D3" s="16" t="s">
        <v>44</v>
      </c>
      <c r="E3" s="17">
        <v>400</v>
      </c>
      <c r="F3" s="111" t="s">
        <v>41</v>
      </c>
      <c r="G3" s="92">
        <v>12000</v>
      </c>
    </row>
    <row r="4" spans="1:7" x14ac:dyDescent="0.3">
      <c r="A4" s="39">
        <f>A3+1</f>
        <v>2</v>
      </c>
      <c r="B4" s="2">
        <v>45534</v>
      </c>
      <c r="C4" s="3" t="s">
        <v>43</v>
      </c>
      <c r="D4" s="3" t="s">
        <v>44</v>
      </c>
      <c r="E4" s="4">
        <v>400</v>
      </c>
      <c r="F4" s="112" t="s">
        <v>41</v>
      </c>
      <c r="G4" s="92">
        <v>12000</v>
      </c>
    </row>
    <row r="5" spans="1:7" x14ac:dyDescent="0.3">
      <c r="A5" s="39">
        <f t="shared" ref="A5:A33" si="0">A4+1</f>
        <v>3</v>
      </c>
      <c r="B5" s="2">
        <v>45535</v>
      </c>
      <c r="C5" s="3" t="s">
        <v>43</v>
      </c>
      <c r="D5" s="3" t="s">
        <v>47</v>
      </c>
      <c r="E5" s="4">
        <v>400</v>
      </c>
      <c r="F5" s="112" t="s">
        <v>41</v>
      </c>
      <c r="G5" s="21">
        <v>22000</v>
      </c>
    </row>
    <row r="6" spans="1:7" x14ac:dyDescent="0.3">
      <c r="A6" s="39">
        <f t="shared" si="0"/>
        <v>4</v>
      </c>
      <c r="B6" s="2">
        <v>45535</v>
      </c>
      <c r="C6" s="3" t="s">
        <v>43</v>
      </c>
      <c r="D6" s="3" t="s">
        <v>47</v>
      </c>
      <c r="E6" s="4">
        <v>400</v>
      </c>
      <c r="F6" s="112" t="s">
        <v>41</v>
      </c>
      <c r="G6" s="21">
        <v>22000</v>
      </c>
    </row>
    <row r="7" spans="1:7" x14ac:dyDescent="0.3">
      <c r="A7" s="39">
        <f t="shared" si="0"/>
        <v>5</v>
      </c>
      <c r="B7" s="2">
        <v>45535</v>
      </c>
      <c r="C7" s="3" t="s">
        <v>43</v>
      </c>
      <c r="D7" s="3" t="s">
        <v>47</v>
      </c>
      <c r="E7" s="4">
        <v>400</v>
      </c>
      <c r="F7" s="112" t="s">
        <v>41</v>
      </c>
      <c r="G7" s="21">
        <v>22000</v>
      </c>
    </row>
    <row r="8" spans="1:7" x14ac:dyDescent="0.3">
      <c r="A8" s="39">
        <f t="shared" si="0"/>
        <v>6</v>
      </c>
      <c r="B8" s="2">
        <v>45535</v>
      </c>
      <c r="C8" s="3" t="s">
        <v>43</v>
      </c>
      <c r="D8" s="3" t="s">
        <v>47</v>
      </c>
      <c r="E8" s="4">
        <v>400</v>
      </c>
      <c r="F8" s="112" t="s">
        <v>41</v>
      </c>
      <c r="G8" s="21">
        <v>22000</v>
      </c>
    </row>
    <row r="9" spans="1:7" x14ac:dyDescent="0.3">
      <c r="A9" s="39">
        <f t="shared" si="0"/>
        <v>7</v>
      </c>
      <c r="B9" s="2">
        <v>45535</v>
      </c>
      <c r="C9" s="3" t="s">
        <v>43</v>
      </c>
      <c r="D9" s="3" t="s">
        <v>44</v>
      </c>
      <c r="E9" s="4">
        <v>400</v>
      </c>
      <c r="F9" s="112" t="s">
        <v>41</v>
      </c>
      <c r="G9" s="21">
        <v>12000</v>
      </c>
    </row>
    <row r="10" spans="1:7" x14ac:dyDescent="0.3">
      <c r="A10" s="39">
        <f t="shared" si="0"/>
        <v>8</v>
      </c>
      <c r="B10" s="2">
        <v>45537</v>
      </c>
      <c r="C10" s="3" t="s">
        <v>43</v>
      </c>
      <c r="D10" s="3" t="s">
        <v>47</v>
      </c>
      <c r="E10" s="4">
        <v>400</v>
      </c>
      <c r="F10" s="112" t="s">
        <v>41</v>
      </c>
      <c r="G10" s="21">
        <v>22000</v>
      </c>
    </row>
    <row r="11" spans="1:7" x14ac:dyDescent="0.3">
      <c r="A11" s="39">
        <f t="shared" si="0"/>
        <v>9</v>
      </c>
      <c r="B11" s="2">
        <v>45537</v>
      </c>
      <c r="C11" s="3" t="s">
        <v>43</v>
      </c>
      <c r="D11" s="3" t="s">
        <v>47</v>
      </c>
      <c r="E11" s="4">
        <v>400</v>
      </c>
      <c r="F11" s="112" t="s">
        <v>41</v>
      </c>
      <c r="G11" s="21">
        <v>22000</v>
      </c>
    </row>
    <row r="12" spans="1:7" x14ac:dyDescent="0.3">
      <c r="A12" s="39">
        <f t="shared" si="0"/>
        <v>10</v>
      </c>
      <c r="B12" s="2">
        <v>45537</v>
      </c>
      <c r="C12" s="3" t="s">
        <v>43</v>
      </c>
      <c r="D12" s="3" t="s">
        <v>44</v>
      </c>
      <c r="E12" s="4">
        <v>400</v>
      </c>
      <c r="F12" s="112" t="s">
        <v>41</v>
      </c>
      <c r="G12" s="21">
        <v>12000</v>
      </c>
    </row>
    <row r="13" spans="1:7" x14ac:dyDescent="0.3">
      <c r="A13" s="39">
        <f t="shared" si="0"/>
        <v>11</v>
      </c>
      <c r="B13" s="2">
        <v>45538</v>
      </c>
      <c r="C13" s="3" t="s">
        <v>43</v>
      </c>
      <c r="D13" s="3" t="s">
        <v>44</v>
      </c>
      <c r="E13" s="4">
        <v>400</v>
      </c>
      <c r="F13" s="112" t="s">
        <v>41</v>
      </c>
      <c r="G13" s="21">
        <v>12000</v>
      </c>
    </row>
    <row r="14" spans="1:7" x14ac:dyDescent="0.3">
      <c r="A14" s="39">
        <f t="shared" si="0"/>
        <v>12</v>
      </c>
      <c r="B14" s="2">
        <v>45539</v>
      </c>
      <c r="C14" s="3" t="s">
        <v>43</v>
      </c>
      <c r="D14" s="3" t="s">
        <v>44</v>
      </c>
      <c r="E14" s="4">
        <v>400</v>
      </c>
      <c r="F14" s="112" t="s">
        <v>41</v>
      </c>
      <c r="G14" s="21">
        <v>12000</v>
      </c>
    </row>
    <row r="15" spans="1:7" x14ac:dyDescent="0.3">
      <c r="A15" s="39">
        <f t="shared" si="0"/>
        <v>13</v>
      </c>
      <c r="B15" s="2">
        <v>45540</v>
      </c>
      <c r="C15" s="3" t="s">
        <v>43</v>
      </c>
      <c r="D15" s="3" t="s">
        <v>44</v>
      </c>
      <c r="E15" s="4">
        <v>400</v>
      </c>
      <c r="F15" s="112" t="s">
        <v>41</v>
      </c>
      <c r="G15" s="21">
        <v>12000</v>
      </c>
    </row>
    <row r="16" spans="1:7" x14ac:dyDescent="0.3">
      <c r="A16" s="39">
        <f t="shared" si="0"/>
        <v>14</v>
      </c>
      <c r="B16" s="2">
        <v>45540</v>
      </c>
      <c r="C16" s="3" t="s">
        <v>43</v>
      </c>
      <c r="D16" s="3" t="s">
        <v>95</v>
      </c>
      <c r="E16" s="4">
        <v>3000</v>
      </c>
      <c r="F16" s="112" t="s">
        <v>32</v>
      </c>
      <c r="G16" s="21">
        <f>E16*16</f>
        <v>48000</v>
      </c>
    </row>
    <row r="17" spans="1:7" x14ac:dyDescent="0.3">
      <c r="A17" s="39">
        <f t="shared" si="0"/>
        <v>15</v>
      </c>
      <c r="B17" s="2">
        <v>45541</v>
      </c>
      <c r="C17" s="3" t="s">
        <v>43</v>
      </c>
      <c r="D17" s="3" t="s">
        <v>49</v>
      </c>
      <c r="E17" s="4">
        <v>400</v>
      </c>
      <c r="F17" s="112" t="s">
        <v>41</v>
      </c>
      <c r="G17" s="21">
        <v>20000</v>
      </c>
    </row>
    <row r="18" spans="1:7" x14ac:dyDescent="0.3">
      <c r="A18" s="39">
        <f t="shared" si="0"/>
        <v>16</v>
      </c>
      <c r="B18" s="2">
        <v>45551</v>
      </c>
      <c r="C18" s="3" t="s">
        <v>43</v>
      </c>
      <c r="D18" s="3" t="s">
        <v>44</v>
      </c>
      <c r="E18" s="4">
        <v>400</v>
      </c>
      <c r="F18" s="112" t="s">
        <v>41</v>
      </c>
      <c r="G18" s="21">
        <v>12000</v>
      </c>
    </row>
    <row r="19" spans="1:7" x14ac:dyDescent="0.3">
      <c r="A19" s="39">
        <f t="shared" si="0"/>
        <v>17</v>
      </c>
      <c r="B19" s="2">
        <v>45551</v>
      </c>
      <c r="C19" s="3" t="s">
        <v>43</v>
      </c>
      <c r="D19" s="3" t="s">
        <v>47</v>
      </c>
      <c r="E19" s="4">
        <v>400</v>
      </c>
      <c r="F19" s="112" t="s">
        <v>41</v>
      </c>
      <c r="G19" s="21">
        <v>22000</v>
      </c>
    </row>
    <row r="20" spans="1:7" x14ac:dyDescent="0.3">
      <c r="A20" s="39">
        <f t="shared" si="0"/>
        <v>18</v>
      </c>
      <c r="B20" s="2">
        <v>45554</v>
      </c>
      <c r="C20" s="3" t="s">
        <v>43</v>
      </c>
      <c r="D20" s="3" t="s">
        <v>44</v>
      </c>
      <c r="E20" s="4">
        <v>400</v>
      </c>
      <c r="F20" s="112" t="s">
        <v>41</v>
      </c>
      <c r="G20" s="21">
        <v>12000</v>
      </c>
    </row>
    <row r="21" spans="1:7" x14ac:dyDescent="0.3">
      <c r="A21" s="39">
        <f t="shared" si="0"/>
        <v>19</v>
      </c>
      <c r="B21" s="2">
        <v>45554</v>
      </c>
      <c r="C21" s="3" t="s">
        <v>43</v>
      </c>
      <c r="D21" s="3" t="s">
        <v>47</v>
      </c>
      <c r="E21" s="4">
        <v>400</v>
      </c>
      <c r="F21" s="112" t="s">
        <v>41</v>
      </c>
      <c r="G21" s="21">
        <v>22000</v>
      </c>
    </row>
    <row r="22" spans="1:7" x14ac:dyDescent="0.3">
      <c r="A22" s="39">
        <f t="shared" si="0"/>
        <v>20</v>
      </c>
      <c r="B22" s="2">
        <v>45555</v>
      </c>
      <c r="C22" s="3" t="s">
        <v>43</v>
      </c>
      <c r="D22" s="3" t="s">
        <v>47</v>
      </c>
      <c r="E22" s="4">
        <v>400</v>
      </c>
      <c r="F22" s="112" t="s">
        <v>41</v>
      </c>
      <c r="G22" s="21">
        <v>22000</v>
      </c>
    </row>
    <row r="23" spans="1:7" x14ac:dyDescent="0.3">
      <c r="A23" s="39">
        <f t="shared" si="0"/>
        <v>21</v>
      </c>
      <c r="B23" s="2">
        <v>45555</v>
      </c>
      <c r="C23" s="3" t="s">
        <v>43</v>
      </c>
      <c r="D23" s="3" t="s">
        <v>47</v>
      </c>
      <c r="E23" s="4">
        <v>400</v>
      </c>
      <c r="F23" s="112" t="s">
        <v>41</v>
      </c>
      <c r="G23" s="21">
        <v>22000</v>
      </c>
    </row>
    <row r="24" spans="1:7" x14ac:dyDescent="0.3">
      <c r="A24" s="39">
        <f t="shared" si="0"/>
        <v>22</v>
      </c>
      <c r="B24" s="2">
        <v>45555</v>
      </c>
      <c r="C24" s="3" t="s">
        <v>43</v>
      </c>
      <c r="D24" s="3" t="s">
        <v>44</v>
      </c>
      <c r="E24" s="4">
        <v>400</v>
      </c>
      <c r="F24" s="112" t="s">
        <v>41</v>
      </c>
      <c r="G24" s="21">
        <v>12000</v>
      </c>
    </row>
    <row r="25" spans="1:7" x14ac:dyDescent="0.3">
      <c r="A25" s="39">
        <f t="shared" si="0"/>
        <v>23</v>
      </c>
      <c r="B25" s="8">
        <v>45556</v>
      </c>
      <c r="C25" s="3" t="s">
        <v>43</v>
      </c>
      <c r="D25" s="3" t="s">
        <v>44</v>
      </c>
      <c r="E25" s="4">
        <v>400</v>
      </c>
      <c r="F25" s="112" t="s">
        <v>41</v>
      </c>
      <c r="G25" s="21">
        <v>12000</v>
      </c>
    </row>
    <row r="26" spans="1:7" x14ac:dyDescent="0.3">
      <c r="A26" s="39">
        <f t="shared" si="0"/>
        <v>24</v>
      </c>
      <c r="B26" s="8">
        <v>45556</v>
      </c>
      <c r="C26" s="3" t="s">
        <v>43</v>
      </c>
      <c r="D26" s="3" t="s">
        <v>44</v>
      </c>
      <c r="E26" s="4">
        <v>400</v>
      </c>
      <c r="F26" s="112" t="s">
        <v>41</v>
      </c>
      <c r="G26" s="21">
        <v>12000</v>
      </c>
    </row>
    <row r="27" spans="1:7" x14ac:dyDescent="0.3">
      <c r="A27" s="39">
        <f t="shared" si="0"/>
        <v>25</v>
      </c>
      <c r="B27" s="8">
        <v>45558</v>
      </c>
      <c r="C27" s="3" t="s">
        <v>43</v>
      </c>
      <c r="D27" s="3" t="s">
        <v>47</v>
      </c>
      <c r="E27" s="4">
        <v>400</v>
      </c>
      <c r="F27" s="112" t="s">
        <v>41</v>
      </c>
      <c r="G27" s="21">
        <v>22000</v>
      </c>
    </row>
    <row r="28" spans="1:7" x14ac:dyDescent="0.3">
      <c r="A28" s="39">
        <f t="shared" si="0"/>
        <v>26</v>
      </c>
      <c r="B28" s="8">
        <v>45559</v>
      </c>
      <c r="C28" s="3" t="s">
        <v>43</v>
      </c>
      <c r="D28" s="3" t="s">
        <v>47</v>
      </c>
      <c r="E28" s="4">
        <v>400</v>
      </c>
      <c r="F28" s="112" t="s">
        <v>41</v>
      </c>
      <c r="G28" s="21">
        <v>22000</v>
      </c>
    </row>
    <row r="29" spans="1:7" x14ac:dyDescent="0.3">
      <c r="A29" s="39">
        <f t="shared" si="0"/>
        <v>27</v>
      </c>
      <c r="B29" s="8">
        <v>45561</v>
      </c>
      <c r="C29" s="3" t="s">
        <v>43</v>
      </c>
      <c r="D29" s="3" t="s">
        <v>44</v>
      </c>
      <c r="E29" s="4">
        <v>400</v>
      </c>
      <c r="F29" s="112" t="s">
        <v>41</v>
      </c>
      <c r="G29" s="21">
        <v>12000</v>
      </c>
    </row>
    <row r="30" spans="1:7" x14ac:dyDescent="0.3">
      <c r="A30" s="39">
        <f t="shared" si="0"/>
        <v>28</v>
      </c>
      <c r="B30" s="8">
        <v>45561</v>
      </c>
      <c r="C30" s="3" t="s">
        <v>43</v>
      </c>
      <c r="D30" s="3" t="s">
        <v>44</v>
      </c>
      <c r="E30" s="4">
        <v>400</v>
      </c>
      <c r="F30" s="112" t="s">
        <v>41</v>
      </c>
      <c r="G30" s="21">
        <v>12000</v>
      </c>
    </row>
    <row r="31" spans="1:7" x14ac:dyDescent="0.3">
      <c r="A31" s="39">
        <f t="shared" si="0"/>
        <v>29</v>
      </c>
      <c r="B31" s="8">
        <v>45561</v>
      </c>
      <c r="C31" s="3" t="s">
        <v>43</v>
      </c>
      <c r="D31" s="3" t="s">
        <v>49</v>
      </c>
      <c r="E31" s="4">
        <v>400</v>
      </c>
      <c r="F31" s="112" t="s">
        <v>41</v>
      </c>
      <c r="G31" s="21">
        <v>20000</v>
      </c>
    </row>
    <row r="32" spans="1:7" x14ac:dyDescent="0.3">
      <c r="A32" s="39">
        <f t="shared" si="0"/>
        <v>30</v>
      </c>
      <c r="B32" s="8">
        <v>45561</v>
      </c>
      <c r="C32" s="3" t="s">
        <v>43</v>
      </c>
      <c r="D32" s="3" t="s">
        <v>49</v>
      </c>
      <c r="E32" s="4">
        <v>400</v>
      </c>
      <c r="F32" s="112" t="s">
        <v>41</v>
      </c>
      <c r="G32" s="21">
        <v>20000</v>
      </c>
    </row>
    <row r="33" spans="1:7" ht="15" thickBot="1" x14ac:dyDescent="0.35">
      <c r="A33" s="87">
        <f t="shared" si="0"/>
        <v>31</v>
      </c>
      <c r="B33" s="35">
        <v>45562</v>
      </c>
      <c r="C33" s="10" t="s">
        <v>43</v>
      </c>
      <c r="D33" s="10" t="s">
        <v>47</v>
      </c>
      <c r="E33" s="9">
        <v>400</v>
      </c>
      <c r="F33" s="113" t="s">
        <v>41</v>
      </c>
      <c r="G33" s="114">
        <v>22000</v>
      </c>
    </row>
    <row r="34" spans="1:7" ht="21.6" thickBot="1" x14ac:dyDescent="0.45">
      <c r="A34" s="115"/>
      <c r="B34" s="110"/>
      <c r="C34" s="110"/>
      <c r="D34" s="110"/>
      <c r="E34" s="110"/>
      <c r="F34" s="110"/>
      <c r="G34" s="116">
        <f>SUM(G3:G33)</f>
        <v>562000</v>
      </c>
    </row>
    <row r="36" spans="1:7" ht="15" thickBot="1" x14ac:dyDescent="0.35"/>
    <row r="37" spans="1:7" ht="16.2" thickBot="1" x14ac:dyDescent="0.35">
      <c r="A37" s="117" t="s">
        <v>135</v>
      </c>
      <c r="B37" s="118" t="s">
        <v>139</v>
      </c>
      <c r="C37" s="126" t="s">
        <v>140</v>
      </c>
      <c r="D37" s="128" t="s">
        <v>138</v>
      </c>
      <c r="E37" s="128" t="s">
        <v>127</v>
      </c>
      <c r="F37" s="132" t="s">
        <v>99</v>
      </c>
    </row>
    <row r="38" spans="1:7" ht="15.6" x14ac:dyDescent="0.3">
      <c r="A38" s="122">
        <v>1</v>
      </c>
      <c r="B38" s="123" t="s">
        <v>95</v>
      </c>
      <c r="C38" s="124">
        <v>3000</v>
      </c>
      <c r="D38" s="129" t="s">
        <v>32</v>
      </c>
      <c r="E38" s="131">
        <v>48000</v>
      </c>
      <c r="F38" s="133">
        <v>1</v>
      </c>
    </row>
    <row r="39" spans="1:7" ht="15.6" x14ac:dyDescent="0.3">
      <c r="A39" s="125">
        <v>2</v>
      </c>
      <c r="B39" s="123" t="s">
        <v>44</v>
      </c>
      <c r="C39" s="108">
        <v>5600</v>
      </c>
      <c r="D39" s="130" t="s">
        <v>41</v>
      </c>
      <c r="E39" s="131">
        <v>168000</v>
      </c>
      <c r="F39" s="133">
        <v>14</v>
      </c>
    </row>
    <row r="40" spans="1:7" ht="15.6" x14ac:dyDescent="0.3">
      <c r="A40" s="125">
        <v>3</v>
      </c>
      <c r="B40" s="123" t="s">
        <v>47</v>
      </c>
      <c r="C40" s="108">
        <v>5200</v>
      </c>
      <c r="D40" s="130" t="s">
        <v>41</v>
      </c>
      <c r="E40" s="131">
        <v>286000</v>
      </c>
      <c r="F40" s="133">
        <v>13</v>
      </c>
    </row>
    <row r="41" spans="1:7" ht="15.6" x14ac:dyDescent="0.3">
      <c r="A41" s="125">
        <v>4</v>
      </c>
      <c r="B41" s="123" t="s">
        <v>49</v>
      </c>
      <c r="C41" s="108">
        <v>1200</v>
      </c>
      <c r="D41" s="130" t="s">
        <v>41</v>
      </c>
      <c r="E41" s="131">
        <v>60000</v>
      </c>
      <c r="F41" s="133">
        <v>3</v>
      </c>
    </row>
    <row r="42" spans="1:7" ht="16.2" thickBot="1" x14ac:dyDescent="0.35">
      <c r="A42" s="109"/>
      <c r="B42" s="121"/>
      <c r="C42" s="120"/>
      <c r="D42" s="127"/>
      <c r="E42" s="134">
        <f>SUM(E38:E41)</f>
        <v>562000</v>
      </c>
      <c r="F42" s="135">
        <f>SUM(F38:F41)</f>
        <v>31</v>
      </c>
    </row>
  </sheetData>
  <mergeCells count="1">
    <mergeCell ref="A1:G1"/>
  </mergeCells>
  <pageMargins left="0.7" right="0.7" top="0.75" bottom="0.75" header="0.3" footer="0.3"/>
  <pageSetup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5"/>
  <sheetViews>
    <sheetView topLeftCell="A85" workbookViewId="0">
      <selection activeCell="G113" sqref="G113"/>
    </sheetView>
  </sheetViews>
  <sheetFormatPr defaultColWidth="9.109375" defaultRowHeight="14.4" x14ac:dyDescent="0.3"/>
  <cols>
    <col min="2" max="2" width="10.44140625" bestFit="1" customWidth="1"/>
    <col min="3" max="3" width="22.44140625" bestFit="1" customWidth="1"/>
    <col min="4" max="4" width="11.88671875" bestFit="1" customWidth="1"/>
    <col min="5" max="5" width="6.33203125" bestFit="1" customWidth="1"/>
    <col min="7" max="7" width="15.44140625" bestFit="1" customWidth="1"/>
    <col min="8" max="8" width="16.88671875" bestFit="1" customWidth="1"/>
    <col min="9" max="9" width="11.5546875" bestFit="1" customWidth="1"/>
    <col min="10" max="10" width="52.44140625" bestFit="1" customWidth="1"/>
    <col min="11" max="11" width="14" customWidth="1"/>
    <col min="12" max="12" width="10.44140625" customWidth="1"/>
    <col min="13" max="13" width="25.6640625" bestFit="1" customWidth="1"/>
    <col min="14" max="14" width="7.88671875" bestFit="1" customWidth="1"/>
    <col min="15" max="15" width="10.88671875" customWidth="1"/>
    <col min="16" max="16" width="10.6640625" bestFit="1" customWidth="1"/>
  </cols>
  <sheetData>
    <row r="1" spans="1:15" ht="17.399999999999999" x14ac:dyDescent="0.45">
      <c r="A1" s="533" t="s">
        <v>97</v>
      </c>
      <c r="B1" s="534"/>
      <c r="C1" s="534"/>
      <c r="D1" s="534"/>
      <c r="E1" s="534"/>
      <c r="F1" s="534"/>
      <c r="G1" s="534"/>
      <c r="H1" s="534"/>
    </row>
    <row r="2" spans="1:15" ht="16.2" x14ac:dyDescent="0.4">
      <c r="A2" s="139" t="s">
        <v>166</v>
      </c>
      <c r="B2" s="139" t="s">
        <v>2</v>
      </c>
      <c r="C2" s="139" t="s">
        <v>136</v>
      </c>
      <c r="D2" s="139" t="s">
        <v>137</v>
      </c>
      <c r="E2" s="139" t="s">
        <v>6</v>
      </c>
      <c r="F2" s="140" t="s">
        <v>138</v>
      </c>
      <c r="G2" s="139" t="s">
        <v>126</v>
      </c>
      <c r="H2" s="139" t="s">
        <v>125</v>
      </c>
    </row>
    <row r="3" spans="1:15" ht="18" thickBot="1" x14ac:dyDescent="0.5">
      <c r="A3" s="14">
        <v>1</v>
      </c>
      <c r="B3" s="91" t="s">
        <v>85</v>
      </c>
      <c r="C3" s="16" t="s">
        <v>43</v>
      </c>
      <c r="D3" s="16" t="s">
        <v>44</v>
      </c>
      <c r="E3" s="17">
        <v>400</v>
      </c>
      <c r="F3" s="111" t="s">
        <v>41</v>
      </c>
      <c r="G3" s="3">
        <v>30</v>
      </c>
      <c r="H3" s="3">
        <f>E3*G3</f>
        <v>12000</v>
      </c>
      <c r="J3" s="530" t="s">
        <v>101</v>
      </c>
      <c r="K3" s="531"/>
      <c r="L3" s="531"/>
      <c r="M3" s="531"/>
      <c r="N3" s="531"/>
      <c r="O3" s="532"/>
    </row>
    <row r="4" spans="1:15" ht="18" x14ac:dyDescent="0.35">
      <c r="A4" s="1">
        <f t="shared" ref="A4:A48" si="0">A3+1</f>
        <v>2</v>
      </c>
      <c r="B4" s="13" t="s">
        <v>86</v>
      </c>
      <c r="C4" s="3" t="s">
        <v>43</v>
      </c>
      <c r="D4" s="3" t="s">
        <v>44</v>
      </c>
      <c r="E4" s="4">
        <v>400</v>
      </c>
      <c r="F4" s="112" t="s">
        <v>41</v>
      </c>
      <c r="G4" s="3">
        <v>30</v>
      </c>
      <c r="H4" s="3">
        <f>E4*G4</f>
        <v>12000</v>
      </c>
      <c r="J4" s="99" t="s">
        <v>98</v>
      </c>
      <c r="K4" s="100" t="s">
        <v>44</v>
      </c>
      <c r="L4" s="100">
        <v>5600</v>
      </c>
      <c r="M4" s="100" t="s">
        <v>41</v>
      </c>
      <c r="N4" s="100">
        <f>5600/400</f>
        <v>14</v>
      </c>
      <c r="O4" s="101" t="s">
        <v>99</v>
      </c>
    </row>
    <row r="5" spans="1:15" ht="18" x14ac:dyDescent="0.35">
      <c r="A5" s="1">
        <f t="shared" si="0"/>
        <v>3</v>
      </c>
      <c r="B5" s="13" t="s">
        <v>87</v>
      </c>
      <c r="C5" s="3" t="s">
        <v>43</v>
      </c>
      <c r="D5" s="3" t="s">
        <v>47</v>
      </c>
      <c r="E5" s="4">
        <v>400</v>
      </c>
      <c r="F5" s="112" t="s">
        <v>41</v>
      </c>
      <c r="G5" s="3">
        <v>55</v>
      </c>
      <c r="H5" s="3">
        <f>E5*G5</f>
        <v>22000</v>
      </c>
      <c r="J5" s="102" t="s">
        <v>98</v>
      </c>
      <c r="K5" s="103" t="s">
        <v>47</v>
      </c>
      <c r="L5" s="103">
        <v>5200</v>
      </c>
      <c r="M5" s="103" t="s">
        <v>41</v>
      </c>
      <c r="N5" s="103">
        <f>L5/400</f>
        <v>13</v>
      </c>
      <c r="O5" s="104" t="s">
        <v>99</v>
      </c>
    </row>
    <row r="6" spans="1:15" ht="18" x14ac:dyDescent="0.35">
      <c r="A6" s="1">
        <f t="shared" si="0"/>
        <v>4</v>
      </c>
      <c r="B6" s="13" t="s">
        <v>87</v>
      </c>
      <c r="C6" s="3" t="s">
        <v>43</v>
      </c>
      <c r="D6" s="3" t="s">
        <v>47</v>
      </c>
      <c r="E6" s="4">
        <v>400</v>
      </c>
      <c r="F6" s="112" t="s">
        <v>41</v>
      </c>
      <c r="G6" s="3">
        <v>55</v>
      </c>
      <c r="H6" s="3">
        <f t="shared" ref="H6:H8" si="1">E6*G6</f>
        <v>22000</v>
      </c>
      <c r="J6" s="102" t="s">
        <v>98</v>
      </c>
      <c r="K6" s="103" t="s">
        <v>49</v>
      </c>
      <c r="L6" s="103">
        <v>1200</v>
      </c>
      <c r="M6" s="103" t="s">
        <v>41</v>
      </c>
      <c r="N6" s="103">
        <v>3</v>
      </c>
      <c r="O6" s="104" t="s">
        <v>99</v>
      </c>
    </row>
    <row r="7" spans="1:15" ht="18.600000000000001" thickBot="1" x14ac:dyDescent="0.4">
      <c r="A7" s="1">
        <f t="shared" si="0"/>
        <v>5</v>
      </c>
      <c r="B7" s="13" t="s">
        <v>87</v>
      </c>
      <c r="C7" s="3" t="s">
        <v>43</v>
      </c>
      <c r="D7" s="3" t="s">
        <v>47</v>
      </c>
      <c r="E7" s="4">
        <v>400</v>
      </c>
      <c r="F7" s="112" t="s">
        <v>41</v>
      </c>
      <c r="G7" s="3">
        <v>55</v>
      </c>
      <c r="H7" s="3">
        <f t="shared" si="1"/>
        <v>22000</v>
      </c>
      <c r="J7" s="105" t="s">
        <v>98</v>
      </c>
      <c r="K7" s="106" t="s">
        <v>95</v>
      </c>
      <c r="L7" s="106">
        <v>3000</v>
      </c>
      <c r="M7" s="106" t="s">
        <v>32</v>
      </c>
      <c r="N7" s="106">
        <v>1</v>
      </c>
      <c r="O7" s="107" t="s">
        <v>99</v>
      </c>
    </row>
    <row r="8" spans="1:15" x14ac:dyDescent="0.3">
      <c r="A8" s="1">
        <f t="shared" si="0"/>
        <v>6</v>
      </c>
      <c r="B8" s="13" t="s">
        <v>87</v>
      </c>
      <c r="C8" s="3" t="s">
        <v>43</v>
      </c>
      <c r="D8" s="3" t="s">
        <v>47</v>
      </c>
      <c r="E8" s="4">
        <v>400</v>
      </c>
      <c r="F8" s="112" t="s">
        <v>41</v>
      </c>
      <c r="G8" s="3">
        <v>55</v>
      </c>
      <c r="H8" s="3">
        <f t="shared" si="1"/>
        <v>22000</v>
      </c>
    </row>
    <row r="9" spans="1:15" x14ac:dyDescent="0.3">
      <c r="A9" s="1">
        <f t="shared" si="0"/>
        <v>7</v>
      </c>
      <c r="B9" s="13" t="s">
        <v>87</v>
      </c>
      <c r="C9" s="3" t="s">
        <v>43</v>
      </c>
      <c r="D9" s="3" t="s">
        <v>44</v>
      </c>
      <c r="E9" s="4">
        <v>400</v>
      </c>
      <c r="F9" s="112" t="s">
        <v>41</v>
      </c>
      <c r="G9" s="3">
        <v>30</v>
      </c>
      <c r="H9" s="3">
        <f>E9*G9</f>
        <v>12000</v>
      </c>
    </row>
    <row r="10" spans="1:15" x14ac:dyDescent="0.3">
      <c r="A10" s="1">
        <f t="shared" si="0"/>
        <v>8</v>
      </c>
      <c r="B10" s="13" t="s">
        <v>88</v>
      </c>
      <c r="C10" s="3" t="s">
        <v>43</v>
      </c>
      <c r="D10" s="3" t="s">
        <v>47</v>
      </c>
      <c r="E10" s="4">
        <v>400</v>
      </c>
      <c r="F10" s="112" t="s">
        <v>41</v>
      </c>
      <c r="G10" s="3">
        <v>55</v>
      </c>
      <c r="H10" s="3">
        <f t="shared" ref="H10:H11" si="2">E10*G10</f>
        <v>22000</v>
      </c>
    </row>
    <row r="11" spans="1:15" x14ac:dyDescent="0.3">
      <c r="A11" s="1">
        <f t="shared" si="0"/>
        <v>9</v>
      </c>
      <c r="B11" s="13" t="s">
        <v>88</v>
      </c>
      <c r="C11" s="3" t="s">
        <v>43</v>
      </c>
      <c r="D11" s="3" t="s">
        <v>47</v>
      </c>
      <c r="E11" s="4">
        <v>400</v>
      </c>
      <c r="F11" s="112" t="s">
        <v>41</v>
      </c>
      <c r="G11" s="3">
        <v>55</v>
      </c>
      <c r="H11" s="3">
        <f t="shared" si="2"/>
        <v>22000</v>
      </c>
    </row>
    <row r="12" spans="1:15" x14ac:dyDescent="0.3">
      <c r="A12" s="1">
        <f t="shared" si="0"/>
        <v>10</v>
      </c>
      <c r="B12" s="13" t="s">
        <v>88</v>
      </c>
      <c r="C12" s="3" t="s">
        <v>43</v>
      </c>
      <c r="D12" s="3" t="s">
        <v>44</v>
      </c>
      <c r="E12" s="4">
        <v>400</v>
      </c>
      <c r="F12" s="112" t="s">
        <v>41</v>
      </c>
      <c r="G12" s="3">
        <v>30</v>
      </c>
      <c r="H12" s="3">
        <f t="shared" ref="H12:H15" si="3">E12*G12</f>
        <v>12000</v>
      </c>
    </row>
    <row r="13" spans="1:15" x14ac:dyDescent="0.3">
      <c r="A13" s="1">
        <f t="shared" si="0"/>
        <v>11</v>
      </c>
      <c r="B13" s="20" t="s">
        <v>89</v>
      </c>
      <c r="C13" s="3" t="s">
        <v>43</v>
      </c>
      <c r="D13" s="3" t="s">
        <v>44</v>
      </c>
      <c r="E13" s="4">
        <v>400</v>
      </c>
      <c r="F13" s="112" t="s">
        <v>41</v>
      </c>
      <c r="G13" s="3">
        <v>30</v>
      </c>
      <c r="H13" s="3">
        <f t="shared" si="3"/>
        <v>12000</v>
      </c>
    </row>
    <row r="14" spans="1:15" x14ac:dyDescent="0.3">
      <c r="A14" s="153">
        <f t="shared" si="0"/>
        <v>12</v>
      </c>
      <c r="B14" s="96" t="s">
        <v>90</v>
      </c>
      <c r="C14" s="97" t="s">
        <v>43</v>
      </c>
      <c r="D14" s="97" t="s">
        <v>44</v>
      </c>
      <c r="E14" s="98">
        <v>400</v>
      </c>
      <c r="F14" s="138" t="s">
        <v>41</v>
      </c>
      <c r="G14" s="3">
        <v>30</v>
      </c>
      <c r="H14" s="3">
        <f t="shared" si="3"/>
        <v>12000</v>
      </c>
    </row>
    <row r="15" spans="1:15" x14ac:dyDescent="0.3">
      <c r="A15" s="153">
        <f t="shared" si="0"/>
        <v>13</v>
      </c>
      <c r="B15" s="97" t="s">
        <v>91</v>
      </c>
      <c r="C15" s="97" t="s">
        <v>43</v>
      </c>
      <c r="D15" s="97" t="s">
        <v>44</v>
      </c>
      <c r="E15" s="98">
        <v>400</v>
      </c>
      <c r="F15" s="138" t="s">
        <v>41</v>
      </c>
      <c r="G15" s="3">
        <v>30</v>
      </c>
      <c r="H15" s="3">
        <f t="shared" si="3"/>
        <v>12000</v>
      </c>
      <c r="J15" t="s">
        <v>100</v>
      </c>
    </row>
    <row r="16" spans="1:15" x14ac:dyDescent="0.3">
      <c r="A16" s="1">
        <f t="shared" si="0"/>
        <v>14</v>
      </c>
      <c r="B16" s="3" t="s">
        <v>91</v>
      </c>
      <c r="C16" s="3" t="s">
        <v>43</v>
      </c>
      <c r="D16" s="3" t="s">
        <v>95</v>
      </c>
      <c r="E16" s="4">
        <v>3000</v>
      </c>
      <c r="F16" s="112" t="s">
        <v>32</v>
      </c>
      <c r="G16" s="3"/>
      <c r="H16" s="3"/>
    </row>
    <row r="17" spans="1:14" x14ac:dyDescent="0.3">
      <c r="A17" s="1">
        <f t="shared" si="0"/>
        <v>15</v>
      </c>
      <c r="B17" s="13" t="s">
        <v>92</v>
      </c>
      <c r="C17" s="3" t="s">
        <v>43</v>
      </c>
      <c r="D17" s="3" t="s">
        <v>49</v>
      </c>
      <c r="E17" s="4">
        <v>400</v>
      </c>
      <c r="F17" s="112" t="s">
        <v>41</v>
      </c>
      <c r="G17" s="3">
        <v>50</v>
      </c>
      <c r="H17" s="3">
        <f>E17*G17</f>
        <v>20000</v>
      </c>
    </row>
    <row r="18" spans="1:14" x14ac:dyDescent="0.3">
      <c r="A18" s="1">
        <f t="shared" si="0"/>
        <v>16</v>
      </c>
      <c r="B18" s="13" t="s">
        <v>93</v>
      </c>
      <c r="C18" s="3" t="s">
        <v>43</v>
      </c>
      <c r="D18" s="3" t="s">
        <v>44</v>
      </c>
      <c r="E18" s="4">
        <v>400</v>
      </c>
      <c r="F18" s="112" t="s">
        <v>41</v>
      </c>
      <c r="G18" s="3">
        <v>30</v>
      </c>
      <c r="H18" s="3">
        <f>E18*G18</f>
        <v>12000</v>
      </c>
    </row>
    <row r="19" spans="1:14" x14ac:dyDescent="0.3">
      <c r="A19" s="1">
        <f t="shared" si="0"/>
        <v>17</v>
      </c>
      <c r="B19" s="13" t="s">
        <v>93</v>
      </c>
      <c r="C19" s="3" t="s">
        <v>43</v>
      </c>
      <c r="D19" s="3" t="s">
        <v>47</v>
      </c>
      <c r="E19" s="4">
        <v>400</v>
      </c>
      <c r="F19" s="112" t="s">
        <v>41</v>
      </c>
      <c r="G19" s="3">
        <v>55</v>
      </c>
      <c r="H19" s="3">
        <f>E19*G19</f>
        <v>22000</v>
      </c>
    </row>
    <row r="20" spans="1:14" ht="15" thickBot="1" x14ac:dyDescent="0.35">
      <c r="A20" s="1">
        <f t="shared" si="0"/>
        <v>18</v>
      </c>
      <c r="B20" s="13" t="s">
        <v>94</v>
      </c>
      <c r="C20" s="3" t="s">
        <v>43</v>
      </c>
      <c r="D20" s="3" t="s">
        <v>44</v>
      </c>
      <c r="E20" s="4">
        <v>400</v>
      </c>
      <c r="F20" s="112" t="s">
        <v>41</v>
      </c>
      <c r="G20" s="3">
        <v>30</v>
      </c>
      <c r="H20" s="3">
        <f>E20*G20</f>
        <v>12000</v>
      </c>
    </row>
    <row r="21" spans="1:14" ht="16.5" customHeight="1" thickBot="1" x14ac:dyDescent="0.5">
      <c r="A21" s="1">
        <f t="shared" si="0"/>
        <v>19</v>
      </c>
      <c r="B21" s="13" t="s">
        <v>94</v>
      </c>
      <c r="C21" s="3" t="s">
        <v>43</v>
      </c>
      <c r="D21" s="3" t="s">
        <v>47</v>
      </c>
      <c r="E21" s="4">
        <v>400</v>
      </c>
      <c r="F21" s="112" t="s">
        <v>41</v>
      </c>
      <c r="G21" s="3">
        <v>55</v>
      </c>
      <c r="H21" s="3">
        <f t="shared" ref="H21:H23" si="4">E21*G21</f>
        <v>22000</v>
      </c>
      <c r="J21" s="542" t="s">
        <v>194</v>
      </c>
      <c r="K21" s="543"/>
      <c r="M21" s="544" t="s">
        <v>204</v>
      </c>
      <c r="N21" s="545"/>
    </row>
    <row r="22" spans="1:14" x14ac:dyDescent="0.3">
      <c r="A22" s="1">
        <f t="shared" si="0"/>
        <v>20</v>
      </c>
      <c r="B22" s="13" t="s">
        <v>96</v>
      </c>
      <c r="C22" s="3" t="s">
        <v>43</v>
      </c>
      <c r="D22" s="3" t="s">
        <v>47</v>
      </c>
      <c r="E22" s="4">
        <v>400</v>
      </c>
      <c r="F22" s="112" t="s">
        <v>41</v>
      </c>
      <c r="G22" s="3">
        <v>55</v>
      </c>
      <c r="H22" s="3">
        <f t="shared" si="4"/>
        <v>22000</v>
      </c>
      <c r="J22" s="183"/>
      <c r="K22" s="184" t="s">
        <v>192</v>
      </c>
      <c r="M22" s="88" t="s">
        <v>195</v>
      </c>
      <c r="N22" s="92">
        <v>90000</v>
      </c>
    </row>
    <row r="23" spans="1:14" x14ac:dyDescent="0.3">
      <c r="A23" s="1">
        <f t="shared" si="0"/>
        <v>21</v>
      </c>
      <c r="B23" s="13" t="s">
        <v>96</v>
      </c>
      <c r="C23" s="3" t="s">
        <v>43</v>
      </c>
      <c r="D23" s="3" t="s">
        <v>47</v>
      </c>
      <c r="E23" s="4">
        <v>400</v>
      </c>
      <c r="F23" s="112" t="s">
        <v>41</v>
      </c>
      <c r="G23" s="3">
        <v>55</v>
      </c>
      <c r="H23" s="3">
        <f t="shared" si="4"/>
        <v>22000</v>
      </c>
      <c r="J23" s="541" t="s">
        <v>193</v>
      </c>
      <c r="K23" s="21">
        <v>60000</v>
      </c>
      <c r="M23" s="39" t="s">
        <v>196</v>
      </c>
      <c r="N23" s="21">
        <v>200000</v>
      </c>
    </row>
    <row r="24" spans="1:14" ht="15.6" x14ac:dyDescent="0.3">
      <c r="A24" s="1">
        <f t="shared" si="0"/>
        <v>22</v>
      </c>
      <c r="B24" s="2">
        <v>45555</v>
      </c>
      <c r="C24" s="3" t="s">
        <v>43</v>
      </c>
      <c r="D24" s="3" t="s">
        <v>44</v>
      </c>
      <c r="E24" s="4">
        <v>400</v>
      </c>
      <c r="F24" s="112" t="s">
        <v>41</v>
      </c>
      <c r="G24" s="3">
        <v>30</v>
      </c>
      <c r="H24" s="3">
        <f t="shared" ref="H24:H28" si="5">E24*G24</f>
        <v>12000</v>
      </c>
      <c r="J24" s="541"/>
      <c r="K24" s="21">
        <v>40000</v>
      </c>
      <c r="M24" s="185" t="s">
        <v>197</v>
      </c>
      <c r="N24" s="186">
        <f>N22+N23</f>
        <v>290000</v>
      </c>
    </row>
    <row r="25" spans="1:14" x14ac:dyDescent="0.3">
      <c r="A25" s="1">
        <f t="shared" si="0"/>
        <v>23</v>
      </c>
      <c r="B25" s="32">
        <v>45556</v>
      </c>
      <c r="C25" s="3" t="s">
        <v>43</v>
      </c>
      <c r="D25" s="3" t="s">
        <v>44</v>
      </c>
      <c r="E25" s="4">
        <v>400</v>
      </c>
      <c r="F25" s="112" t="s">
        <v>41</v>
      </c>
      <c r="G25" s="3">
        <v>30</v>
      </c>
      <c r="H25" s="3">
        <f t="shared" si="5"/>
        <v>12000</v>
      </c>
      <c r="J25" s="541"/>
      <c r="K25" s="21">
        <v>50000</v>
      </c>
      <c r="M25" s="39"/>
      <c r="N25" s="21"/>
    </row>
    <row r="26" spans="1:14" x14ac:dyDescent="0.3">
      <c r="A26" s="1">
        <f t="shared" si="0"/>
        <v>24</v>
      </c>
      <c r="B26" s="32">
        <v>45556</v>
      </c>
      <c r="C26" s="3" t="s">
        <v>43</v>
      </c>
      <c r="D26" s="3" t="s">
        <v>44</v>
      </c>
      <c r="E26" s="4">
        <v>400</v>
      </c>
      <c r="F26" s="112" t="s">
        <v>41</v>
      </c>
      <c r="G26" s="3">
        <v>30</v>
      </c>
      <c r="H26" s="3">
        <f t="shared" si="5"/>
        <v>12000</v>
      </c>
      <c r="J26" s="541"/>
      <c r="K26" s="21">
        <v>200000</v>
      </c>
      <c r="M26" s="39" t="s">
        <v>199</v>
      </c>
      <c r="N26" s="21">
        <v>382000</v>
      </c>
    </row>
    <row r="27" spans="1:14" ht="15.6" x14ac:dyDescent="0.3">
      <c r="A27" s="1">
        <f t="shared" si="0"/>
        <v>25</v>
      </c>
      <c r="B27" s="8">
        <v>45558</v>
      </c>
      <c r="C27" s="3" t="s">
        <v>43</v>
      </c>
      <c r="D27" s="3" t="s">
        <v>47</v>
      </c>
      <c r="E27" s="4">
        <v>400</v>
      </c>
      <c r="F27" s="112" t="s">
        <v>41</v>
      </c>
      <c r="G27" s="3">
        <v>55</v>
      </c>
      <c r="H27" s="3">
        <f t="shared" si="5"/>
        <v>22000</v>
      </c>
      <c r="J27" s="185" t="s">
        <v>200</v>
      </c>
      <c r="K27" s="186">
        <f>SUM(K23:K26)</f>
        <v>350000</v>
      </c>
      <c r="M27" s="39" t="s">
        <v>203</v>
      </c>
      <c r="N27" s="21">
        <v>97000</v>
      </c>
    </row>
    <row r="28" spans="1:14" x14ac:dyDescent="0.3">
      <c r="A28" s="1">
        <f t="shared" si="0"/>
        <v>26</v>
      </c>
      <c r="B28" s="8">
        <v>45559</v>
      </c>
      <c r="C28" s="3" t="s">
        <v>43</v>
      </c>
      <c r="D28" s="3" t="s">
        <v>47</v>
      </c>
      <c r="E28" s="4">
        <v>400</v>
      </c>
      <c r="F28" s="112" t="s">
        <v>41</v>
      </c>
      <c r="G28" s="3">
        <v>55</v>
      </c>
      <c r="H28" s="3">
        <f t="shared" si="5"/>
        <v>22000</v>
      </c>
      <c r="J28" s="39"/>
      <c r="K28" s="21"/>
      <c r="M28" s="125" t="s">
        <v>181</v>
      </c>
      <c r="N28" s="154">
        <f>N26+N27</f>
        <v>479000</v>
      </c>
    </row>
    <row r="29" spans="1:14" ht="15.6" x14ac:dyDescent="0.3">
      <c r="A29" s="1">
        <f t="shared" si="0"/>
        <v>27</v>
      </c>
      <c r="B29" s="8">
        <v>45561</v>
      </c>
      <c r="C29" s="3" t="s">
        <v>43</v>
      </c>
      <c r="D29" s="3" t="s">
        <v>44</v>
      </c>
      <c r="E29" s="4">
        <v>400</v>
      </c>
      <c r="F29" s="112" t="s">
        <v>41</v>
      </c>
      <c r="G29" s="3">
        <v>30</v>
      </c>
      <c r="H29" s="3">
        <f t="shared" ref="H29:H32" si="6">E29*G29</f>
        <v>12000</v>
      </c>
      <c r="J29" s="39" t="s">
        <v>202</v>
      </c>
      <c r="K29" s="21">
        <v>447000</v>
      </c>
      <c r="M29" s="188" t="s">
        <v>198</v>
      </c>
      <c r="N29" s="189">
        <f>N28-N24</f>
        <v>189000</v>
      </c>
    </row>
    <row r="30" spans="1:14" x14ac:dyDescent="0.3">
      <c r="A30" s="1">
        <f t="shared" si="0"/>
        <v>28</v>
      </c>
      <c r="B30" s="8">
        <v>45561</v>
      </c>
      <c r="C30" s="3" t="s">
        <v>43</v>
      </c>
      <c r="D30" s="3" t="s">
        <v>44</v>
      </c>
      <c r="E30" s="4">
        <v>400</v>
      </c>
      <c r="F30" s="112" t="s">
        <v>41</v>
      </c>
      <c r="G30" s="3">
        <v>30</v>
      </c>
      <c r="H30" s="3">
        <f t="shared" si="6"/>
        <v>12000</v>
      </c>
      <c r="J30" s="39" t="s">
        <v>201</v>
      </c>
      <c r="K30" s="21">
        <f>K27</f>
        <v>350000</v>
      </c>
      <c r="M30" s="108" t="s">
        <v>205</v>
      </c>
      <c r="N30" s="108">
        <v>189000</v>
      </c>
    </row>
    <row r="31" spans="1:14" ht="15" thickBot="1" x14ac:dyDescent="0.35">
      <c r="A31" s="1">
        <f t="shared" si="0"/>
        <v>29</v>
      </c>
      <c r="B31" s="8">
        <v>45561</v>
      </c>
      <c r="C31" s="3" t="s">
        <v>43</v>
      </c>
      <c r="D31" s="3" t="s">
        <v>49</v>
      </c>
      <c r="E31" s="4">
        <v>400</v>
      </c>
      <c r="F31" s="112" t="s">
        <v>41</v>
      </c>
      <c r="G31" s="3">
        <v>50</v>
      </c>
      <c r="H31" s="3">
        <f t="shared" si="6"/>
        <v>20000</v>
      </c>
      <c r="J31" s="187" t="s">
        <v>181</v>
      </c>
      <c r="K31" s="157">
        <f>K29-K30</f>
        <v>97000</v>
      </c>
      <c r="M31" s="190" t="s">
        <v>206</v>
      </c>
      <c r="N31" s="190">
        <f>N29-N30</f>
        <v>0</v>
      </c>
    </row>
    <row r="32" spans="1:14" x14ac:dyDescent="0.3">
      <c r="A32" s="1">
        <f t="shared" si="0"/>
        <v>30</v>
      </c>
      <c r="B32" s="8">
        <v>45561</v>
      </c>
      <c r="C32" s="3" t="s">
        <v>43</v>
      </c>
      <c r="D32" s="3" t="s">
        <v>49</v>
      </c>
      <c r="E32" s="4">
        <v>400</v>
      </c>
      <c r="F32" s="112" t="s">
        <v>41</v>
      </c>
      <c r="G32" s="3">
        <v>50</v>
      </c>
      <c r="H32" s="3">
        <f t="shared" si="6"/>
        <v>20000</v>
      </c>
    </row>
    <row r="33" spans="1:15" x14ac:dyDescent="0.3">
      <c r="A33" s="137">
        <f t="shared" si="0"/>
        <v>31</v>
      </c>
      <c r="B33" s="8">
        <v>45562</v>
      </c>
      <c r="C33" s="3" t="s">
        <v>43</v>
      </c>
      <c r="D33" s="3" t="s">
        <v>47</v>
      </c>
      <c r="E33" s="4">
        <v>400</v>
      </c>
      <c r="F33" s="112" t="s">
        <v>41</v>
      </c>
      <c r="G33" s="3">
        <v>55</v>
      </c>
      <c r="H33" s="3">
        <f>E33*G33</f>
        <v>22000</v>
      </c>
      <c r="I33" s="195" t="s">
        <v>163</v>
      </c>
    </row>
    <row r="34" spans="1:15" x14ac:dyDescent="0.3">
      <c r="A34" s="3">
        <f t="shared" si="0"/>
        <v>32</v>
      </c>
      <c r="B34" s="26">
        <v>45567</v>
      </c>
      <c r="C34" s="16" t="s">
        <v>43</v>
      </c>
      <c r="D34" s="16" t="s">
        <v>47</v>
      </c>
      <c r="E34" s="17">
        <v>400</v>
      </c>
      <c r="F34" s="111" t="s">
        <v>41</v>
      </c>
      <c r="G34" s="16">
        <f>H34/E34</f>
        <v>55</v>
      </c>
      <c r="H34" s="16">
        <v>22000</v>
      </c>
    </row>
    <row r="35" spans="1:15" x14ac:dyDescent="0.3">
      <c r="A35" s="1">
        <f t="shared" si="0"/>
        <v>33</v>
      </c>
      <c r="B35" s="8">
        <v>45567</v>
      </c>
      <c r="C35" s="3" t="s">
        <v>43</v>
      </c>
      <c r="D35" s="3" t="s">
        <v>44</v>
      </c>
      <c r="E35" s="4">
        <v>400</v>
      </c>
      <c r="F35" s="112" t="s">
        <v>41</v>
      </c>
      <c r="G35" s="16">
        <f t="shared" ref="G35:G55" si="7">H35/E35</f>
        <v>30</v>
      </c>
      <c r="H35" s="3">
        <v>12000</v>
      </c>
    </row>
    <row r="36" spans="1:15" x14ac:dyDescent="0.3">
      <c r="A36" s="1">
        <f t="shared" si="0"/>
        <v>34</v>
      </c>
      <c r="B36" s="8">
        <v>45567</v>
      </c>
      <c r="C36" s="3" t="s">
        <v>43</v>
      </c>
      <c r="D36" s="3" t="s">
        <v>44</v>
      </c>
      <c r="E36" s="4">
        <v>400</v>
      </c>
      <c r="F36" s="112" t="s">
        <v>41</v>
      </c>
      <c r="G36" s="16">
        <f t="shared" si="7"/>
        <v>30</v>
      </c>
      <c r="H36" s="3">
        <v>12000</v>
      </c>
    </row>
    <row r="37" spans="1:15" ht="15" thickBot="1" x14ac:dyDescent="0.35">
      <c r="A37" s="1">
        <f t="shared" si="0"/>
        <v>35</v>
      </c>
      <c r="B37" s="8">
        <v>45567</v>
      </c>
      <c r="C37" s="3" t="s">
        <v>43</v>
      </c>
      <c r="D37" s="3" t="s">
        <v>47</v>
      </c>
      <c r="E37" s="4">
        <v>400</v>
      </c>
      <c r="F37" s="112" t="s">
        <v>41</v>
      </c>
      <c r="G37" s="16">
        <f t="shared" si="7"/>
        <v>55</v>
      </c>
      <c r="H37" s="3">
        <v>22000</v>
      </c>
    </row>
    <row r="38" spans="1:15" ht="18" thickBot="1" x14ac:dyDescent="0.5">
      <c r="A38" s="1">
        <f t="shared" si="0"/>
        <v>36</v>
      </c>
      <c r="B38" s="8">
        <v>45573</v>
      </c>
      <c r="C38" s="3" t="s">
        <v>43</v>
      </c>
      <c r="D38" s="3" t="s">
        <v>47</v>
      </c>
      <c r="E38" s="4">
        <v>400</v>
      </c>
      <c r="F38" s="112" t="s">
        <v>41</v>
      </c>
      <c r="G38" s="16">
        <f t="shared" si="7"/>
        <v>55</v>
      </c>
      <c r="H38" s="3">
        <v>22000</v>
      </c>
      <c r="J38" s="535" t="s">
        <v>191</v>
      </c>
      <c r="K38" s="536"/>
      <c r="L38" s="536"/>
      <c r="M38" s="536"/>
      <c r="N38" s="536"/>
      <c r="O38" s="537"/>
    </row>
    <row r="39" spans="1:15" ht="15.6" thickBot="1" x14ac:dyDescent="0.35">
      <c r="A39" s="1">
        <f t="shared" si="0"/>
        <v>37</v>
      </c>
      <c r="B39" s="8">
        <v>45573</v>
      </c>
      <c r="C39" s="3" t="s">
        <v>43</v>
      </c>
      <c r="D39" s="3" t="s">
        <v>47</v>
      </c>
      <c r="E39" s="4">
        <v>400</v>
      </c>
      <c r="F39" s="112" t="s">
        <v>41</v>
      </c>
      <c r="G39" s="16">
        <f t="shared" si="7"/>
        <v>55</v>
      </c>
      <c r="H39" s="3">
        <v>22000</v>
      </c>
      <c r="J39" s="180"/>
      <c r="K39" s="181" t="s">
        <v>137</v>
      </c>
      <c r="L39" s="181" t="s">
        <v>6</v>
      </c>
      <c r="M39" s="181" t="s">
        <v>7</v>
      </c>
      <c r="N39" s="181" t="s">
        <v>99</v>
      </c>
      <c r="O39" s="182" t="s">
        <v>126</v>
      </c>
    </row>
    <row r="40" spans="1:15" ht="18.600000000000001" thickBot="1" x14ac:dyDescent="0.4">
      <c r="A40" s="1">
        <f t="shared" si="0"/>
        <v>38</v>
      </c>
      <c r="B40" s="8">
        <v>45574</v>
      </c>
      <c r="C40" s="3" t="s">
        <v>43</v>
      </c>
      <c r="D40" s="3" t="s">
        <v>47</v>
      </c>
      <c r="E40" s="4">
        <v>400</v>
      </c>
      <c r="F40" s="112" t="s">
        <v>41</v>
      </c>
      <c r="G40" s="16">
        <f t="shared" si="7"/>
        <v>55</v>
      </c>
      <c r="H40" s="3">
        <v>22000</v>
      </c>
      <c r="J40" s="174" t="s">
        <v>98</v>
      </c>
      <c r="K40" s="175" t="s">
        <v>44</v>
      </c>
      <c r="L40" s="175">
        <v>4000</v>
      </c>
      <c r="M40" s="175" t="s">
        <v>41</v>
      </c>
      <c r="N40" s="175">
        <v>10</v>
      </c>
      <c r="O40" s="176">
        <f>N40*12000</f>
        <v>120000</v>
      </c>
    </row>
    <row r="41" spans="1:15" ht="18.600000000000001" thickBot="1" x14ac:dyDescent="0.4">
      <c r="A41" s="1">
        <f t="shared" si="0"/>
        <v>39</v>
      </c>
      <c r="B41" s="8">
        <v>45574</v>
      </c>
      <c r="C41" s="3" t="s">
        <v>43</v>
      </c>
      <c r="D41" s="3" t="s">
        <v>47</v>
      </c>
      <c r="E41" s="4">
        <v>400</v>
      </c>
      <c r="F41" s="112" t="s">
        <v>41</v>
      </c>
      <c r="G41" s="16">
        <f t="shared" si="7"/>
        <v>55</v>
      </c>
      <c r="H41" s="3">
        <v>22000</v>
      </c>
      <c r="J41" s="102" t="s">
        <v>98</v>
      </c>
      <c r="K41" s="103" t="s">
        <v>47</v>
      </c>
      <c r="L41" s="103">
        <v>4400</v>
      </c>
      <c r="M41" s="103" t="s">
        <v>41</v>
      </c>
      <c r="N41" s="100">
        <f t="shared" ref="N41:N43" si="8">L41/400</f>
        <v>11</v>
      </c>
      <c r="O41" s="154">
        <f>N41*22000</f>
        <v>242000</v>
      </c>
    </row>
    <row r="42" spans="1:15" ht="18.600000000000001" thickBot="1" x14ac:dyDescent="0.4">
      <c r="A42" s="1">
        <f t="shared" si="0"/>
        <v>40</v>
      </c>
      <c r="B42" s="8">
        <v>45574</v>
      </c>
      <c r="C42" s="3" t="s">
        <v>43</v>
      </c>
      <c r="D42" s="3" t="s">
        <v>47</v>
      </c>
      <c r="E42" s="4">
        <v>400</v>
      </c>
      <c r="F42" s="112" t="s">
        <v>41</v>
      </c>
      <c r="G42" s="16">
        <f t="shared" si="7"/>
        <v>55</v>
      </c>
      <c r="H42" s="3">
        <v>22000</v>
      </c>
      <c r="J42" s="102" t="s">
        <v>98</v>
      </c>
      <c r="K42" s="103" t="s">
        <v>49</v>
      </c>
      <c r="L42" s="103">
        <v>400</v>
      </c>
      <c r="M42" s="103" t="s">
        <v>41</v>
      </c>
      <c r="N42" s="100">
        <f t="shared" si="8"/>
        <v>1</v>
      </c>
      <c r="O42" s="154">
        <f>N42*20000</f>
        <v>20000</v>
      </c>
    </row>
    <row r="43" spans="1:15" ht="18.600000000000001" thickBot="1" x14ac:dyDescent="0.4">
      <c r="A43" s="1">
        <f t="shared" si="0"/>
        <v>41</v>
      </c>
      <c r="B43" s="8">
        <v>45574</v>
      </c>
      <c r="C43" s="3" t="s">
        <v>43</v>
      </c>
      <c r="D43" s="3" t="s">
        <v>44</v>
      </c>
      <c r="E43" s="4">
        <v>400</v>
      </c>
      <c r="F43" s="112" t="s">
        <v>41</v>
      </c>
      <c r="G43" s="16">
        <f t="shared" si="7"/>
        <v>30</v>
      </c>
      <c r="H43" s="3">
        <v>12000</v>
      </c>
      <c r="J43" s="105" t="s">
        <v>98</v>
      </c>
      <c r="K43" s="106" t="s">
        <v>95</v>
      </c>
      <c r="L43" s="106">
        <v>0</v>
      </c>
      <c r="M43" s="106" t="s">
        <v>32</v>
      </c>
      <c r="N43" s="156">
        <f t="shared" si="8"/>
        <v>0</v>
      </c>
      <c r="O43" s="157"/>
    </row>
    <row r="44" spans="1:15" ht="19.2" thickBot="1" x14ac:dyDescent="0.5">
      <c r="A44" s="1">
        <f t="shared" si="0"/>
        <v>42</v>
      </c>
      <c r="B44" s="8">
        <v>45574</v>
      </c>
      <c r="C44" s="3" t="s">
        <v>43</v>
      </c>
      <c r="D44" s="3" t="s">
        <v>44</v>
      </c>
      <c r="E44" s="4">
        <v>400</v>
      </c>
      <c r="F44" s="112" t="s">
        <v>41</v>
      </c>
      <c r="G44" s="16">
        <f t="shared" si="7"/>
        <v>30</v>
      </c>
      <c r="H44" s="3">
        <v>12000</v>
      </c>
      <c r="J44" s="147"/>
      <c r="K44" s="148"/>
      <c r="L44" s="148"/>
      <c r="M44" s="148"/>
      <c r="N44" s="148"/>
      <c r="O44" s="155">
        <f>O40+O41+O42</f>
        <v>382000</v>
      </c>
    </row>
    <row r="45" spans="1:15" ht="15" thickBot="1" x14ac:dyDescent="0.35">
      <c r="A45" s="1">
        <f t="shared" si="0"/>
        <v>43</v>
      </c>
      <c r="B45" s="8">
        <v>45574</v>
      </c>
      <c r="C45" s="3" t="s">
        <v>43</v>
      </c>
      <c r="D45" s="3" t="s">
        <v>44</v>
      </c>
      <c r="E45" s="4">
        <v>400</v>
      </c>
      <c r="F45" s="112" t="s">
        <v>41</v>
      </c>
      <c r="G45" s="16">
        <f t="shared" si="7"/>
        <v>30</v>
      </c>
      <c r="H45" s="3">
        <v>12000</v>
      </c>
    </row>
    <row r="46" spans="1:15" ht="15" thickBot="1" x14ac:dyDescent="0.35">
      <c r="A46" s="1">
        <f t="shared" si="0"/>
        <v>44</v>
      </c>
      <c r="B46" s="8">
        <v>45574</v>
      </c>
      <c r="C46" s="3" t="s">
        <v>43</v>
      </c>
      <c r="D46" s="3" t="s">
        <v>44</v>
      </c>
      <c r="E46" s="4">
        <v>400</v>
      </c>
      <c r="F46" s="112" t="s">
        <v>41</v>
      </c>
      <c r="G46" s="16">
        <f t="shared" si="7"/>
        <v>30</v>
      </c>
      <c r="H46" s="3">
        <v>12000</v>
      </c>
      <c r="J46" s="178" t="s">
        <v>187</v>
      </c>
      <c r="K46" s="86">
        <v>447000</v>
      </c>
    </row>
    <row r="47" spans="1:15" ht="15" thickBot="1" x14ac:dyDescent="0.35">
      <c r="A47" s="1">
        <f t="shared" si="0"/>
        <v>45</v>
      </c>
      <c r="B47" s="8">
        <v>45574</v>
      </c>
      <c r="C47" s="3" t="s">
        <v>43</v>
      </c>
      <c r="D47" s="3" t="s">
        <v>44</v>
      </c>
      <c r="E47" s="4">
        <v>400</v>
      </c>
      <c r="F47" s="112" t="s">
        <v>41</v>
      </c>
      <c r="G47" s="16">
        <f t="shared" si="7"/>
        <v>30</v>
      </c>
      <c r="H47" s="3">
        <v>12000</v>
      </c>
      <c r="J47" s="178" t="s">
        <v>190</v>
      </c>
      <c r="K47" s="86">
        <v>382000</v>
      </c>
    </row>
    <row r="48" spans="1:15" ht="15" thickBot="1" x14ac:dyDescent="0.35">
      <c r="A48" s="1">
        <f t="shared" si="0"/>
        <v>46</v>
      </c>
      <c r="B48" s="8">
        <v>45584</v>
      </c>
      <c r="C48" s="3" t="s">
        <v>43</v>
      </c>
      <c r="D48" s="3" t="s">
        <v>47</v>
      </c>
      <c r="E48" s="4">
        <v>400</v>
      </c>
      <c r="F48" s="112" t="s">
        <v>41</v>
      </c>
      <c r="G48" s="16">
        <f t="shared" si="7"/>
        <v>55</v>
      </c>
      <c r="H48" s="3">
        <v>22000</v>
      </c>
      <c r="J48" s="178" t="s">
        <v>188</v>
      </c>
      <c r="K48" s="173">
        <f>K46+K47</f>
        <v>829000</v>
      </c>
    </row>
    <row r="49" spans="1:11" ht="15" thickBot="1" x14ac:dyDescent="0.35">
      <c r="A49" s="1">
        <f t="shared" ref="A49:A50" si="9">A48+1</f>
        <v>47</v>
      </c>
      <c r="B49" s="8">
        <v>45584</v>
      </c>
      <c r="C49" s="3" t="s">
        <v>43</v>
      </c>
      <c r="D49" s="3" t="s">
        <v>47</v>
      </c>
      <c r="E49" s="4">
        <v>400</v>
      </c>
      <c r="F49" s="112" t="s">
        <v>41</v>
      </c>
      <c r="G49" s="16">
        <f t="shared" si="7"/>
        <v>55</v>
      </c>
      <c r="H49" s="3">
        <v>22000</v>
      </c>
      <c r="J49" s="177" t="s">
        <v>189</v>
      </c>
      <c r="K49" s="173">
        <v>640000</v>
      </c>
    </row>
    <row r="50" spans="1:11" ht="16.2" thickBot="1" x14ac:dyDescent="0.35">
      <c r="A50" s="1">
        <f t="shared" si="9"/>
        <v>48</v>
      </c>
      <c r="B50" s="8">
        <v>45588</v>
      </c>
      <c r="C50" s="3" t="s">
        <v>43</v>
      </c>
      <c r="D50" s="3" t="s">
        <v>44</v>
      </c>
      <c r="E50" s="4">
        <v>400</v>
      </c>
      <c r="F50" s="112" t="s">
        <v>41</v>
      </c>
      <c r="G50" s="16">
        <f t="shared" si="7"/>
        <v>30</v>
      </c>
      <c r="H50" s="3">
        <v>12000</v>
      </c>
      <c r="J50" s="178" t="s">
        <v>188</v>
      </c>
      <c r="K50" s="179">
        <f>K48-K49</f>
        <v>189000</v>
      </c>
    </row>
    <row r="51" spans="1:11" ht="15" thickBot="1" x14ac:dyDescent="0.35">
      <c r="A51" s="1">
        <f>A50+1</f>
        <v>49</v>
      </c>
      <c r="B51" s="8" t="s">
        <v>164</v>
      </c>
      <c r="C51" s="3" t="s">
        <v>43</v>
      </c>
      <c r="D51" s="3" t="s">
        <v>49</v>
      </c>
      <c r="E51" s="4">
        <v>400</v>
      </c>
      <c r="F51" s="112" t="s">
        <v>41</v>
      </c>
      <c r="G51" s="3">
        <v>50</v>
      </c>
      <c r="H51" s="3">
        <v>20000</v>
      </c>
      <c r="J51" s="191" t="s">
        <v>207</v>
      </c>
      <c r="K51" s="86">
        <v>189000</v>
      </c>
    </row>
    <row r="52" spans="1:11" ht="21.6" thickBot="1" x14ac:dyDescent="0.45">
      <c r="A52" s="1">
        <f>A51+1</f>
        <v>50</v>
      </c>
      <c r="B52" s="228" t="s">
        <v>165</v>
      </c>
      <c r="C52" s="3" t="s">
        <v>43</v>
      </c>
      <c r="D52" s="3" t="s">
        <v>47</v>
      </c>
      <c r="E52" s="4">
        <v>400</v>
      </c>
      <c r="F52" s="112" t="s">
        <v>41</v>
      </c>
      <c r="G52" s="16">
        <f t="shared" si="7"/>
        <v>55</v>
      </c>
      <c r="H52" s="3">
        <v>22000</v>
      </c>
      <c r="J52" s="193" t="s">
        <v>208</v>
      </c>
      <c r="K52" s="192">
        <f>K50+-K51</f>
        <v>0</v>
      </c>
    </row>
    <row r="53" spans="1:11" x14ac:dyDescent="0.3">
      <c r="A53" s="1">
        <f>A52+1</f>
        <v>51</v>
      </c>
      <c r="B53" s="228" t="s">
        <v>165</v>
      </c>
      <c r="C53" s="3" t="s">
        <v>43</v>
      </c>
      <c r="D53" s="3" t="s">
        <v>47</v>
      </c>
      <c r="E53" s="4">
        <v>400</v>
      </c>
      <c r="F53" s="112" t="s">
        <v>41</v>
      </c>
      <c r="G53" s="16">
        <f t="shared" si="7"/>
        <v>55</v>
      </c>
      <c r="H53" s="3">
        <v>22000</v>
      </c>
    </row>
    <row r="54" spans="1:11" x14ac:dyDescent="0.3">
      <c r="A54" s="1">
        <f>A53+1</f>
        <v>52</v>
      </c>
      <c r="B54" s="228" t="s">
        <v>165</v>
      </c>
      <c r="C54" s="3" t="s">
        <v>43</v>
      </c>
      <c r="D54" s="3" t="s">
        <v>44</v>
      </c>
      <c r="E54" s="4">
        <v>400</v>
      </c>
      <c r="F54" s="112" t="s">
        <v>41</v>
      </c>
      <c r="G54" s="16">
        <f t="shared" si="7"/>
        <v>30</v>
      </c>
      <c r="H54" s="3">
        <v>12000</v>
      </c>
    </row>
    <row r="55" spans="1:11" ht="15" thickBot="1" x14ac:dyDescent="0.35">
      <c r="A55" s="164">
        <f>A54+1</f>
        <v>53</v>
      </c>
      <c r="B55" s="229" t="s">
        <v>165</v>
      </c>
      <c r="C55" s="10" t="s">
        <v>43</v>
      </c>
      <c r="D55" s="10" t="s">
        <v>44</v>
      </c>
      <c r="E55" s="9">
        <v>400</v>
      </c>
      <c r="F55" s="113" t="s">
        <v>41</v>
      </c>
      <c r="G55" s="194">
        <f t="shared" si="7"/>
        <v>30</v>
      </c>
      <c r="H55" s="10">
        <v>12000</v>
      </c>
    </row>
    <row r="56" spans="1:11" ht="16.2" thickBot="1" x14ac:dyDescent="0.35">
      <c r="A56" s="538" t="s">
        <v>209</v>
      </c>
      <c r="B56" s="539"/>
      <c r="C56" s="539"/>
      <c r="D56" s="539"/>
      <c r="E56" s="539"/>
      <c r="F56" s="539"/>
      <c r="G56" s="539"/>
      <c r="H56" s="540"/>
    </row>
    <row r="58" spans="1:11" ht="23.4" x14ac:dyDescent="0.45">
      <c r="A58" s="529" t="s">
        <v>404</v>
      </c>
      <c r="B58" s="529"/>
      <c r="C58" s="529"/>
      <c r="D58" s="529"/>
      <c r="E58" s="529"/>
      <c r="F58" s="529"/>
      <c r="G58" s="529"/>
      <c r="H58" s="529"/>
    </row>
    <row r="59" spans="1:11" ht="16.2" x14ac:dyDescent="0.4">
      <c r="A59" s="311" t="s">
        <v>166</v>
      </c>
      <c r="B59" s="311" t="s">
        <v>2</v>
      </c>
      <c r="C59" s="311" t="s">
        <v>136</v>
      </c>
      <c r="D59" s="311" t="s">
        <v>137</v>
      </c>
      <c r="E59" s="311" t="s">
        <v>6</v>
      </c>
      <c r="F59" s="311" t="s">
        <v>138</v>
      </c>
      <c r="G59" s="311" t="s">
        <v>126</v>
      </c>
      <c r="H59" s="123" t="s">
        <v>213</v>
      </c>
    </row>
    <row r="60" spans="1:11" x14ac:dyDescent="0.3">
      <c r="A60" s="4">
        <v>1</v>
      </c>
      <c r="B60" s="8">
        <v>45799</v>
      </c>
      <c r="C60" s="4" t="s">
        <v>405</v>
      </c>
      <c r="D60" s="4" t="s">
        <v>49</v>
      </c>
      <c r="E60" s="3">
        <v>400</v>
      </c>
      <c r="F60" s="4" t="s">
        <v>41</v>
      </c>
      <c r="G60" s="312">
        <v>20000</v>
      </c>
      <c r="H60" s="318">
        <v>29000</v>
      </c>
    </row>
    <row r="61" spans="1:11" x14ac:dyDescent="0.3">
      <c r="A61" s="4">
        <v>2</v>
      </c>
      <c r="B61" s="8">
        <v>45799</v>
      </c>
      <c r="C61" s="4" t="s">
        <v>405</v>
      </c>
      <c r="D61" s="4" t="s">
        <v>49</v>
      </c>
      <c r="E61" s="3">
        <v>400</v>
      </c>
      <c r="F61" s="4" t="s">
        <v>41</v>
      </c>
      <c r="G61" s="312">
        <v>20000</v>
      </c>
      <c r="H61" s="13"/>
    </row>
    <row r="62" spans="1:11" x14ac:dyDescent="0.3">
      <c r="A62" s="4">
        <v>3</v>
      </c>
      <c r="B62" s="2">
        <v>45800</v>
      </c>
      <c r="C62" s="4" t="s">
        <v>405</v>
      </c>
      <c r="D62" s="4" t="s">
        <v>49</v>
      </c>
      <c r="E62" s="3">
        <v>400</v>
      </c>
      <c r="F62" s="4" t="s">
        <v>41</v>
      </c>
      <c r="G62" s="312">
        <v>20000</v>
      </c>
      <c r="H62" s="296">
        <v>99999</v>
      </c>
      <c r="I62" s="320">
        <v>45853</v>
      </c>
      <c r="J62" t="s">
        <v>419</v>
      </c>
    </row>
    <row r="63" spans="1:11" x14ac:dyDescent="0.3">
      <c r="A63" s="4">
        <v>4</v>
      </c>
      <c r="B63" s="8">
        <v>45800</v>
      </c>
      <c r="C63" s="3" t="s">
        <v>406</v>
      </c>
      <c r="D63" s="4" t="s">
        <v>52</v>
      </c>
      <c r="E63" s="4">
        <v>400</v>
      </c>
      <c r="F63" s="4" t="s">
        <v>41</v>
      </c>
      <c r="G63" s="312">
        <v>4000</v>
      </c>
      <c r="H63" s="297">
        <v>100</v>
      </c>
      <c r="I63" s="320">
        <v>45853</v>
      </c>
      <c r="J63" t="s">
        <v>417</v>
      </c>
    </row>
    <row r="64" spans="1:11" x14ac:dyDescent="0.3">
      <c r="A64" s="4">
        <v>5</v>
      </c>
      <c r="B64" s="8">
        <v>45801</v>
      </c>
      <c r="C64" s="4" t="s">
        <v>405</v>
      </c>
      <c r="D64" s="4" t="s">
        <v>49</v>
      </c>
      <c r="E64" s="4">
        <v>400</v>
      </c>
      <c r="F64" s="4" t="s">
        <v>41</v>
      </c>
      <c r="G64" s="312">
        <v>20000</v>
      </c>
      <c r="H64" s="297">
        <v>84901</v>
      </c>
      <c r="I64" s="320">
        <v>45853</v>
      </c>
      <c r="J64" t="s">
        <v>417</v>
      </c>
    </row>
    <row r="65" spans="1:10" x14ac:dyDescent="0.3">
      <c r="A65" s="4">
        <v>6</v>
      </c>
      <c r="B65" s="2">
        <v>45807</v>
      </c>
      <c r="C65" s="4" t="s">
        <v>407</v>
      </c>
      <c r="D65" s="4" t="s">
        <v>44</v>
      </c>
      <c r="E65" s="3">
        <v>400</v>
      </c>
      <c r="F65" s="4" t="s">
        <v>41</v>
      </c>
      <c r="G65" s="312">
        <v>12000</v>
      </c>
      <c r="H65" s="296">
        <v>50000</v>
      </c>
      <c r="I65" s="320">
        <v>45859</v>
      </c>
      <c r="J65" t="s">
        <v>419</v>
      </c>
    </row>
    <row r="66" spans="1:10" x14ac:dyDescent="0.3">
      <c r="A66" s="4">
        <v>7</v>
      </c>
      <c r="B66" s="2">
        <v>45807</v>
      </c>
      <c r="C66" s="4" t="s">
        <v>405</v>
      </c>
      <c r="D66" s="4" t="s">
        <v>49</v>
      </c>
      <c r="E66" s="3">
        <v>400</v>
      </c>
      <c r="F66" s="4" t="s">
        <v>41</v>
      </c>
      <c r="G66" s="312">
        <v>20000</v>
      </c>
      <c r="H66" s="297">
        <v>98000</v>
      </c>
      <c r="I66" s="320">
        <v>45860</v>
      </c>
      <c r="J66" t="s">
        <v>417</v>
      </c>
    </row>
    <row r="67" spans="1:10" x14ac:dyDescent="0.3">
      <c r="A67" s="4">
        <v>8</v>
      </c>
      <c r="B67" s="2">
        <v>45821</v>
      </c>
      <c r="C67" s="4" t="s">
        <v>408</v>
      </c>
      <c r="D67" s="313" t="s">
        <v>409</v>
      </c>
      <c r="E67" s="3">
        <v>400</v>
      </c>
      <c r="F67" s="4" t="s">
        <v>41</v>
      </c>
      <c r="G67" s="312">
        <v>22000</v>
      </c>
      <c r="H67" s="296">
        <v>52000</v>
      </c>
      <c r="I67" s="320">
        <v>45861</v>
      </c>
      <c r="J67" t="s">
        <v>420</v>
      </c>
    </row>
    <row r="68" spans="1:10" x14ac:dyDescent="0.3">
      <c r="A68" s="4">
        <v>9</v>
      </c>
      <c r="B68" s="8">
        <v>45821</v>
      </c>
      <c r="C68" s="4" t="s">
        <v>410</v>
      </c>
      <c r="D68" s="4" t="s">
        <v>171</v>
      </c>
      <c r="E68" s="4">
        <v>1000</v>
      </c>
      <c r="F68" s="4" t="s">
        <v>32</v>
      </c>
      <c r="G68" s="312">
        <v>16500</v>
      </c>
      <c r="H68" s="296">
        <v>50000</v>
      </c>
      <c r="I68" s="320">
        <v>45863</v>
      </c>
      <c r="J68" t="s">
        <v>419</v>
      </c>
    </row>
    <row r="69" spans="1:10" x14ac:dyDescent="0.3">
      <c r="A69" s="4">
        <v>10</v>
      </c>
      <c r="B69" s="8">
        <v>45824</v>
      </c>
      <c r="C69" s="4" t="s">
        <v>410</v>
      </c>
      <c r="D69" s="4" t="s">
        <v>52</v>
      </c>
      <c r="E69" s="4">
        <v>400</v>
      </c>
      <c r="F69" s="4" t="s">
        <v>41</v>
      </c>
      <c r="G69" s="312">
        <v>4000</v>
      </c>
      <c r="H69" s="296">
        <v>20000</v>
      </c>
      <c r="I69" s="320">
        <v>45865</v>
      </c>
      <c r="J69" t="s">
        <v>418</v>
      </c>
    </row>
    <row r="70" spans="1:10" x14ac:dyDescent="0.3">
      <c r="A70" s="4">
        <v>11</v>
      </c>
      <c r="B70" s="8">
        <v>45827</v>
      </c>
      <c r="C70" s="4" t="s">
        <v>410</v>
      </c>
      <c r="D70" s="4" t="s">
        <v>411</v>
      </c>
      <c r="E70" s="4">
        <v>400</v>
      </c>
      <c r="F70" s="4" t="s">
        <v>41</v>
      </c>
      <c r="G70" s="312">
        <v>20000</v>
      </c>
      <c r="H70" s="297">
        <v>55500</v>
      </c>
      <c r="I70" s="320">
        <v>45876</v>
      </c>
      <c r="J70" t="s">
        <v>417</v>
      </c>
    </row>
    <row r="71" spans="1:10" x14ac:dyDescent="0.3">
      <c r="A71" s="4">
        <v>12</v>
      </c>
      <c r="B71" s="8">
        <v>45827</v>
      </c>
      <c r="C71" s="4" t="s">
        <v>410</v>
      </c>
      <c r="D71" s="313" t="s">
        <v>409</v>
      </c>
      <c r="E71" s="3">
        <v>400</v>
      </c>
      <c r="F71" s="4" t="s">
        <v>41</v>
      </c>
      <c r="G71" s="312">
        <v>22000</v>
      </c>
      <c r="H71" s="13"/>
    </row>
    <row r="72" spans="1:10" x14ac:dyDescent="0.3">
      <c r="A72" s="4">
        <v>13</v>
      </c>
      <c r="B72" s="8">
        <v>45827</v>
      </c>
      <c r="C72" s="4" t="s">
        <v>410</v>
      </c>
      <c r="D72" s="313" t="s">
        <v>409</v>
      </c>
      <c r="E72" s="3">
        <v>400</v>
      </c>
      <c r="F72" s="4" t="s">
        <v>41</v>
      </c>
      <c r="G72" s="312">
        <v>22000</v>
      </c>
      <c r="H72" s="13"/>
    </row>
    <row r="73" spans="1:10" x14ac:dyDescent="0.3">
      <c r="A73" s="4">
        <v>14</v>
      </c>
      <c r="B73" s="8">
        <v>45827</v>
      </c>
      <c r="C73" s="4" t="s">
        <v>410</v>
      </c>
      <c r="D73" s="4" t="s">
        <v>44</v>
      </c>
      <c r="E73" s="3">
        <v>400</v>
      </c>
      <c r="F73" s="4" t="s">
        <v>41</v>
      </c>
      <c r="G73" s="312">
        <v>12000</v>
      </c>
      <c r="H73" s="13"/>
    </row>
    <row r="74" spans="1:10" x14ac:dyDescent="0.3">
      <c r="A74" s="4">
        <v>15</v>
      </c>
      <c r="B74" s="2">
        <v>45833</v>
      </c>
      <c r="C74" s="4" t="s">
        <v>410</v>
      </c>
      <c r="D74" s="3" t="s">
        <v>52</v>
      </c>
      <c r="E74" s="3">
        <v>400</v>
      </c>
      <c r="F74" s="4" t="s">
        <v>41</v>
      </c>
      <c r="G74" s="312">
        <v>4000</v>
      </c>
      <c r="H74" s="13"/>
    </row>
    <row r="75" spans="1:10" x14ac:dyDescent="0.3">
      <c r="A75" s="4">
        <v>16</v>
      </c>
      <c r="B75" s="2">
        <v>45833</v>
      </c>
      <c r="C75" s="4" t="s">
        <v>410</v>
      </c>
      <c r="D75" s="3" t="s">
        <v>52</v>
      </c>
      <c r="E75" s="3">
        <v>400</v>
      </c>
      <c r="F75" s="4" t="s">
        <v>41</v>
      </c>
      <c r="G75" s="312">
        <v>4000</v>
      </c>
      <c r="H75" s="13"/>
    </row>
    <row r="76" spans="1:10" x14ac:dyDescent="0.3">
      <c r="A76" s="4">
        <v>17</v>
      </c>
      <c r="B76" s="2">
        <v>45833</v>
      </c>
      <c r="C76" s="4" t="s">
        <v>410</v>
      </c>
      <c r="D76" s="3" t="s">
        <v>52</v>
      </c>
      <c r="E76" s="3">
        <v>400</v>
      </c>
      <c r="F76" s="4" t="s">
        <v>41</v>
      </c>
      <c r="G76" s="312">
        <v>4000</v>
      </c>
      <c r="H76" s="13"/>
    </row>
    <row r="77" spans="1:10" x14ac:dyDescent="0.3">
      <c r="A77" s="4">
        <v>18</v>
      </c>
      <c r="B77" s="2">
        <v>45833</v>
      </c>
      <c r="C77" s="4" t="s">
        <v>410</v>
      </c>
      <c r="D77" s="3" t="s">
        <v>416</v>
      </c>
      <c r="E77" s="3">
        <v>400</v>
      </c>
      <c r="F77" s="4" t="s">
        <v>41</v>
      </c>
      <c r="G77" s="312">
        <v>22000</v>
      </c>
      <c r="H77" s="13"/>
    </row>
    <row r="78" spans="1:10" x14ac:dyDescent="0.3">
      <c r="A78" s="4">
        <v>19</v>
      </c>
      <c r="B78" s="2">
        <v>45833</v>
      </c>
      <c r="C78" s="4" t="s">
        <v>410</v>
      </c>
      <c r="D78" s="3" t="s">
        <v>416</v>
      </c>
      <c r="E78" s="3">
        <v>400</v>
      </c>
      <c r="F78" s="4" t="s">
        <v>41</v>
      </c>
      <c r="G78" s="312">
        <v>22000</v>
      </c>
      <c r="H78" s="13"/>
    </row>
    <row r="79" spans="1:10" x14ac:dyDescent="0.3">
      <c r="A79" s="4">
        <v>20</v>
      </c>
      <c r="B79" s="2">
        <v>45833</v>
      </c>
      <c r="C79" s="4" t="s">
        <v>410</v>
      </c>
      <c r="D79" s="3" t="s">
        <v>412</v>
      </c>
      <c r="E79" s="3">
        <v>400</v>
      </c>
      <c r="F79" s="4" t="s">
        <v>41</v>
      </c>
      <c r="G79" s="312">
        <v>12000</v>
      </c>
      <c r="H79" s="13"/>
    </row>
    <row r="80" spans="1:10" x14ac:dyDescent="0.3">
      <c r="A80" s="4">
        <v>21</v>
      </c>
      <c r="B80" s="2">
        <v>45833</v>
      </c>
      <c r="C80" s="4" t="s">
        <v>410</v>
      </c>
      <c r="D80" s="3" t="s">
        <v>412</v>
      </c>
      <c r="E80" s="3">
        <v>400</v>
      </c>
      <c r="F80" s="4" t="s">
        <v>41</v>
      </c>
      <c r="G80" s="312">
        <v>12000</v>
      </c>
      <c r="H80" s="13"/>
    </row>
    <row r="81" spans="1:10" x14ac:dyDescent="0.3">
      <c r="A81" s="4">
        <v>22</v>
      </c>
      <c r="B81" s="2">
        <v>45833</v>
      </c>
      <c r="C81" s="4" t="s">
        <v>410</v>
      </c>
      <c r="D81" s="4" t="s">
        <v>413</v>
      </c>
      <c r="E81" s="3">
        <v>400</v>
      </c>
      <c r="F81" s="4" t="s">
        <v>41</v>
      </c>
      <c r="G81" s="312">
        <v>20000</v>
      </c>
      <c r="H81" s="13"/>
    </row>
    <row r="82" spans="1:10" x14ac:dyDescent="0.3">
      <c r="A82" s="4">
        <v>23</v>
      </c>
      <c r="B82" s="2">
        <v>45833</v>
      </c>
      <c r="C82" s="4" t="s">
        <v>410</v>
      </c>
      <c r="D82" s="4" t="s">
        <v>413</v>
      </c>
      <c r="E82" s="3">
        <v>400</v>
      </c>
      <c r="F82" s="4" t="s">
        <v>41</v>
      </c>
      <c r="G82" s="312">
        <v>20000</v>
      </c>
      <c r="H82" s="13"/>
    </row>
    <row r="83" spans="1:10" x14ac:dyDescent="0.3">
      <c r="A83" s="4">
        <v>24</v>
      </c>
      <c r="B83" s="2">
        <v>45833</v>
      </c>
      <c r="C83" s="4" t="s">
        <v>410</v>
      </c>
      <c r="D83" s="4" t="s">
        <v>413</v>
      </c>
      <c r="E83" s="3">
        <v>400</v>
      </c>
      <c r="F83" s="4" t="s">
        <v>41</v>
      </c>
      <c r="G83" s="312">
        <v>20000</v>
      </c>
      <c r="H83" s="13"/>
    </row>
    <row r="84" spans="1:10" x14ac:dyDescent="0.3">
      <c r="A84" s="523" t="s">
        <v>27</v>
      </c>
      <c r="B84" s="524"/>
      <c r="C84" s="524"/>
      <c r="D84" s="524"/>
      <c r="E84" s="524"/>
      <c r="F84" s="525"/>
      <c r="G84" s="317">
        <f>SUM(G60:G83)</f>
        <v>374500</v>
      </c>
      <c r="H84" s="319"/>
      <c r="I84" s="322"/>
      <c r="J84" s="242"/>
    </row>
    <row r="85" spans="1:10" ht="15.6" x14ac:dyDescent="0.3">
      <c r="A85" s="526" t="s">
        <v>421</v>
      </c>
      <c r="B85" s="527"/>
      <c r="C85" s="527"/>
      <c r="D85" s="527"/>
      <c r="E85" s="527"/>
      <c r="F85" s="527"/>
      <c r="G85" s="527"/>
      <c r="H85" s="528"/>
    </row>
    <row r="86" spans="1:10" ht="16.2" x14ac:dyDescent="0.4">
      <c r="A86" s="311" t="s">
        <v>166</v>
      </c>
      <c r="B86" s="311" t="s">
        <v>2</v>
      </c>
      <c r="C86" s="311" t="s">
        <v>136</v>
      </c>
      <c r="D86" s="311" t="s">
        <v>137</v>
      </c>
      <c r="E86" s="311" t="s">
        <v>6</v>
      </c>
      <c r="F86" s="311" t="s">
        <v>138</v>
      </c>
      <c r="G86" s="311" t="s">
        <v>126</v>
      </c>
      <c r="H86" s="123" t="s">
        <v>213</v>
      </c>
    </row>
    <row r="87" spans="1:10" x14ac:dyDescent="0.3">
      <c r="A87" s="4">
        <v>25</v>
      </c>
      <c r="B87" s="2">
        <v>45839</v>
      </c>
      <c r="C87" s="4" t="s">
        <v>410</v>
      </c>
      <c r="D87" s="3" t="s">
        <v>171</v>
      </c>
      <c r="E87" s="3">
        <v>2000</v>
      </c>
      <c r="F87" s="3" t="s">
        <v>32</v>
      </c>
      <c r="G87" s="314">
        <v>33000</v>
      </c>
      <c r="H87" s="13"/>
    </row>
    <row r="88" spans="1:10" x14ac:dyDescent="0.3">
      <c r="A88" s="4">
        <v>26</v>
      </c>
      <c r="B88" s="2">
        <v>45839</v>
      </c>
      <c r="C88" s="4" t="s">
        <v>410</v>
      </c>
      <c r="D88" s="3" t="s">
        <v>415</v>
      </c>
      <c r="E88" s="3">
        <v>400</v>
      </c>
      <c r="F88" s="3" t="s">
        <v>41</v>
      </c>
      <c r="G88" s="314">
        <v>4000</v>
      </c>
      <c r="H88" s="13"/>
    </row>
    <row r="89" spans="1:10" x14ac:dyDescent="0.3">
      <c r="A89" s="4">
        <v>27</v>
      </c>
      <c r="B89" s="2">
        <v>45839</v>
      </c>
      <c r="C89" s="4" t="s">
        <v>410</v>
      </c>
      <c r="D89" s="3" t="s">
        <v>415</v>
      </c>
      <c r="E89" s="3">
        <v>400</v>
      </c>
      <c r="F89" s="3" t="s">
        <v>41</v>
      </c>
      <c r="G89" s="314">
        <v>4000</v>
      </c>
      <c r="H89" s="13"/>
    </row>
    <row r="90" spans="1:10" x14ac:dyDescent="0.3">
      <c r="A90" s="4">
        <v>28</v>
      </c>
      <c r="B90" s="2">
        <v>45840</v>
      </c>
      <c r="C90" s="4" t="s">
        <v>410</v>
      </c>
      <c r="D90" s="3" t="s">
        <v>44</v>
      </c>
      <c r="E90" s="3">
        <v>400</v>
      </c>
      <c r="F90" s="4" t="s">
        <v>41</v>
      </c>
      <c r="G90" s="315">
        <v>12000</v>
      </c>
      <c r="H90" s="13"/>
    </row>
    <row r="91" spans="1:10" x14ac:dyDescent="0.3">
      <c r="A91" s="4">
        <v>29</v>
      </c>
      <c r="B91" s="2">
        <v>45840</v>
      </c>
      <c r="C91" s="4" t="s">
        <v>410</v>
      </c>
      <c r="D91" s="3" t="s">
        <v>47</v>
      </c>
      <c r="E91" s="3">
        <v>400</v>
      </c>
      <c r="F91" s="4" t="s">
        <v>41</v>
      </c>
      <c r="G91" s="315">
        <v>22000</v>
      </c>
      <c r="H91" s="13"/>
    </row>
    <row r="92" spans="1:10" x14ac:dyDescent="0.3">
      <c r="A92" s="4">
        <v>30</v>
      </c>
      <c r="B92" s="2">
        <v>45849</v>
      </c>
      <c r="C92" s="4" t="s">
        <v>410</v>
      </c>
      <c r="D92" s="4" t="s">
        <v>52</v>
      </c>
      <c r="E92" s="3">
        <v>400</v>
      </c>
      <c r="F92" s="4" t="s">
        <v>41</v>
      </c>
      <c r="G92" s="315">
        <v>4000</v>
      </c>
      <c r="H92" s="13"/>
    </row>
    <row r="93" spans="1:10" x14ac:dyDescent="0.3">
      <c r="A93" s="4">
        <v>31</v>
      </c>
      <c r="B93" s="2">
        <v>45849</v>
      </c>
      <c r="C93" s="4" t="s">
        <v>410</v>
      </c>
      <c r="D93" s="4" t="s">
        <v>414</v>
      </c>
      <c r="E93" s="3">
        <v>400</v>
      </c>
      <c r="F93" s="4" t="s">
        <v>41</v>
      </c>
      <c r="G93" s="315">
        <v>20000</v>
      </c>
      <c r="H93" s="13"/>
    </row>
    <row r="94" spans="1:10" x14ac:dyDescent="0.3">
      <c r="A94" s="4">
        <v>32</v>
      </c>
      <c r="B94" s="2">
        <v>45853</v>
      </c>
      <c r="C94" s="4" t="s">
        <v>410</v>
      </c>
      <c r="D94" s="3" t="s">
        <v>40</v>
      </c>
      <c r="E94" s="3">
        <v>400</v>
      </c>
      <c r="F94" s="4" t="s">
        <v>41</v>
      </c>
      <c r="G94" s="315">
        <v>12000</v>
      </c>
      <c r="H94" s="226"/>
    </row>
    <row r="95" spans="1:10" x14ac:dyDescent="0.3">
      <c r="A95" s="4">
        <v>33</v>
      </c>
      <c r="B95" s="2">
        <v>45853</v>
      </c>
      <c r="C95" s="4" t="s">
        <v>410</v>
      </c>
      <c r="D95" s="3" t="s">
        <v>47</v>
      </c>
      <c r="E95" s="3">
        <v>400</v>
      </c>
      <c r="F95" s="4" t="s">
        <v>41</v>
      </c>
      <c r="G95" s="315">
        <v>22000</v>
      </c>
      <c r="H95" s="226"/>
    </row>
    <row r="96" spans="1:10" x14ac:dyDescent="0.3">
      <c r="A96" s="4">
        <v>34</v>
      </c>
      <c r="B96" s="2">
        <v>45854</v>
      </c>
      <c r="C96" s="4" t="s">
        <v>410</v>
      </c>
      <c r="D96" s="3" t="s">
        <v>44</v>
      </c>
      <c r="E96" s="3">
        <v>400</v>
      </c>
      <c r="F96" s="4" t="s">
        <v>41</v>
      </c>
      <c r="G96" s="315">
        <v>12000</v>
      </c>
      <c r="H96" s="226"/>
      <c r="I96" s="316"/>
    </row>
    <row r="97" spans="1:10" x14ac:dyDescent="0.3">
      <c r="A97" s="4">
        <v>35</v>
      </c>
      <c r="B97" s="2">
        <v>45854</v>
      </c>
      <c r="C97" s="4" t="s">
        <v>410</v>
      </c>
      <c r="D97" s="3" t="s">
        <v>47</v>
      </c>
      <c r="E97" s="3">
        <v>400</v>
      </c>
      <c r="F97" s="4" t="s">
        <v>41</v>
      </c>
      <c r="G97" s="315">
        <v>20000</v>
      </c>
      <c r="H97" s="226"/>
      <c r="I97" s="316"/>
    </row>
    <row r="98" spans="1:10" x14ac:dyDescent="0.3">
      <c r="A98" s="4">
        <v>36</v>
      </c>
      <c r="B98" s="2">
        <v>45862</v>
      </c>
      <c r="C98" s="4" t="s">
        <v>410</v>
      </c>
      <c r="D98" s="3" t="s">
        <v>44</v>
      </c>
      <c r="E98" s="3">
        <v>400</v>
      </c>
      <c r="F98" s="4" t="s">
        <v>41</v>
      </c>
      <c r="G98" s="315">
        <v>12000</v>
      </c>
      <c r="H98" s="226"/>
      <c r="I98" s="316"/>
      <c r="J98" s="94"/>
    </row>
    <row r="99" spans="1:10" x14ac:dyDescent="0.3">
      <c r="A99" s="4">
        <v>37</v>
      </c>
      <c r="B99" s="2">
        <v>45862</v>
      </c>
      <c r="C99" s="4" t="s">
        <v>410</v>
      </c>
      <c r="D99" s="3" t="s">
        <v>47</v>
      </c>
      <c r="E99" s="3">
        <v>400</v>
      </c>
      <c r="F99" s="4" t="s">
        <v>41</v>
      </c>
      <c r="G99" s="315">
        <v>22000</v>
      </c>
      <c r="H99" s="13"/>
    </row>
    <row r="100" spans="1:10" x14ac:dyDescent="0.3">
      <c r="A100" s="4">
        <v>38</v>
      </c>
      <c r="B100" s="2">
        <v>45866</v>
      </c>
      <c r="C100" s="4" t="s">
        <v>410</v>
      </c>
      <c r="D100" s="3" t="s">
        <v>44</v>
      </c>
      <c r="E100" s="3">
        <v>400</v>
      </c>
      <c r="F100" s="4" t="s">
        <v>41</v>
      </c>
      <c r="G100" s="315">
        <v>12000</v>
      </c>
      <c r="H100" s="310"/>
    </row>
    <row r="101" spans="1:10" x14ac:dyDescent="0.3">
      <c r="A101" s="4">
        <v>39</v>
      </c>
      <c r="B101" s="2">
        <v>45866</v>
      </c>
      <c r="C101" s="4" t="s">
        <v>410</v>
      </c>
      <c r="D101" s="3" t="s">
        <v>47</v>
      </c>
      <c r="E101" s="3">
        <v>400</v>
      </c>
      <c r="F101" s="4" t="s">
        <v>41</v>
      </c>
      <c r="G101" s="315">
        <v>22000</v>
      </c>
      <c r="H101" s="310"/>
    </row>
    <row r="102" spans="1:10" x14ac:dyDescent="0.3">
      <c r="A102" s="4">
        <v>40</v>
      </c>
      <c r="B102" s="2">
        <v>45866</v>
      </c>
      <c r="C102" s="4" t="s">
        <v>410</v>
      </c>
      <c r="D102" s="3" t="s">
        <v>44</v>
      </c>
      <c r="E102" s="3">
        <v>400</v>
      </c>
      <c r="F102" s="4" t="s">
        <v>41</v>
      </c>
      <c r="G102" s="315">
        <v>12000</v>
      </c>
      <c r="H102" s="310"/>
    </row>
    <row r="103" spans="1:10" x14ac:dyDescent="0.3">
      <c r="A103" s="4">
        <v>41</v>
      </c>
      <c r="B103" s="2">
        <v>45866</v>
      </c>
      <c r="C103" s="4" t="s">
        <v>410</v>
      </c>
      <c r="D103" s="3" t="s">
        <v>47</v>
      </c>
      <c r="E103" s="3">
        <v>400</v>
      </c>
      <c r="F103" s="4" t="s">
        <v>41</v>
      </c>
      <c r="G103" s="315">
        <v>22000</v>
      </c>
      <c r="H103" s="310"/>
    </row>
    <row r="104" spans="1:10" x14ac:dyDescent="0.3">
      <c r="A104" s="4">
        <v>42</v>
      </c>
      <c r="B104" s="2">
        <v>45871</v>
      </c>
      <c r="C104" s="4" t="s">
        <v>410</v>
      </c>
      <c r="D104" s="3" t="s">
        <v>52</v>
      </c>
      <c r="E104" s="3">
        <v>400</v>
      </c>
      <c r="F104" s="4" t="s">
        <v>41</v>
      </c>
      <c r="G104" s="312">
        <v>4000</v>
      </c>
      <c r="H104" s="13"/>
    </row>
    <row r="105" spans="1:10" x14ac:dyDescent="0.3">
      <c r="A105" s="520" t="s">
        <v>98</v>
      </c>
      <c r="B105" s="521"/>
      <c r="C105" s="521"/>
      <c r="D105" s="521"/>
      <c r="E105" s="521"/>
      <c r="F105" s="522"/>
      <c r="G105" s="319">
        <f>SUM(G87:G104)</f>
        <v>271000</v>
      </c>
      <c r="H105" s="321"/>
      <c r="I105" s="322"/>
      <c r="J105" s="242"/>
    </row>
  </sheetData>
  <autoFilter ref="A2:H56" xr:uid="{00000000-0009-0000-0000-000004000000}"/>
  <mergeCells count="11">
    <mergeCell ref="A1:H1"/>
    <mergeCell ref="J38:O38"/>
    <mergeCell ref="A56:H56"/>
    <mergeCell ref="J23:J26"/>
    <mergeCell ref="J21:K21"/>
    <mergeCell ref="M21:N21"/>
    <mergeCell ref="A105:F105"/>
    <mergeCell ref="A84:F84"/>
    <mergeCell ref="A85:H85"/>
    <mergeCell ref="A58:H58"/>
    <mergeCell ref="J3:O3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91"/>
  <sheetViews>
    <sheetView topLeftCell="D58" workbookViewId="0">
      <selection activeCell="N79" sqref="N79"/>
    </sheetView>
  </sheetViews>
  <sheetFormatPr defaultRowHeight="14.4" x14ac:dyDescent="0.3"/>
  <cols>
    <col min="2" max="2" width="10.88671875" bestFit="1" customWidth="1"/>
    <col min="3" max="3" width="23.44140625" bestFit="1" customWidth="1"/>
    <col min="4" max="4" width="10.44140625" bestFit="1" customWidth="1"/>
    <col min="6" max="7" width="13.44140625" bestFit="1" customWidth="1"/>
    <col min="8" max="8" width="23.44140625" bestFit="1" customWidth="1"/>
    <col min="9" max="9" width="15.5546875" bestFit="1" customWidth="1"/>
    <col min="10" max="10" width="12" bestFit="1" customWidth="1"/>
    <col min="11" max="11" width="2.88671875" customWidth="1"/>
    <col min="13" max="13" width="11" bestFit="1" customWidth="1"/>
    <col min="14" max="14" width="13.5546875" bestFit="1" customWidth="1"/>
    <col min="15" max="15" width="9.5546875" bestFit="1" customWidth="1"/>
    <col min="16" max="16" width="1.88671875" customWidth="1"/>
    <col min="17" max="17" width="23.33203125" bestFit="1" customWidth="1"/>
    <col min="18" max="18" width="16" customWidth="1"/>
    <col min="19" max="19" width="12" bestFit="1" customWidth="1"/>
    <col min="22" max="22" width="11.5546875" bestFit="1" customWidth="1"/>
  </cols>
  <sheetData>
    <row r="1" spans="1:19" ht="21.6" thickBot="1" x14ac:dyDescent="0.45">
      <c r="A1" s="566" t="s">
        <v>168</v>
      </c>
      <c r="B1" s="567"/>
      <c r="C1" s="567"/>
      <c r="D1" s="567"/>
      <c r="E1" s="567"/>
      <c r="F1" s="567"/>
      <c r="G1" s="567"/>
      <c r="H1" s="567"/>
      <c r="I1" s="567"/>
      <c r="J1" s="568"/>
    </row>
    <row r="2" spans="1:19" ht="18" thickBot="1" x14ac:dyDescent="0.5">
      <c r="A2" s="142" t="s">
        <v>167</v>
      </c>
      <c r="B2" s="143" t="s">
        <v>2</v>
      </c>
      <c r="C2" s="143" t="s">
        <v>137</v>
      </c>
      <c r="D2" s="143" t="s">
        <v>6</v>
      </c>
      <c r="E2" s="143" t="s">
        <v>7</v>
      </c>
      <c r="F2" s="143" t="s">
        <v>126</v>
      </c>
      <c r="G2" s="143" t="s">
        <v>169</v>
      </c>
      <c r="H2" s="143" t="s">
        <v>172</v>
      </c>
      <c r="I2" s="143" t="s">
        <v>127</v>
      </c>
      <c r="J2" s="144" t="s">
        <v>125</v>
      </c>
      <c r="L2" s="547" t="s">
        <v>283</v>
      </c>
      <c r="M2" s="548"/>
      <c r="N2" s="548"/>
      <c r="O2" s="549"/>
      <c r="Q2" s="553" t="s">
        <v>286</v>
      </c>
      <c r="R2" s="554"/>
    </row>
    <row r="3" spans="1:19" x14ac:dyDescent="0.3">
      <c r="A3" s="16">
        <v>1</v>
      </c>
      <c r="B3" s="16" t="s">
        <v>170</v>
      </c>
      <c r="C3" s="16" t="s">
        <v>171</v>
      </c>
      <c r="D3" s="16">
        <v>3000</v>
      </c>
      <c r="E3" s="16" t="s">
        <v>32</v>
      </c>
      <c r="F3" s="16">
        <v>43500</v>
      </c>
      <c r="G3" s="16"/>
      <c r="H3" s="16"/>
      <c r="I3" s="91"/>
      <c r="J3" s="295"/>
      <c r="L3" s="208" t="s">
        <v>326</v>
      </c>
      <c r="M3" s="209" t="s">
        <v>2</v>
      </c>
      <c r="N3" s="209" t="s">
        <v>291</v>
      </c>
      <c r="O3" s="210" t="s">
        <v>327</v>
      </c>
      <c r="Q3" s="88" t="s">
        <v>284</v>
      </c>
      <c r="R3" s="211">
        <v>366200</v>
      </c>
    </row>
    <row r="4" spans="1:19" x14ac:dyDescent="0.3">
      <c r="A4" s="3">
        <v>2</v>
      </c>
      <c r="B4" s="3" t="s">
        <v>170</v>
      </c>
      <c r="C4" s="3" t="s">
        <v>173</v>
      </c>
      <c r="D4" s="3">
        <v>853</v>
      </c>
      <c r="E4" s="3" t="s">
        <v>82</v>
      </c>
      <c r="F4" s="3">
        <v>58857</v>
      </c>
      <c r="G4" s="3"/>
      <c r="H4" s="3"/>
      <c r="I4" s="13"/>
      <c r="J4" s="237"/>
      <c r="L4" s="7">
        <v>1</v>
      </c>
      <c r="M4" s="4" t="s">
        <v>271</v>
      </c>
      <c r="N4" s="206">
        <v>50000</v>
      </c>
      <c r="O4" s="207" t="s">
        <v>273</v>
      </c>
      <c r="Q4" s="39" t="s">
        <v>285</v>
      </c>
      <c r="R4" s="212">
        <v>512847</v>
      </c>
    </row>
    <row r="5" spans="1:19" ht="18" thickBot="1" x14ac:dyDescent="0.5">
      <c r="A5" s="3">
        <v>3</v>
      </c>
      <c r="B5" s="3" t="s">
        <v>165</v>
      </c>
      <c r="C5" s="3" t="s">
        <v>178</v>
      </c>
      <c r="D5" s="3">
        <v>600</v>
      </c>
      <c r="E5" s="3" t="s">
        <v>32</v>
      </c>
      <c r="F5" s="3">
        <v>57000</v>
      </c>
      <c r="G5" s="3"/>
      <c r="H5" s="3"/>
      <c r="I5" s="13"/>
      <c r="J5" s="237"/>
      <c r="K5" s="141"/>
      <c r="L5" s="7">
        <v>2</v>
      </c>
      <c r="M5" s="4" t="s">
        <v>272</v>
      </c>
      <c r="N5" s="206">
        <v>150000</v>
      </c>
      <c r="O5" s="207" t="s">
        <v>273</v>
      </c>
      <c r="Q5" s="87" t="s">
        <v>367</v>
      </c>
      <c r="R5" s="213">
        <f>327189+24150+3780+26000+F37+F38+F41+F42+F44+F46+F47+F48+F45+F50+F52+F53+F55</f>
        <v>677057</v>
      </c>
    </row>
    <row r="6" spans="1:19" ht="18" thickBot="1" x14ac:dyDescent="0.5">
      <c r="A6" s="16">
        <v>4</v>
      </c>
      <c r="B6" s="13" t="s">
        <v>214</v>
      </c>
      <c r="C6" s="562" t="s">
        <v>213</v>
      </c>
      <c r="D6" s="562"/>
      <c r="E6" s="562"/>
      <c r="F6" s="562"/>
      <c r="G6" s="562"/>
      <c r="H6" s="562"/>
      <c r="I6" s="563"/>
      <c r="J6" s="237">
        <v>50000</v>
      </c>
      <c r="K6" s="141"/>
      <c r="L6" s="7">
        <v>3</v>
      </c>
      <c r="M6" s="4" t="s">
        <v>274</v>
      </c>
      <c r="N6" s="206">
        <v>100000</v>
      </c>
      <c r="O6" s="207" t="s">
        <v>275</v>
      </c>
      <c r="Q6" s="204" t="s">
        <v>287</v>
      </c>
      <c r="R6" s="214">
        <f>SUM(R3:R5)</f>
        <v>1556104</v>
      </c>
      <c r="S6" s="94"/>
    </row>
    <row r="7" spans="1:19" ht="15" thickBot="1" x14ac:dyDescent="0.35">
      <c r="A7" s="3">
        <v>5</v>
      </c>
      <c r="B7" s="3" t="s">
        <v>179</v>
      </c>
      <c r="C7" s="3" t="s">
        <v>173</v>
      </c>
      <c r="D7" s="3">
        <v>558.70000000000005</v>
      </c>
      <c r="E7" s="3" t="s">
        <v>82</v>
      </c>
      <c r="F7" s="3">
        <v>38550</v>
      </c>
      <c r="G7" s="3"/>
      <c r="H7" s="3"/>
      <c r="I7" s="13"/>
      <c r="J7" s="237"/>
      <c r="L7" s="7">
        <v>4</v>
      </c>
      <c r="M7" s="4" t="s">
        <v>276</v>
      </c>
      <c r="N7" s="206">
        <v>55000</v>
      </c>
      <c r="O7" s="207" t="s">
        <v>273</v>
      </c>
      <c r="Q7" s="205" t="s">
        <v>328</v>
      </c>
      <c r="R7" s="215">
        <v>10200</v>
      </c>
      <c r="S7" s="231"/>
    </row>
    <row r="8" spans="1:19" ht="15" thickBot="1" x14ac:dyDescent="0.35">
      <c r="A8" s="3">
        <v>6</v>
      </c>
      <c r="B8" s="13" t="s">
        <v>211</v>
      </c>
      <c r="C8" s="558" t="s">
        <v>213</v>
      </c>
      <c r="D8" s="559"/>
      <c r="E8" s="559"/>
      <c r="F8" s="559"/>
      <c r="G8" s="559"/>
      <c r="H8" s="559"/>
      <c r="I8" s="560"/>
      <c r="J8" s="237">
        <v>50000</v>
      </c>
      <c r="L8" s="7">
        <v>5</v>
      </c>
      <c r="M8" s="4" t="s">
        <v>279</v>
      </c>
      <c r="N8" s="206">
        <v>90200</v>
      </c>
      <c r="O8" s="207" t="s">
        <v>280</v>
      </c>
      <c r="Q8" s="216" t="s">
        <v>403</v>
      </c>
      <c r="R8" s="217">
        <f>R6-N28-R7</f>
        <v>-1296</v>
      </c>
    </row>
    <row r="9" spans="1:19" x14ac:dyDescent="0.3">
      <c r="A9" s="16">
        <v>7</v>
      </c>
      <c r="B9" s="13" t="s">
        <v>242</v>
      </c>
      <c r="C9" s="558" t="s">
        <v>213</v>
      </c>
      <c r="D9" s="559"/>
      <c r="E9" s="559"/>
      <c r="F9" s="559"/>
      <c r="G9" s="559"/>
      <c r="H9" s="559"/>
      <c r="I9" s="560"/>
      <c r="J9" s="237">
        <v>100000</v>
      </c>
      <c r="L9" s="7">
        <v>6</v>
      </c>
      <c r="M9" s="4" t="s">
        <v>277</v>
      </c>
      <c r="N9" s="206">
        <v>50000</v>
      </c>
      <c r="O9" s="207" t="s">
        <v>273</v>
      </c>
    </row>
    <row r="10" spans="1:19" x14ac:dyDescent="0.3">
      <c r="A10" s="3">
        <v>8</v>
      </c>
      <c r="B10" s="3" t="s">
        <v>222</v>
      </c>
      <c r="C10" s="3" t="s">
        <v>173</v>
      </c>
      <c r="D10" s="3">
        <v>585</v>
      </c>
      <c r="E10" s="3" t="s">
        <v>82</v>
      </c>
      <c r="F10" s="3">
        <v>44520</v>
      </c>
      <c r="G10" s="3"/>
      <c r="H10" s="3"/>
      <c r="I10" s="13"/>
      <c r="J10" s="237"/>
      <c r="L10" s="7">
        <v>7</v>
      </c>
      <c r="M10" s="4" t="s">
        <v>278</v>
      </c>
      <c r="N10" s="206">
        <v>30000</v>
      </c>
      <c r="O10" s="207" t="s">
        <v>280</v>
      </c>
    </row>
    <row r="11" spans="1:19" x14ac:dyDescent="0.3">
      <c r="A11" s="3">
        <v>9</v>
      </c>
      <c r="B11" s="3" t="s">
        <v>223</v>
      </c>
      <c r="C11" s="3" t="s">
        <v>30</v>
      </c>
      <c r="D11" s="3">
        <v>2000</v>
      </c>
      <c r="E11" s="3" t="s">
        <v>32</v>
      </c>
      <c r="F11" s="3">
        <v>31200</v>
      </c>
      <c r="G11" s="3"/>
      <c r="H11" s="3"/>
      <c r="I11" s="13"/>
      <c r="J11" s="237"/>
      <c r="L11" s="7">
        <v>8</v>
      </c>
      <c r="M11" s="4" t="s">
        <v>281</v>
      </c>
      <c r="N11" s="206">
        <v>50000</v>
      </c>
      <c r="O11" s="207" t="s">
        <v>280</v>
      </c>
    </row>
    <row r="12" spans="1:19" ht="15" customHeight="1" x14ac:dyDescent="0.3">
      <c r="A12" s="558"/>
      <c r="B12" s="559"/>
      <c r="C12" s="559"/>
      <c r="D12" s="559"/>
      <c r="E12" s="559"/>
      <c r="F12" s="559"/>
      <c r="G12" s="559"/>
      <c r="H12" s="559"/>
      <c r="I12" s="559"/>
      <c r="J12" s="560"/>
      <c r="L12" s="7">
        <v>9</v>
      </c>
      <c r="M12" s="4" t="s">
        <v>282</v>
      </c>
      <c r="N12" s="206">
        <v>50000</v>
      </c>
      <c r="O12" s="207" t="s">
        <v>280</v>
      </c>
    </row>
    <row r="13" spans="1:19" x14ac:dyDescent="0.3">
      <c r="L13" s="7">
        <v>10</v>
      </c>
      <c r="M13" s="4" t="s">
        <v>211</v>
      </c>
      <c r="N13" s="206">
        <v>50000</v>
      </c>
      <c r="O13" s="207" t="s">
        <v>280</v>
      </c>
    </row>
    <row r="14" spans="1:19" x14ac:dyDescent="0.3">
      <c r="A14" s="3">
        <v>10</v>
      </c>
      <c r="B14" s="3" t="s">
        <v>246</v>
      </c>
      <c r="C14" s="558" t="s">
        <v>213</v>
      </c>
      <c r="D14" s="559"/>
      <c r="E14" s="559"/>
      <c r="F14" s="559"/>
      <c r="G14" s="559"/>
      <c r="H14" s="559"/>
      <c r="I14" s="560"/>
      <c r="J14" s="237">
        <v>50000</v>
      </c>
      <c r="L14" s="7">
        <v>11</v>
      </c>
      <c r="M14" s="4" t="s">
        <v>242</v>
      </c>
      <c r="N14" s="206">
        <v>50000</v>
      </c>
      <c r="O14" s="207" t="s">
        <v>273</v>
      </c>
    </row>
    <row r="15" spans="1:19" x14ac:dyDescent="0.3">
      <c r="A15" s="3">
        <v>11</v>
      </c>
      <c r="B15" s="3" t="s">
        <v>244</v>
      </c>
      <c r="C15" s="569" t="s">
        <v>396</v>
      </c>
      <c r="D15" s="570"/>
      <c r="E15" s="570"/>
      <c r="F15" s="570"/>
      <c r="G15" s="570"/>
      <c r="H15" s="570"/>
      <c r="I15" s="571"/>
      <c r="J15" s="237">
        <v>42000</v>
      </c>
      <c r="L15" s="7">
        <v>12</v>
      </c>
      <c r="M15" s="4" t="s">
        <v>242</v>
      </c>
      <c r="N15" s="206">
        <v>50000</v>
      </c>
      <c r="O15" s="207" t="s">
        <v>280</v>
      </c>
      <c r="Q15" t="s">
        <v>340</v>
      </c>
    </row>
    <row r="16" spans="1:19" x14ac:dyDescent="0.3">
      <c r="A16" s="558"/>
      <c r="B16" s="559"/>
      <c r="C16" s="559"/>
      <c r="D16" s="559"/>
      <c r="E16" s="559"/>
      <c r="F16" s="559"/>
      <c r="G16" s="559"/>
      <c r="H16" s="559"/>
      <c r="I16" s="559"/>
      <c r="J16" s="560"/>
      <c r="L16" s="7">
        <v>13</v>
      </c>
      <c r="M16" s="4" t="s">
        <v>246</v>
      </c>
      <c r="N16" s="206">
        <v>50000</v>
      </c>
      <c r="O16" s="207" t="s">
        <v>273</v>
      </c>
    </row>
    <row r="17" spans="1:15" x14ac:dyDescent="0.3">
      <c r="A17" s="227">
        <v>1</v>
      </c>
      <c r="B17" s="199" t="s">
        <v>240</v>
      </c>
      <c r="C17" s="199" t="s">
        <v>241</v>
      </c>
      <c r="D17" s="199">
        <v>50</v>
      </c>
      <c r="E17" s="199" t="s">
        <v>175</v>
      </c>
      <c r="F17" s="199">
        <v>23850</v>
      </c>
      <c r="G17" s="199"/>
      <c r="H17" s="199"/>
      <c r="I17" s="200"/>
      <c r="J17" s="296"/>
      <c r="L17" s="7">
        <v>14</v>
      </c>
      <c r="M17" s="4" t="s">
        <v>244</v>
      </c>
      <c r="N17" s="206">
        <v>42000</v>
      </c>
      <c r="O17" s="207" t="s">
        <v>280</v>
      </c>
    </row>
    <row r="18" spans="1:15" x14ac:dyDescent="0.3">
      <c r="A18" s="16">
        <v>2</v>
      </c>
      <c r="B18" s="3" t="s">
        <v>244</v>
      </c>
      <c r="C18" s="3" t="s">
        <v>395</v>
      </c>
      <c r="D18" s="3">
        <v>50</v>
      </c>
      <c r="E18" s="3" t="s">
        <v>175</v>
      </c>
      <c r="F18" s="3">
        <v>29254</v>
      </c>
      <c r="G18" s="3"/>
      <c r="H18" s="3"/>
      <c r="I18" s="13"/>
      <c r="J18" s="237"/>
      <c r="L18" s="7">
        <v>15</v>
      </c>
      <c r="M18" s="4" t="s">
        <v>251</v>
      </c>
      <c r="N18" s="206">
        <v>75000</v>
      </c>
      <c r="O18" s="207" t="s">
        <v>273</v>
      </c>
    </row>
    <row r="19" spans="1:15" x14ac:dyDescent="0.3">
      <c r="A19" s="3">
        <v>3</v>
      </c>
      <c r="B19" s="3" t="s">
        <v>247</v>
      </c>
      <c r="C19" s="3" t="s">
        <v>270</v>
      </c>
      <c r="D19" s="3">
        <v>50</v>
      </c>
      <c r="E19" s="3" t="s">
        <v>269</v>
      </c>
      <c r="F19" s="3">
        <v>23850</v>
      </c>
      <c r="G19" s="3"/>
      <c r="H19" s="3"/>
      <c r="I19" s="13"/>
      <c r="J19" s="237"/>
      <c r="L19" s="7">
        <v>16</v>
      </c>
      <c r="M19" s="4" t="s">
        <v>288</v>
      </c>
      <c r="N19" s="206">
        <v>70000</v>
      </c>
      <c r="O19" s="207" t="s">
        <v>273</v>
      </c>
    </row>
    <row r="20" spans="1:15" x14ac:dyDescent="0.3">
      <c r="A20" s="16">
        <v>4</v>
      </c>
      <c r="B20" s="3" t="s">
        <v>248</v>
      </c>
      <c r="C20" s="3" t="s">
        <v>174</v>
      </c>
      <c r="D20" s="3">
        <v>50</v>
      </c>
      <c r="E20" s="3" t="s">
        <v>175</v>
      </c>
      <c r="F20" s="3">
        <v>24100</v>
      </c>
      <c r="G20" s="3"/>
      <c r="H20" s="3"/>
      <c r="I20" s="13"/>
      <c r="J20" s="237"/>
      <c r="L20" s="7">
        <v>17</v>
      </c>
      <c r="M20" s="8">
        <v>45742</v>
      </c>
      <c r="N20" s="206">
        <v>75000</v>
      </c>
      <c r="O20" s="207" t="s">
        <v>273</v>
      </c>
    </row>
    <row r="21" spans="1:15" x14ac:dyDescent="0.3">
      <c r="A21" s="16">
        <v>5</v>
      </c>
      <c r="B21" s="3" t="s">
        <v>250</v>
      </c>
      <c r="C21" s="3" t="s">
        <v>174</v>
      </c>
      <c r="D21" s="3">
        <v>50</v>
      </c>
      <c r="E21" s="3" t="s">
        <v>175</v>
      </c>
      <c r="F21" s="3">
        <v>24100</v>
      </c>
      <c r="G21" s="3"/>
      <c r="H21" s="3"/>
      <c r="I21" s="13"/>
      <c r="J21" s="237"/>
      <c r="L21" s="72">
        <v>18</v>
      </c>
      <c r="M21" s="8">
        <v>45755</v>
      </c>
      <c r="N21" s="218">
        <v>100000</v>
      </c>
      <c r="O21" s="207" t="s">
        <v>280</v>
      </c>
    </row>
    <row r="22" spans="1:15" x14ac:dyDescent="0.3">
      <c r="A22" s="3">
        <v>6</v>
      </c>
      <c r="B22" s="3" t="s">
        <v>251</v>
      </c>
      <c r="C22" s="558" t="s">
        <v>213</v>
      </c>
      <c r="D22" s="559"/>
      <c r="E22" s="559"/>
      <c r="F22" s="559"/>
      <c r="G22" s="559"/>
      <c r="H22" s="559"/>
      <c r="I22" s="560"/>
      <c r="J22" s="237">
        <v>75000</v>
      </c>
      <c r="L22" s="7">
        <v>19</v>
      </c>
      <c r="M22" s="8">
        <v>45765</v>
      </c>
      <c r="N22" s="232">
        <v>40000</v>
      </c>
      <c r="O22" s="207" t="s">
        <v>280</v>
      </c>
    </row>
    <row r="23" spans="1:15" x14ac:dyDescent="0.3">
      <c r="A23" s="16">
        <v>7</v>
      </c>
      <c r="B23" s="3" t="s">
        <v>251</v>
      </c>
      <c r="C23" s="3" t="s">
        <v>174</v>
      </c>
      <c r="D23" s="3">
        <v>50</v>
      </c>
      <c r="E23" s="3" t="s">
        <v>175</v>
      </c>
      <c r="F23" s="3">
        <v>24100</v>
      </c>
      <c r="G23" s="3"/>
      <c r="H23" s="3"/>
      <c r="I23" s="13"/>
      <c r="J23" s="237"/>
      <c r="L23" s="7">
        <v>20</v>
      </c>
      <c r="M23" s="8">
        <v>45784</v>
      </c>
      <c r="N23" s="232">
        <v>50000</v>
      </c>
      <c r="O23" s="207" t="s">
        <v>280</v>
      </c>
    </row>
    <row r="24" spans="1:15" x14ac:dyDescent="0.3">
      <c r="A24" s="16">
        <v>8</v>
      </c>
      <c r="B24" s="3" t="s">
        <v>253</v>
      </c>
      <c r="C24" s="3" t="s">
        <v>174</v>
      </c>
      <c r="D24" s="3">
        <v>50</v>
      </c>
      <c r="E24" s="3" t="s">
        <v>175</v>
      </c>
      <c r="F24" s="3">
        <v>23850</v>
      </c>
      <c r="G24" s="3"/>
      <c r="H24" s="3"/>
      <c r="I24" s="13"/>
      <c r="J24" s="237"/>
      <c r="L24" s="1">
        <v>21</v>
      </c>
      <c r="M24" s="2">
        <v>45806</v>
      </c>
      <c r="N24" s="226">
        <v>100000</v>
      </c>
      <c r="O24" s="207" t="s">
        <v>280</v>
      </c>
    </row>
    <row r="25" spans="1:15" x14ac:dyDescent="0.3">
      <c r="A25" s="3">
        <v>9</v>
      </c>
      <c r="B25" s="3" t="s">
        <v>253</v>
      </c>
      <c r="C25" s="3" t="s">
        <v>254</v>
      </c>
      <c r="D25" s="3">
        <v>332.4</v>
      </c>
      <c r="E25" s="3" t="s">
        <v>82</v>
      </c>
      <c r="F25" s="3">
        <v>21729</v>
      </c>
      <c r="G25" s="3"/>
      <c r="H25" s="3"/>
      <c r="I25" s="13"/>
      <c r="J25" s="237"/>
      <c r="L25" s="1">
        <v>22</v>
      </c>
      <c r="M25" s="37">
        <v>45832</v>
      </c>
      <c r="N25" s="226">
        <v>40000</v>
      </c>
      <c r="O25" s="21"/>
    </row>
    <row r="26" spans="1:15" x14ac:dyDescent="0.3">
      <c r="A26" s="16">
        <v>10</v>
      </c>
      <c r="B26" s="3" t="s">
        <v>305</v>
      </c>
      <c r="C26" s="3" t="s">
        <v>33</v>
      </c>
      <c r="D26" s="3">
        <v>50</v>
      </c>
      <c r="E26" s="3" t="s">
        <v>175</v>
      </c>
      <c r="F26" s="3">
        <v>23850</v>
      </c>
      <c r="G26" s="3"/>
      <c r="H26" s="3"/>
      <c r="I26" s="13"/>
      <c r="J26" s="237"/>
      <c r="L26" s="39">
        <v>23</v>
      </c>
      <c r="M26" s="37">
        <v>45854</v>
      </c>
      <c r="N26" s="226">
        <v>100000</v>
      </c>
      <c r="O26" s="21"/>
    </row>
    <row r="27" spans="1:15" x14ac:dyDescent="0.3">
      <c r="A27" s="16">
        <v>11</v>
      </c>
      <c r="B27" s="3" t="s">
        <v>305</v>
      </c>
      <c r="C27" s="3" t="s">
        <v>294</v>
      </c>
      <c r="D27" s="3"/>
      <c r="E27" s="3"/>
      <c r="F27" s="3">
        <v>12106</v>
      </c>
      <c r="G27" s="3"/>
      <c r="H27" s="3"/>
      <c r="I27" s="13"/>
      <c r="J27" s="237"/>
      <c r="L27" s="39">
        <v>24</v>
      </c>
      <c r="M27" s="37">
        <v>45870</v>
      </c>
      <c r="N27" s="226">
        <v>30000</v>
      </c>
      <c r="O27" s="21"/>
    </row>
    <row r="28" spans="1:15" ht="15" thickBot="1" x14ac:dyDescent="0.35">
      <c r="A28" s="3">
        <v>12</v>
      </c>
      <c r="B28" s="3" t="s">
        <v>288</v>
      </c>
      <c r="C28" s="558" t="s">
        <v>213</v>
      </c>
      <c r="D28" s="559"/>
      <c r="E28" s="559"/>
      <c r="F28" s="559"/>
      <c r="G28" s="559"/>
      <c r="H28" s="559"/>
      <c r="I28" s="560"/>
      <c r="J28" s="237">
        <v>70000</v>
      </c>
      <c r="L28" s="556" t="s">
        <v>98</v>
      </c>
      <c r="M28" s="557"/>
      <c r="N28" s="246">
        <f>SUM(N4:N27)</f>
        <v>1547200</v>
      </c>
      <c r="O28" s="247"/>
    </row>
    <row r="29" spans="1:15" x14ac:dyDescent="0.3">
      <c r="A29" s="16">
        <v>13</v>
      </c>
      <c r="B29" s="3" t="s">
        <v>302</v>
      </c>
      <c r="C29" s="3" t="s">
        <v>174</v>
      </c>
      <c r="D29" s="3">
        <v>50</v>
      </c>
      <c r="E29" s="3" t="s">
        <v>175</v>
      </c>
      <c r="F29" s="3">
        <v>24100</v>
      </c>
      <c r="G29" s="3"/>
      <c r="H29" s="3"/>
      <c r="I29" s="13"/>
      <c r="J29" s="237"/>
    </row>
    <row r="30" spans="1:15" x14ac:dyDescent="0.3">
      <c r="A30" s="16">
        <v>14</v>
      </c>
      <c r="B30" s="3" t="s">
        <v>304</v>
      </c>
      <c r="C30" s="3" t="s">
        <v>174</v>
      </c>
      <c r="D30" s="3">
        <v>50</v>
      </c>
      <c r="E30" s="3" t="s">
        <v>175</v>
      </c>
      <c r="F30" s="3">
        <v>24100</v>
      </c>
      <c r="G30" s="3"/>
      <c r="H30" s="3"/>
      <c r="I30" s="13"/>
      <c r="J30" s="237"/>
    </row>
    <row r="31" spans="1:15" x14ac:dyDescent="0.3">
      <c r="A31" s="3">
        <v>15</v>
      </c>
      <c r="B31" s="3" t="s">
        <v>303</v>
      </c>
      <c r="C31" s="3" t="s">
        <v>174</v>
      </c>
      <c r="D31" s="3">
        <v>50</v>
      </c>
      <c r="E31" s="3" t="s">
        <v>175</v>
      </c>
      <c r="F31" s="3">
        <v>24100</v>
      </c>
      <c r="G31" s="3"/>
      <c r="H31" s="3"/>
      <c r="I31" s="13"/>
      <c r="J31" s="237"/>
    </row>
    <row r="32" spans="1:15" ht="15.75" customHeight="1" x14ac:dyDescent="0.3">
      <c r="A32" s="16">
        <v>16</v>
      </c>
      <c r="B32" s="3" t="s">
        <v>303</v>
      </c>
      <c r="C32" s="3" t="s">
        <v>174</v>
      </c>
      <c r="D32" s="3">
        <v>50</v>
      </c>
      <c r="E32" s="3" t="s">
        <v>175</v>
      </c>
      <c r="F32" s="3">
        <v>24100</v>
      </c>
      <c r="G32" s="3"/>
      <c r="H32" s="3"/>
      <c r="I32" s="13"/>
      <c r="J32" s="237"/>
    </row>
    <row r="33" spans="1:10" ht="15.75" customHeight="1" x14ac:dyDescent="0.3">
      <c r="A33" s="16">
        <v>17</v>
      </c>
      <c r="B33" s="3" t="s">
        <v>308</v>
      </c>
      <c r="C33" s="3" t="s">
        <v>174</v>
      </c>
      <c r="D33" s="3">
        <v>50</v>
      </c>
      <c r="E33" s="3" t="s">
        <v>175</v>
      </c>
      <c r="F33" s="3">
        <f>D33*450+1000+100+550</f>
        <v>24150</v>
      </c>
      <c r="G33" s="3"/>
      <c r="H33" s="3"/>
      <c r="I33" s="13"/>
      <c r="J33" s="237"/>
    </row>
    <row r="34" spans="1:10" x14ac:dyDescent="0.3">
      <c r="A34" s="3">
        <v>18</v>
      </c>
      <c r="B34" s="3" t="s">
        <v>308</v>
      </c>
      <c r="C34" s="3" t="s">
        <v>309</v>
      </c>
      <c r="D34" s="3">
        <v>50.4</v>
      </c>
      <c r="E34" s="3" t="s">
        <v>82</v>
      </c>
      <c r="F34" s="3">
        <f>D34*75</f>
        <v>3780</v>
      </c>
      <c r="G34" s="3"/>
      <c r="H34" s="3"/>
      <c r="I34" s="13"/>
      <c r="J34" s="237"/>
    </row>
    <row r="35" spans="1:10" x14ac:dyDescent="0.3">
      <c r="A35" s="16">
        <v>19</v>
      </c>
      <c r="B35" s="3" t="s">
        <v>325</v>
      </c>
      <c r="C35" s="3" t="s">
        <v>174</v>
      </c>
      <c r="D35" s="3">
        <v>50</v>
      </c>
      <c r="E35" s="3" t="s">
        <v>175</v>
      </c>
      <c r="F35" s="3">
        <v>26000</v>
      </c>
      <c r="G35" s="3"/>
      <c r="H35" s="3"/>
      <c r="I35" s="13"/>
      <c r="J35" s="237"/>
    </row>
    <row r="36" spans="1:10" x14ac:dyDescent="0.3">
      <c r="A36" s="16">
        <v>20</v>
      </c>
      <c r="B36" s="2">
        <v>45742</v>
      </c>
      <c r="C36" s="558" t="s">
        <v>213</v>
      </c>
      <c r="D36" s="559"/>
      <c r="E36" s="559"/>
      <c r="F36" s="559"/>
      <c r="G36" s="559"/>
      <c r="H36" s="559"/>
      <c r="I36" s="560"/>
      <c r="J36" s="237">
        <v>75000</v>
      </c>
    </row>
    <row r="37" spans="1:10" x14ac:dyDescent="0.3">
      <c r="A37" s="3">
        <v>21</v>
      </c>
      <c r="B37" s="2">
        <v>45754</v>
      </c>
      <c r="C37" s="3" t="s">
        <v>174</v>
      </c>
      <c r="D37" s="3">
        <v>50</v>
      </c>
      <c r="E37" s="3" t="s">
        <v>175</v>
      </c>
      <c r="F37" s="3">
        <v>23600</v>
      </c>
      <c r="G37" s="3"/>
      <c r="H37" s="3"/>
      <c r="I37" s="13"/>
      <c r="J37" s="237"/>
    </row>
    <row r="38" spans="1:10" x14ac:dyDescent="0.3">
      <c r="A38" s="16">
        <v>22</v>
      </c>
      <c r="B38" s="2">
        <v>45754</v>
      </c>
      <c r="C38" s="3" t="s">
        <v>171</v>
      </c>
      <c r="D38" s="3">
        <v>1000</v>
      </c>
      <c r="E38" s="3" t="s">
        <v>32</v>
      </c>
      <c r="F38" s="3">
        <v>16600</v>
      </c>
      <c r="G38" s="3"/>
      <c r="H38" s="3"/>
      <c r="I38" s="13"/>
      <c r="J38" s="237"/>
    </row>
    <row r="39" spans="1:10" x14ac:dyDescent="0.3">
      <c r="A39" s="16">
        <v>23</v>
      </c>
      <c r="B39" s="2">
        <v>45756</v>
      </c>
      <c r="C39" s="558" t="s">
        <v>213</v>
      </c>
      <c r="D39" s="559"/>
      <c r="E39" s="559"/>
      <c r="F39" s="559"/>
      <c r="G39" s="559"/>
      <c r="H39" s="559"/>
      <c r="I39" s="560"/>
      <c r="J39" s="226">
        <v>100000</v>
      </c>
    </row>
    <row r="40" spans="1:10" x14ac:dyDescent="0.3">
      <c r="A40" s="3">
        <v>24</v>
      </c>
      <c r="B40" s="2">
        <v>45762</v>
      </c>
      <c r="C40" s="3"/>
      <c r="D40" s="3"/>
      <c r="E40" s="3"/>
      <c r="F40" s="3">
        <v>22000</v>
      </c>
      <c r="G40" s="3"/>
      <c r="H40" s="3"/>
      <c r="I40" s="3"/>
      <c r="J40" s="226"/>
    </row>
    <row r="41" spans="1:10" x14ac:dyDescent="0.3">
      <c r="A41" s="16">
        <v>25</v>
      </c>
      <c r="B41" s="2">
        <v>45762</v>
      </c>
      <c r="C41" s="3" t="s">
        <v>174</v>
      </c>
      <c r="D41" s="3">
        <v>50</v>
      </c>
      <c r="E41" s="3" t="s">
        <v>175</v>
      </c>
      <c r="F41" s="3">
        <v>24100</v>
      </c>
      <c r="G41" s="3"/>
      <c r="H41" s="3"/>
      <c r="I41" s="13"/>
      <c r="J41" s="226"/>
    </row>
    <row r="42" spans="1:10" x14ac:dyDescent="0.3">
      <c r="A42" s="16">
        <v>26</v>
      </c>
      <c r="B42" s="2">
        <v>45763</v>
      </c>
      <c r="C42" s="3" t="s">
        <v>171</v>
      </c>
      <c r="D42" s="3">
        <v>1000</v>
      </c>
      <c r="E42" s="3" t="s">
        <v>32</v>
      </c>
      <c r="F42" s="3">
        <v>16600</v>
      </c>
      <c r="G42" s="3"/>
      <c r="H42" s="3"/>
      <c r="I42" s="13"/>
      <c r="J42" s="226"/>
    </row>
    <row r="43" spans="1:10" x14ac:dyDescent="0.3">
      <c r="A43" s="3">
        <v>27</v>
      </c>
      <c r="B43" s="2">
        <v>45765</v>
      </c>
      <c r="C43" s="558" t="s">
        <v>213</v>
      </c>
      <c r="D43" s="559"/>
      <c r="E43" s="559"/>
      <c r="F43" s="559"/>
      <c r="G43" s="559"/>
      <c r="H43" s="559"/>
      <c r="I43" s="560"/>
      <c r="J43" s="226">
        <v>40000</v>
      </c>
    </row>
    <row r="44" spans="1:10" x14ac:dyDescent="0.3">
      <c r="A44" s="16">
        <v>28</v>
      </c>
      <c r="B44" s="2">
        <v>45771</v>
      </c>
      <c r="C44" s="3" t="s">
        <v>174</v>
      </c>
      <c r="D44" s="3">
        <v>50</v>
      </c>
      <c r="E44" s="3" t="s">
        <v>175</v>
      </c>
      <c r="F44" s="3">
        <v>24600</v>
      </c>
      <c r="G44" s="3"/>
      <c r="H44" s="3"/>
      <c r="I44" s="13"/>
      <c r="J44" s="226"/>
    </row>
    <row r="45" spans="1:10" x14ac:dyDescent="0.3">
      <c r="A45" s="16">
        <v>29</v>
      </c>
      <c r="B45" s="2">
        <v>45775</v>
      </c>
      <c r="C45" s="3" t="s">
        <v>352</v>
      </c>
      <c r="D45" s="3">
        <v>80</v>
      </c>
      <c r="E45" s="3" t="s">
        <v>353</v>
      </c>
      <c r="F45" s="3">
        <v>3800</v>
      </c>
      <c r="G45" s="3"/>
      <c r="H45" s="3"/>
      <c r="I45" s="13"/>
      <c r="J45" s="226"/>
    </row>
    <row r="46" spans="1:10" x14ac:dyDescent="0.3">
      <c r="A46" s="3">
        <v>30</v>
      </c>
      <c r="B46" s="2">
        <v>45776</v>
      </c>
      <c r="C46" s="3" t="s">
        <v>174</v>
      </c>
      <c r="D46" s="3">
        <v>50</v>
      </c>
      <c r="E46" s="3" t="s">
        <v>175</v>
      </c>
      <c r="F46" s="3">
        <v>24100</v>
      </c>
      <c r="G46" s="3"/>
      <c r="H46" s="3"/>
      <c r="I46" s="13"/>
      <c r="J46" s="226"/>
    </row>
    <row r="47" spans="1:10" x14ac:dyDescent="0.3">
      <c r="A47" s="16">
        <v>31</v>
      </c>
      <c r="B47" s="2">
        <v>45776</v>
      </c>
      <c r="C47" s="3" t="s">
        <v>174</v>
      </c>
      <c r="D47" s="3">
        <v>50</v>
      </c>
      <c r="E47" s="3" t="s">
        <v>175</v>
      </c>
      <c r="F47" s="3">
        <v>24600</v>
      </c>
      <c r="G47" s="13"/>
      <c r="H47" s="13"/>
      <c r="I47" s="13"/>
      <c r="J47" s="226"/>
    </row>
    <row r="48" spans="1:10" x14ac:dyDescent="0.3">
      <c r="A48" s="16">
        <v>32</v>
      </c>
      <c r="B48" s="2">
        <v>45777</v>
      </c>
      <c r="C48" s="3" t="s">
        <v>171</v>
      </c>
      <c r="D48" s="3">
        <v>1000</v>
      </c>
      <c r="E48" s="3" t="s">
        <v>32</v>
      </c>
      <c r="F48" s="3">
        <v>16600</v>
      </c>
      <c r="G48" s="13"/>
      <c r="H48" s="13"/>
      <c r="I48" s="13"/>
      <c r="J48" s="226"/>
    </row>
    <row r="49" spans="1:18" x14ac:dyDescent="0.3">
      <c r="A49" s="3">
        <v>33</v>
      </c>
      <c r="B49" s="2">
        <v>45784</v>
      </c>
      <c r="C49" s="558" t="s">
        <v>213</v>
      </c>
      <c r="D49" s="559"/>
      <c r="E49" s="559"/>
      <c r="F49" s="559"/>
      <c r="G49" s="559"/>
      <c r="H49" s="559"/>
      <c r="I49" s="560"/>
      <c r="J49" s="226">
        <v>50000</v>
      </c>
    </row>
    <row r="50" spans="1:18" x14ac:dyDescent="0.3">
      <c r="A50" s="16">
        <v>34</v>
      </c>
      <c r="B50" s="2">
        <v>45789</v>
      </c>
      <c r="C50" s="3" t="s">
        <v>174</v>
      </c>
      <c r="D50" s="3">
        <v>50</v>
      </c>
      <c r="E50" s="3" t="s">
        <v>175</v>
      </c>
      <c r="F50" s="3">
        <v>27600</v>
      </c>
      <c r="G50" s="13"/>
      <c r="H50" s="13"/>
      <c r="I50" s="13"/>
      <c r="J50" s="226"/>
    </row>
    <row r="51" spans="1:18" x14ac:dyDescent="0.3">
      <c r="A51" s="16">
        <v>35</v>
      </c>
      <c r="B51" s="2">
        <v>45806</v>
      </c>
      <c r="C51" s="558" t="s">
        <v>213</v>
      </c>
      <c r="D51" s="559"/>
      <c r="E51" s="559"/>
      <c r="F51" s="559"/>
      <c r="G51" s="559"/>
      <c r="H51" s="559"/>
      <c r="I51" s="560"/>
      <c r="J51" s="226">
        <v>100000</v>
      </c>
    </row>
    <row r="52" spans="1:18" x14ac:dyDescent="0.3">
      <c r="A52" s="3">
        <v>36</v>
      </c>
      <c r="B52" s="2">
        <v>45818</v>
      </c>
      <c r="C52" s="3" t="s">
        <v>171</v>
      </c>
      <c r="D52" s="3">
        <v>2000</v>
      </c>
      <c r="E52" s="3" t="s">
        <v>32</v>
      </c>
      <c r="F52" s="3">
        <v>32400</v>
      </c>
      <c r="G52" s="13"/>
      <c r="H52" s="13"/>
      <c r="I52" s="13"/>
      <c r="J52" s="13"/>
      <c r="Q52" s="231"/>
    </row>
    <row r="53" spans="1:18" x14ac:dyDescent="0.3">
      <c r="A53" s="16">
        <v>37</v>
      </c>
      <c r="B53" s="8">
        <v>45822</v>
      </c>
      <c r="C53" s="3" t="s">
        <v>171</v>
      </c>
      <c r="D53" s="3">
        <v>1000</v>
      </c>
      <c r="E53" s="3" t="s">
        <v>32</v>
      </c>
      <c r="F53" s="3">
        <v>16200</v>
      </c>
      <c r="G53" s="4"/>
      <c r="H53" s="4"/>
      <c r="I53" s="4"/>
      <c r="J53" s="4"/>
    </row>
    <row r="54" spans="1:18" x14ac:dyDescent="0.3">
      <c r="A54" s="16">
        <v>38</v>
      </c>
      <c r="B54" s="8">
        <v>45832</v>
      </c>
      <c r="C54" s="558" t="s">
        <v>213</v>
      </c>
      <c r="D54" s="559"/>
      <c r="E54" s="559"/>
      <c r="F54" s="559"/>
      <c r="G54" s="559"/>
      <c r="H54" s="559"/>
      <c r="I54" s="560"/>
      <c r="J54" s="294">
        <v>40000</v>
      </c>
    </row>
    <row r="55" spans="1:18" x14ac:dyDescent="0.3">
      <c r="A55" s="3">
        <v>39</v>
      </c>
      <c r="B55" s="8">
        <v>45834</v>
      </c>
      <c r="C55" s="4" t="s">
        <v>394</v>
      </c>
      <c r="D55" s="4">
        <v>15</v>
      </c>
      <c r="E55" s="4" t="s">
        <v>32</v>
      </c>
      <c r="F55" s="376">
        <v>45138</v>
      </c>
      <c r="G55" s="4"/>
      <c r="H55" s="4"/>
      <c r="I55" s="4"/>
      <c r="J55" s="4"/>
    </row>
    <row r="56" spans="1:18" x14ac:dyDescent="0.3">
      <c r="A56" s="16">
        <v>40</v>
      </c>
      <c r="B56" s="8">
        <v>45834</v>
      </c>
      <c r="C56" s="4" t="s">
        <v>174</v>
      </c>
      <c r="D56" s="4">
        <v>50</v>
      </c>
      <c r="E56" s="4" t="s">
        <v>175</v>
      </c>
      <c r="F56" s="378"/>
      <c r="G56" s="4"/>
      <c r="H56" s="4"/>
      <c r="I56" s="4"/>
      <c r="J56" s="4"/>
    </row>
    <row r="57" spans="1:18" x14ac:dyDescent="0.3">
      <c r="A57" s="16">
        <v>41</v>
      </c>
      <c r="B57" s="8">
        <v>45854</v>
      </c>
      <c r="C57" s="561"/>
      <c r="D57" s="562"/>
      <c r="E57" s="562"/>
      <c r="F57" s="562"/>
      <c r="G57" s="562"/>
      <c r="H57" s="562"/>
      <c r="I57" s="563"/>
      <c r="J57" s="294">
        <v>100000</v>
      </c>
    </row>
    <row r="58" spans="1:18" x14ac:dyDescent="0.3">
      <c r="A58" s="111">
        <v>42</v>
      </c>
      <c r="B58" s="8">
        <v>45870</v>
      </c>
      <c r="C58" s="505"/>
      <c r="D58" s="505"/>
      <c r="E58" s="505"/>
      <c r="F58" s="505"/>
      <c r="G58" s="505"/>
      <c r="H58" s="505"/>
      <c r="I58" s="505"/>
      <c r="J58" s="309">
        <v>30000</v>
      </c>
    </row>
    <row r="59" spans="1:18" x14ac:dyDescent="0.3">
      <c r="A59" s="572" t="s">
        <v>27</v>
      </c>
      <c r="B59" s="573"/>
      <c r="C59" s="573"/>
      <c r="D59" s="573"/>
      <c r="E59" s="574"/>
      <c r="F59" s="300">
        <f>F17+F18+F19+F20+F21+F23+F24+F25+F26+F27+F29+F30+F31+F32+F33+F34+F35+F37+F38+F40+F41+F42+F44+F45+F46+F47+F48+F50+F52+F53+F55</f>
        <v>699057</v>
      </c>
      <c r="G59" s="575">
        <f>J22+J28+J36+J39+J43+J49+J51+J54+J57+J58</f>
        <v>680000</v>
      </c>
      <c r="H59" s="573"/>
      <c r="I59" s="573"/>
      <c r="J59" s="574"/>
    </row>
    <row r="60" spans="1:18" x14ac:dyDescent="0.3">
      <c r="A60" s="520" t="s">
        <v>397</v>
      </c>
      <c r="B60" s="521"/>
      <c r="C60" s="521"/>
      <c r="D60" s="521"/>
      <c r="E60" s="522"/>
      <c r="F60" s="576">
        <f>F59-G59</f>
        <v>19057</v>
      </c>
      <c r="G60" s="521"/>
      <c r="H60" s="521"/>
      <c r="I60" s="521"/>
      <c r="J60" s="522"/>
    </row>
    <row r="61" spans="1:18" ht="15" thickBot="1" x14ac:dyDescent="0.35">
      <c r="A61" s="564" t="s">
        <v>492</v>
      </c>
      <c r="B61" s="564"/>
      <c r="C61" s="564"/>
      <c r="D61" s="564"/>
      <c r="E61" s="564"/>
      <c r="F61" s="564"/>
      <c r="G61" s="564"/>
      <c r="H61" s="564"/>
      <c r="I61" s="564"/>
      <c r="J61" s="565"/>
    </row>
    <row r="62" spans="1:18" ht="15" thickBot="1" x14ac:dyDescent="0.35">
      <c r="A62" s="555" t="s">
        <v>464</v>
      </c>
      <c r="B62" s="555"/>
      <c r="C62" s="555"/>
      <c r="D62" s="555"/>
      <c r="E62" s="555"/>
      <c r="F62" s="555"/>
      <c r="G62" s="555"/>
      <c r="H62" s="555"/>
      <c r="I62" s="555"/>
      <c r="J62" s="555"/>
      <c r="L62" s="547" t="s">
        <v>283</v>
      </c>
      <c r="M62" s="548"/>
      <c r="N62" s="548"/>
      <c r="O62" s="549"/>
      <c r="Q62" s="553" t="s">
        <v>286</v>
      </c>
      <c r="R62" s="554"/>
    </row>
    <row r="63" spans="1:18" x14ac:dyDescent="0.3">
      <c r="A63" s="520" t="s">
        <v>489</v>
      </c>
      <c r="B63" s="521"/>
      <c r="C63" s="521"/>
      <c r="D63" s="521"/>
      <c r="E63" s="521"/>
      <c r="F63" s="522"/>
      <c r="G63" s="334"/>
      <c r="H63" s="3"/>
      <c r="I63" s="3"/>
      <c r="J63" s="3"/>
      <c r="L63" s="208" t="s">
        <v>326</v>
      </c>
      <c r="M63" s="209" t="s">
        <v>2</v>
      </c>
      <c r="N63" s="209" t="s">
        <v>291</v>
      </c>
      <c r="O63" s="210" t="s">
        <v>327</v>
      </c>
      <c r="Q63" s="88" t="s">
        <v>481</v>
      </c>
      <c r="R63" s="211">
        <f>G91</f>
        <v>902428</v>
      </c>
    </row>
    <row r="64" spans="1:18" x14ac:dyDescent="0.3">
      <c r="A64" s="3">
        <v>1</v>
      </c>
      <c r="B64" s="2">
        <v>45910</v>
      </c>
      <c r="C64" s="3" t="s">
        <v>171</v>
      </c>
      <c r="D64" s="3">
        <v>3000</v>
      </c>
      <c r="E64" s="3" t="s">
        <v>32</v>
      </c>
      <c r="F64" s="226">
        <f>14*3000</f>
        <v>42000</v>
      </c>
      <c r="G64" s="443">
        <f>107000+7000+1050+4900</f>
        <v>119950</v>
      </c>
      <c r="H64" s="373">
        <v>45913</v>
      </c>
      <c r="I64" s="13"/>
      <c r="J64" s="13"/>
      <c r="L64" s="7">
        <v>1</v>
      </c>
      <c r="M64" s="8">
        <v>45925</v>
      </c>
      <c r="N64" s="206">
        <v>75000</v>
      </c>
      <c r="O64" s="207" t="s">
        <v>275</v>
      </c>
      <c r="Q64" s="39"/>
      <c r="R64" s="212"/>
    </row>
    <row r="65" spans="1:22" ht="15" thickBot="1" x14ac:dyDescent="0.35">
      <c r="A65" s="3">
        <v>2</v>
      </c>
      <c r="B65" s="2">
        <v>45911</v>
      </c>
      <c r="C65" s="3" t="s">
        <v>171</v>
      </c>
      <c r="D65" s="3">
        <v>1000</v>
      </c>
      <c r="E65" s="3" t="s">
        <v>32</v>
      </c>
      <c r="F65" s="226">
        <f>D65*14</f>
        <v>14000</v>
      </c>
      <c r="G65" s="444"/>
      <c r="H65" s="374"/>
      <c r="I65" s="13"/>
      <c r="J65" s="13"/>
      <c r="L65" s="7"/>
      <c r="M65" s="8">
        <v>45953</v>
      </c>
      <c r="N65" s="206">
        <v>95000</v>
      </c>
      <c r="O65" s="207"/>
      <c r="Q65" s="87"/>
      <c r="R65" s="213"/>
    </row>
    <row r="66" spans="1:22" ht="15" thickBot="1" x14ac:dyDescent="0.35">
      <c r="A66" s="3">
        <v>3</v>
      </c>
      <c r="B66" s="2">
        <v>45911</v>
      </c>
      <c r="C66" s="3" t="s">
        <v>174</v>
      </c>
      <c r="D66" s="3">
        <v>50</v>
      </c>
      <c r="E66" s="3" t="s">
        <v>175</v>
      </c>
      <c r="F66" s="226">
        <f>460*D66</f>
        <v>23000</v>
      </c>
      <c r="G66" s="444"/>
      <c r="H66" s="374"/>
      <c r="I66" s="13"/>
      <c r="J66" s="13"/>
      <c r="L66" s="7"/>
      <c r="M66" s="316">
        <v>45969</v>
      </c>
      <c r="N66" s="231">
        <v>50000</v>
      </c>
      <c r="O66" s="207"/>
      <c r="Q66" s="204" t="s">
        <v>482</v>
      </c>
      <c r="R66" s="214">
        <f>N70</f>
        <v>470000</v>
      </c>
    </row>
    <row r="67" spans="1:22" ht="15" thickBot="1" x14ac:dyDescent="0.35">
      <c r="A67" s="3">
        <v>4</v>
      </c>
      <c r="B67" s="2">
        <v>45912</v>
      </c>
      <c r="C67" s="3" t="s">
        <v>171</v>
      </c>
      <c r="D67" s="3">
        <v>1000</v>
      </c>
      <c r="E67" s="3" t="s">
        <v>32</v>
      </c>
      <c r="F67" s="226">
        <f t="shared" ref="F67:F74" si="0">D67*14</f>
        <v>14000</v>
      </c>
      <c r="G67" s="444"/>
      <c r="H67" s="374"/>
      <c r="I67" s="13"/>
      <c r="J67" s="13"/>
      <c r="L67" s="13"/>
      <c r="M67" s="8">
        <v>45974</v>
      </c>
      <c r="N67" s="206">
        <v>150000</v>
      </c>
      <c r="O67" s="13"/>
      <c r="P67" s="524" t="s">
        <v>98</v>
      </c>
      <c r="Q67" s="525"/>
      <c r="R67" s="356">
        <f>R63-R66</f>
        <v>432428</v>
      </c>
      <c r="S67" s="357"/>
      <c r="U67" s="354" t="s">
        <v>397</v>
      </c>
      <c r="V67" s="355">
        <f>R63-R66</f>
        <v>432428</v>
      </c>
    </row>
    <row r="68" spans="1:22" x14ac:dyDescent="0.3">
      <c r="A68" s="3">
        <v>5</v>
      </c>
      <c r="B68" s="2">
        <v>45913</v>
      </c>
      <c r="C68" s="3" t="s">
        <v>171</v>
      </c>
      <c r="D68" s="3">
        <v>1000</v>
      </c>
      <c r="E68" s="3" t="s">
        <v>32</v>
      </c>
      <c r="F68" s="226">
        <f t="shared" si="0"/>
        <v>14000</v>
      </c>
      <c r="G68" s="445"/>
      <c r="H68" s="375"/>
      <c r="I68" s="13"/>
      <c r="J68" s="13"/>
      <c r="L68" s="13"/>
      <c r="M68" s="37">
        <v>45984</v>
      </c>
      <c r="N68" s="226">
        <v>100000</v>
      </c>
      <c r="O68" s="13"/>
    </row>
    <row r="69" spans="1:22" x14ac:dyDescent="0.3">
      <c r="A69" s="3">
        <v>6</v>
      </c>
      <c r="B69" s="2">
        <v>45916</v>
      </c>
      <c r="C69" s="3" t="s">
        <v>171</v>
      </c>
      <c r="D69" s="3">
        <v>2000</v>
      </c>
      <c r="E69" s="3" t="s">
        <v>32</v>
      </c>
      <c r="F69" s="226">
        <f t="shared" si="0"/>
        <v>28000</v>
      </c>
      <c r="G69" s="206">
        <f>F69+2000+300+1400</f>
        <v>31700</v>
      </c>
      <c r="H69" s="8">
        <v>45916</v>
      </c>
      <c r="I69" s="13"/>
      <c r="J69" s="13"/>
      <c r="L69" s="13"/>
      <c r="M69" s="13"/>
      <c r="N69" s="13"/>
      <c r="O69" s="13"/>
    </row>
    <row r="70" spans="1:22" x14ac:dyDescent="0.3">
      <c r="A70" s="3">
        <v>7</v>
      </c>
      <c r="B70" s="2">
        <v>45918</v>
      </c>
      <c r="C70" s="3" t="s">
        <v>171</v>
      </c>
      <c r="D70" s="3">
        <v>1000</v>
      </c>
      <c r="E70" s="3" t="s">
        <v>32</v>
      </c>
      <c r="F70" s="226">
        <f t="shared" si="0"/>
        <v>14000</v>
      </c>
      <c r="G70" s="206">
        <v>15850</v>
      </c>
      <c r="H70" s="8">
        <v>45918</v>
      </c>
      <c r="I70" s="13"/>
      <c r="J70" s="13"/>
      <c r="L70" s="13"/>
      <c r="M70" s="13"/>
      <c r="N70" s="329">
        <f>SUM(N64:N68)</f>
        <v>470000</v>
      </c>
      <c r="O70" s="13"/>
    </row>
    <row r="71" spans="1:22" x14ac:dyDescent="0.3">
      <c r="A71" s="3">
        <v>8</v>
      </c>
      <c r="B71" s="2">
        <v>45928</v>
      </c>
      <c r="C71" s="3" t="s">
        <v>171</v>
      </c>
      <c r="D71" s="3">
        <v>1000</v>
      </c>
      <c r="E71" s="3" t="s">
        <v>32</v>
      </c>
      <c r="F71" s="226">
        <f t="shared" si="0"/>
        <v>14000</v>
      </c>
      <c r="G71" s="443">
        <v>65300</v>
      </c>
      <c r="H71" s="373">
        <v>45929</v>
      </c>
      <c r="I71" s="13"/>
      <c r="J71" s="13"/>
    </row>
    <row r="72" spans="1:22" x14ac:dyDescent="0.3">
      <c r="A72" s="3">
        <v>9</v>
      </c>
      <c r="B72" s="2">
        <v>45929</v>
      </c>
      <c r="C72" s="3" t="s">
        <v>171</v>
      </c>
      <c r="D72" s="3">
        <v>1000</v>
      </c>
      <c r="E72" s="3" t="s">
        <v>32</v>
      </c>
      <c r="F72" s="226">
        <f t="shared" si="0"/>
        <v>14000</v>
      </c>
      <c r="G72" s="444"/>
      <c r="H72" s="377"/>
      <c r="I72" s="13"/>
      <c r="J72" s="13"/>
    </row>
    <row r="73" spans="1:22" x14ac:dyDescent="0.3">
      <c r="A73" s="3">
        <v>10</v>
      </c>
      <c r="B73" s="2">
        <v>45929</v>
      </c>
      <c r="C73" s="3" t="s">
        <v>171</v>
      </c>
      <c r="D73" s="3">
        <v>1000</v>
      </c>
      <c r="E73" s="3" t="s">
        <v>32</v>
      </c>
      <c r="F73" s="226">
        <f t="shared" si="0"/>
        <v>14000</v>
      </c>
      <c r="G73" s="444"/>
      <c r="H73" s="377"/>
      <c r="I73" s="13"/>
      <c r="J73" s="13"/>
    </row>
    <row r="74" spans="1:22" x14ac:dyDescent="0.3">
      <c r="A74" s="3">
        <v>11</v>
      </c>
      <c r="B74" s="2">
        <v>45929</v>
      </c>
      <c r="C74" s="3" t="s">
        <v>171</v>
      </c>
      <c r="D74" s="3">
        <v>1000</v>
      </c>
      <c r="E74" s="3" t="s">
        <v>32</v>
      </c>
      <c r="F74" s="226">
        <f t="shared" si="0"/>
        <v>14000</v>
      </c>
      <c r="G74" s="445"/>
      <c r="H74" s="378"/>
      <c r="I74" s="13"/>
      <c r="J74" s="13"/>
    </row>
    <row r="75" spans="1:22" x14ac:dyDescent="0.3">
      <c r="A75" s="3">
        <v>12</v>
      </c>
      <c r="B75" s="2">
        <v>45930</v>
      </c>
      <c r="C75" s="3" t="s">
        <v>174</v>
      </c>
      <c r="D75" s="3">
        <v>50</v>
      </c>
      <c r="E75" s="3" t="s">
        <v>175</v>
      </c>
      <c r="F75" s="226">
        <v>23000</v>
      </c>
      <c r="G75" s="206">
        <v>24700</v>
      </c>
      <c r="H75" s="8">
        <v>45930</v>
      </c>
      <c r="I75" s="13"/>
      <c r="J75" s="13"/>
    </row>
    <row r="76" spans="1:22" x14ac:dyDescent="0.3">
      <c r="A76" s="3">
        <v>13</v>
      </c>
      <c r="B76" s="2">
        <v>45936</v>
      </c>
      <c r="C76" s="3" t="s">
        <v>171</v>
      </c>
      <c r="D76" s="3">
        <v>1000</v>
      </c>
      <c r="E76" s="3" t="s">
        <v>32</v>
      </c>
      <c r="F76" s="226">
        <f>D76*14</f>
        <v>14000</v>
      </c>
      <c r="G76" s="206">
        <f>14000+1000+200+700</f>
        <v>15900</v>
      </c>
      <c r="H76" s="8">
        <v>45936</v>
      </c>
      <c r="I76" s="13"/>
      <c r="J76" s="13"/>
    </row>
    <row r="77" spans="1:22" x14ac:dyDescent="0.3">
      <c r="A77" s="3">
        <v>14</v>
      </c>
      <c r="B77" s="2">
        <v>45938</v>
      </c>
      <c r="C77" s="3" t="s">
        <v>171</v>
      </c>
      <c r="D77" s="3">
        <v>1000</v>
      </c>
      <c r="E77" s="3" t="s">
        <v>32</v>
      </c>
      <c r="F77" s="226">
        <f>D77*14</f>
        <v>14000</v>
      </c>
      <c r="G77" s="206">
        <v>16400</v>
      </c>
      <c r="H77" s="8">
        <v>45938</v>
      </c>
      <c r="I77" s="13"/>
      <c r="J77" s="13"/>
      <c r="M77" s="231"/>
    </row>
    <row r="78" spans="1:22" x14ac:dyDescent="0.3">
      <c r="A78" s="3">
        <v>15</v>
      </c>
      <c r="B78" s="2">
        <v>45945</v>
      </c>
      <c r="C78" s="3" t="s">
        <v>33</v>
      </c>
      <c r="D78" s="3">
        <v>30</v>
      </c>
      <c r="E78" s="3" t="s">
        <v>175</v>
      </c>
      <c r="F78" s="226">
        <f>D78*460</f>
        <v>13800</v>
      </c>
      <c r="G78" s="443">
        <v>66892</v>
      </c>
      <c r="H78" s="373">
        <v>45945</v>
      </c>
      <c r="I78" s="13"/>
      <c r="J78" s="13"/>
      <c r="M78" s="231"/>
    </row>
    <row r="79" spans="1:22" x14ac:dyDescent="0.3">
      <c r="A79" s="3">
        <v>16</v>
      </c>
      <c r="B79" s="2">
        <v>45945</v>
      </c>
      <c r="C79" s="3" t="s">
        <v>483</v>
      </c>
      <c r="D79" s="3">
        <v>20</v>
      </c>
      <c r="E79" s="3" t="s">
        <v>484</v>
      </c>
      <c r="F79" s="226">
        <v>51092</v>
      </c>
      <c r="G79" s="445"/>
      <c r="H79" s="378"/>
      <c r="I79" s="13"/>
      <c r="J79" s="13"/>
    </row>
    <row r="80" spans="1:22" x14ac:dyDescent="0.3">
      <c r="A80" s="3">
        <v>17</v>
      </c>
      <c r="B80" s="2">
        <v>45947</v>
      </c>
      <c r="C80" s="3" t="s">
        <v>174</v>
      </c>
      <c r="D80" s="3">
        <v>400</v>
      </c>
      <c r="E80" s="3" t="s">
        <v>175</v>
      </c>
      <c r="F80" s="226">
        <v>188000</v>
      </c>
      <c r="G80" s="294">
        <v>188000</v>
      </c>
      <c r="H80" s="8">
        <v>45947</v>
      </c>
      <c r="I80" s="13"/>
      <c r="J80" s="13"/>
    </row>
    <row r="81" spans="1:13" x14ac:dyDescent="0.3">
      <c r="A81" s="3">
        <v>18</v>
      </c>
      <c r="B81" s="2">
        <v>45954</v>
      </c>
      <c r="C81" s="3" t="s">
        <v>171</v>
      </c>
      <c r="D81" s="3">
        <v>960</v>
      </c>
      <c r="E81" s="3" t="s">
        <v>32</v>
      </c>
      <c r="F81" s="226">
        <f>D81*14.5</f>
        <v>13920</v>
      </c>
      <c r="G81" s="329">
        <f>F81+1000+200+700</f>
        <v>15820</v>
      </c>
      <c r="H81" s="2">
        <v>45954</v>
      </c>
      <c r="I81" s="13"/>
      <c r="J81" s="13"/>
    </row>
    <row r="82" spans="1:13" x14ac:dyDescent="0.3">
      <c r="A82" s="3">
        <v>19</v>
      </c>
      <c r="B82" s="2">
        <v>45969</v>
      </c>
      <c r="C82" s="3" t="s">
        <v>171</v>
      </c>
      <c r="D82" s="3">
        <v>1000</v>
      </c>
      <c r="E82" s="3" t="s">
        <v>32</v>
      </c>
      <c r="F82" s="226">
        <f>D82*14</f>
        <v>14000</v>
      </c>
      <c r="G82" s="206">
        <v>16400</v>
      </c>
      <c r="H82" s="8">
        <v>45938</v>
      </c>
      <c r="I82" s="13"/>
      <c r="J82" s="13"/>
    </row>
    <row r="83" spans="1:13" x14ac:dyDescent="0.3">
      <c r="A83" s="3">
        <v>20</v>
      </c>
      <c r="B83" s="2">
        <v>45974</v>
      </c>
      <c r="C83" s="3" t="s">
        <v>174</v>
      </c>
      <c r="D83" s="3">
        <v>500</v>
      </c>
      <c r="E83" s="3" t="s">
        <v>175</v>
      </c>
      <c r="F83" s="226">
        <v>235000</v>
      </c>
      <c r="G83" s="226">
        <v>235000</v>
      </c>
      <c r="H83" s="2">
        <v>45974</v>
      </c>
      <c r="I83" s="13"/>
      <c r="J83" s="13"/>
    </row>
    <row r="84" spans="1:13" x14ac:dyDescent="0.3">
      <c r="A84" s="3">
        <v>21</v>
      </c>
      <c r="B84" s="2">
        <v>45983</v>
      </c>
      <c r="C84" s="3" t="s">
        <v>529</v>
      </c>
      <c r="D84" s="3" t="s">
        <v>531</v>
      </c>
      <c r="E84" s="3"/>
      <c r="F84" s="226">
        <v>2470</v>
      </c>
      <c r="G84" s="443">
        <v>57716</v>
      </c>
      <c r="H84" s="546">
        <v>45983</v>
      </c>
      <c r="I84" s="13"/>
      <c r="J84" s="13"/>
    </row>
    <row r="85" spans="1:13" x14ac:dyDescent="0.3">
      <c r="A85" s="3">
        <v>22</v>
      </c>
      <c r="B85" s="2">
        <v>45983</v>
      </c>
      <c r="C85" s="3" t="s">
        <v>530</v>
      </c>
      <c r="D85" s="3" t="s">
        <v>531</v>
      </c>
      <c r="E85" s="3"/>
      <c r="F85" s="226">
        <v>53526</v>
      </c>
      <c r="G85" s="445"/>
      <c r="H85" s="495"/>
      <c r="I85" s="13"/>
      <c r="J85" s="13"/>
    </row>
    <row r="86" spans="1:13" x14ac:dyDescent="0.3">
      <c r="A86" s="3">
        <v>23</v>
      </c>
      <c r="B86" s="2">
        <v>46065</v>
      </c>
      <c r="C86" s="3" t="s">
        <v>171</v>
      </c>
      <c r="D86" s="3">
        <v>2000</v>
      </c>
      <c r="E86" s="3" t="s">
        <v>32</v>
      </c>
      <c r="F86" s="226">
        <v>29000</v>
      </c>
      <c r="G86" s="226">
        <v>32800</v>
      </c>
      <c r="H86" s="37">
        <v>46065</v>
      </c>
      <c r="I86" s="13"/>
      <c r="J86" s="13"/>
      <c r="M86" s="360"/>
    </row>
    <row r="87" spans="1:13" x14ac:dyDescent="0.3">
      <c r="A87" s="3"/>
      <c r="B87" s="2"/>
      <c r="C87" s="3"/>
      <c r="D87" s="3"/>
      <c r="E87" s="3"/>
      <c r="F87" s="226"/>
      <c r="G87" s="13"/>
      <c r="H87" s="13"/>
      <c r="I87" s="13"/>
      <c r="J87" s="13"/>
    </row>
    <row r="88" spans="1:13" x14ac:dyDescent="0.3">
      <c r="A88" s="3"/>
      <c r="B88" s="2"/>
      <c r="C88" s="3"/>
      <c r="D88" s="3"/>
      <c r="E88" s="3"/>
      <c r="F88" s="226"/>
      <c r="G88" s="13"/>
      <c r="H88" s="13"/>
      <c r="I88" s="13"/>
      <c r="J88" s="13"/>
    </row>
    <row r="89" spans="1:13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spans="1:13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spans="1:13" x14ac:dyDescent="0.3">
      <c r="A91" s="550" t="s">
        <v>98</v>
      </c>
      <c r="B91" s="551"/>
      <c r="C91" s="551"/>
      <c r="D91" s="551"/>
      <c r="E91" s="552"/>
      <c r="F91" s="352">
        <f>SUM(F64:F89)</f>
        <v>856808</v>
      </c>
      <c r="G91" s="352">
        <f>SUM(G63:G89)</f>
        <v>902428</v>
      </c>
      <c r="H91" s="353"/>
      <c r="I91" s="353"/>
      <c r="J91" s="353"/>
    </row>
  </sheetData>
  <mergeCells count="41">
    <mergeCell ref="A60:E60"/>
    <mergeCell ref="F60:J60"/>
    <mergeCell ref="G71:G74"/>
    <mergeCell ref="H71:H74"/>
    <mergeCell ref="A63:F63"/>
    <mergeCell ref="G64:G68"/>
    <mergeCell ref="H64:H68"/>
    <mergeCell ref="C58:I58"/>
    <mergeCell ref="A61:J61"/>
    <mergeCell ref="A1:J1"/>
    <mergeCell ref="C6:I6"/>
    <mergeCell ref="C39:I39"/>
    <mergeCell ref="C36:I36"/>
    <mergeCell ref="C22:I22"/>
    <mergeCell ref="C8:I8"/>
    <mergeCell ref="C9:I9"/>
    <mergeCell ref="C14:I14"/>
    <mergeCell ref="C15:I15"/>
    <mergeCell ref="A12:J12"/>
    <mergeCell ref="A16:J16"/>
    <mergeCell ref="C28:I28"/>
    <mergeCell ref="A59:E59"/>
    <mergeCell ref="G59:J59"/>
    <mergeCell ref="Q2:R2"/>
    <mergeCell ref="L2:O2"/>
    <mergeCell ref="L28:M28"/>
    <mergeCell ref="C54:I54"/>
    <mergeCell ref="C57:I57"/>
    <mergeCell ref="F55:F56"/>
    <mergeCell ref="C51:I51"/>
    <mergeCell ref="C43:I43"/>
    <mergeCell ref="C49:I49"/>
    <mergeCell ref="G84:G85"/>
    <mergeCell ref="H84:H85"/>
    <mergeCell ref="L62:O62"/>
    <mergeCell ref="A91:E91"/>
    <mergeCell ref="Q62:R62"/>
    <mergeCell ref="P67:Q67"/>
    <mergeCell ref="A62:J62"/>
    <mergeCell ref="G78:G79"/>
    <mergeCell ref="H78:H79"/>
  </mergeCells>
  <pageMargins left="0.7" right="0.7" top="0.75" bottom="0.75" header="0.3" footer="0.3"/>
  <pageSetup paperSize="9" scale="38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6"/>
  <sheetViews>
    <sheetView workbookViewId="0">
      <selection activeCell="L27" sqref="L27"/>
    </sheetView>
  </sheetViews>
  <sheetFormatPr defaultRowHeight="14.4" x14ac:dyDescent="0.3"/>
  <cols>
    <col min="1" max="1" width="9.44140625" customWidth="1"/>
    <col min="2" max="2" width="10.44140625" bestFit="1" customWidth="1"/>
    <col min="3" max="3" width="22.44140625" bestFit="1" customWidth="1"/>
    <col min="6" max="6" width="10" bestFit="1" customWidth="1"/>
    <col min="7" max="7" width="30.109375" bestFit="1" customWidth="1"/>
  </cols>
  <sheetData>
    <row r="1" spans="1:7" ht="21.6" thickBot="1" x14ac:dyDescent="0.45">
      <c r="A1" s="580" t="s">
        <v>186</v>
      </c>
      <c r="B1" s="581"/>
      <c r="C1" s="581"/>
      <c r="D1" s="581"/>
      <c r="E1" s="581"/>
      <c r="F1" s="581"/>
      <c r="G1" s="582"/>
    </row>
    <row r="2" spans="1:7" x14ac:dyDescent="0.3">
      <c r="A2" s="159">
        <v>1</v>
      </c>
      <c r="B2" s="160">
        <v>45567</v>
      </c>
      <c r="C2" s="161" t="s">
        <v>43</v>
      </c>
      <c r="D2" s="161" t="s">
        <v>47</v>
      </c>
      <c r="E2" s="46">
        <v>400</v>
      </c>
      <c r="F2" s="162" t="s">
        <v>41</v>
      </c>
      <c r="G2" s="171"/>
    </row>
    <row r="3" spans="1:7" x14ac:dyDescent="0.3">
      <c r="A3" s="1">
        <f>A2+1</f>
        <v>2</v>
      </c>
      <c r="B3" s="8">
        <v>45567</v>
      </c>
      <c r="C3" s="3" t="s">
        <v>43</v>
      </c>
      <c r="D3" s="3" t="s">
        <v>44</v>
      </c>
      <c r="E3" s="4">
        <v>400</v>
      </c>
      <c r="F3" s="163" t="s">
        <v>41</v>
      </c>
      <c r="G3" s="172"/>
    </row>
    <row r="4" spans="1:7" x14ac:dyDescent="0.3">
      <c r="A4" s="1">
        <f t="shared" ref="A4:A27" si="0">A3+1</f>
        <v>3</v>
      </c>
      <c r="B4" s="8">
        <v>45567</v>
      </c>
      <c r="C4" s="3" t="s">
        <v>43</v>
      </c>
      <c r="D4" s="3" t="s">
        <v>44</v>
      </c>
      <c r="E4" s="4">
        <v>400</v>
      </c>
      <c r="F4" s="163" t="s">
        <v>41</v>
      </c>
      <c r="G4" s="172"/>
    </row>
    <row r="5" spans="1:7" x14ac:dyDescent="0.3">
      <c r="A5" s="1">
        <f t="shared" si="0"/>
        <v>4</v>
      </c>
      <c r="B5" s="8">
        <v>45567</v>
      </c>
      <c r="C5" s="3" t="s">
        <v>43</v>
      </c>
      <c r="D5" s="3" t="s">
        <v>47</v>
      </c>
      <c r="E5" s="4">
        <v>400</v>
      </c>
      <c r="F5" s="163" t="s">
        <v>41</v>
      </c>
      <c r="G5" s="172"/>
    </row>
    <row r="6" spans="1:7" x14ac:dyDescent="0.3">
      <c r="A6" s="1">
        <f t="shared" si="0"/>
        <v>5</v>
      </c>
      <c r="B6" s="8">
        <v>45573</v>
      </c>
      <c r="C6" s="3" t="s">
        <v>43</v>
      </c>
      <c r="D6" s="3" t="s">
        <v>47</v>
      </c>
      <c r="E6" s="4">
        <v>400</v>
      </c>
      <c r="F6" s="163" t="s">
        <v>41</v>
      </c>
      <c r="G6" s="172"/>
    </row>
    <row r="7" spans="1:7" x14ac:dyDescent="0.3">
      <c r="A7" s="1">
        <f t="shared" si="0"/>
        <v>6</v>
      </c>
      <c r="B7" s="8">
        <v>45573</v>
      </c>
      <c r="C7" s="3" t="s">
        <v>43</v>
      </c>
      <c r="D7" s="3" t="s">
        <v>47</v>
      </c>
      <c r="E7" s="4">
        <v>400</v>
      </c>
      <c r="F7" s="163" t="s">
        <v>41</v>
      </c>
      <c r="G7" s="172"/>
    </row>
    <row r="8" spans="1:7" x14ac:dyDescent="0.3">
      <c r="A8" s="1">
        <f t="shared" si="0"/>
        <v>7</v>
      </c>
      <c r="B8" s="8">
        <v>45574</v>
      </c>
      <c r="C8" s="3" t="s">
        <v>43</v>
      </c>
      <c r="D8" s="3" t="s">
        <v>47</v>
      </c>
      <c r="E8" s="4">
        <v>400</v>
      </c>
      <c r="F8" s="163" t="s">
        <v>41</v>
      </c>
      <c r="G8" s="172"/>
    </row>
    <row r="9" spans="1:7" x14ac:dyDescent="0.3">
      <c r="A9" s="1">
        <f t="shared" si="0"/>
        <v>8</v>
      </c>
      <c r="B9" s="8">
        <v>45574</v>
      </c>
      <c r="C9" s="3" t="s">
        <v>43</v>
      </c>
      <c r="D9" s="3" t="s">
        <v>47</v>
      </c>
      <c r="E9" s="4">
        <v>400</v>
      </c>
      <c r="F9" s="163" t="s">
        <v>41</v>
      </c>
      <c r="G9" s="172"/>
    </row>
    <row r="10" spans="1:7" x14ac:dyDescent="0.3">
      <c r="A10" s="1">
        <f t="shared" si="0"/>
        <v>9</v>
      </c>
      <c r="B10" s="8">
        <v>45574</v>
      </c>
      <c r="C10" s="3" t="s">
        <v>43</v>
      </c>
      <c r="D10" s="3" t="s">
        <v>47</v>
      </c>
      <c r="E10" s="4">
        <v>400</v>
      </c>
      <c r="F10" s="163" t="s">
        <v>41</v>
      </c>
      <c r="G10" s="172"/>
    </row>
    <row r="11" spans="1:7" x14ac:dyDescent="0.3">
      <c r="A11" s="1">
        <f t="shared" si="0"/>
        <v>10</v>
      </c>
      <c r="B11" s="8">
        <v>45574</v>
      </c>
      <c r="C11" s="3" t="s">
        <v>43</v>
      </c>
      <c r="D11" s="3" t="s">
        <v>44</v>
      </c>
      <c r="E11" s="4">
        <v>400</v>
      </c>
      <c r="F11" s="163" t="s">
        <v>41</v>
      </c>
      <c r="G11" s="172"/>
    </row>
    <row r="12" spans="1:7" x14ac:dyDescent="0.3">
      <c r="A12" s="1">
        <f t="shared" si="0"/>
        <v>11</v>
      </c>
      <c r="B12" s="8">
        <v>45574</v>
      </c>
      <c r="C12" s="3" t="s">
        <v>43</v>
      </c>
      <c r="D12" s="3" t="s">
        <v>44</v>
      </c>
      <c r="E12" s="4">
        <v>400</v>
      </c>
      <c r="F12" s="163" t="s">
        <v>41</v>
      </c>
      <c r="G12" s="172"/>
    </row>
    <row r="13" spans="1:7" x14ac:dyDescent="0.3">
      <c r="A13" s="1">
        <f t="shared" si="0"/>
        <v>12</v>
      </c>
      <c r="B13" s="8">
        <v>45574</v>
      </c>
      <c r="C13" s="3" t="s">
        <v>43</v>
      </c>
      <c r="D13" s="3" t="s">
        <v>44</v>
      </c>
      <c r="E13" s="4">
        <v>400</v>
      </c>
      <c r="F13" s="163" t="s">
        <v>41</v>
      </c>
      <c r="G13" s="172"/>
    </row>
    <row r="14" spans="1:7" x14ac:dyDescent="0.3">
      <c r="A14" s="1">
        <f t="shared" si="0"/>
        <v>13</v>
      </c>
      <c r="B14" s="8">
        <v>45574</v>
      </c>
      <c r="C14" s="3" t="s">
        <v>43</v>
      </c>
      <c r="D14" s="3" t="s">
        <v>44</v>
      </c>
      <c r="E14" s="4">
        <v>400</v>
      </c>
      <c r="F14" s="163" t="s">
        <v>41</v>
      </c>
      <c r="G14" s="172"/>
    </row>
    <row r="15" spans="1:7" ht="15" thickBot="1" x14ac:dyDescent="0.35">
      <c r="A15" s="164">
        <f t="shared" si="0"/>
        <v>14</v>
      </c>
      <c r="B15" s="35">
        <v>45574</v>
      </c>
      <c r="C15" s="10" t="s">
        <v>43</v>
      </c>
      <c r="D15" s="10" t="s">
        <v>44</v>
      </c>
      <c r="E15" s="4">
        <v>400</v>
      </c>
      <c r="F15" s="163" t="s">
        <v>41</v>
      </c>
      <c r="G15" s="172"/>
    </row>
    <row r="16" spans="1:7" x14ac:dyDescent="0.3">
      <c r="A16" s="1">
        <f t="shared" si="0"/>
        <v>15</v>
      </c>
      <c r="B16" s="145">
        <v>45574</v>
      </c>
      <c r="C16" s="97" t="s">
        <v>43</v>
      </c>
      <c r="D16" s="97" t="s">
        <v>44</v>
      </c>
      <c r="E16" s="98">
        <v>400</v>
      </c>
      <c r="F16" s="165" t="s">
        <v>41</v>
      </c>
      <c r="G16" s="577" t="s">
        <v>185</v>
      </c>
    </row>
    <row r="17" spans="1:7" x14ac:dyDescent="0.3">
      <c r="A17" s="1">
        <f t="shared" si="0"/>
        <v>16</v>
      </c>
      <c r="B17" s="145">
        <v>45575</v>
      </c>
      <c r="C17" s="97" t="s">
        <v>43</v>
      </c>
      <c r="D17" s="97" t="s">
        <v>44</v>
      </c>
      <c r="E17" s="98">
        <v>400</v>
      </c>
      <c r="F17" s="165" t="s">
        <v>41</v>
      </c>
      <c r="G17" s="578"/>
    </row>
    <row r="18" spans="1:7" x14ac:dyDescent="0.3">
      <c r="A18" s="1">
        <f t="shared" si="0"/>
        <v>17</v>
      </c>
      <c r="B18" s="145">
        <v>45575</v>
      </c>
      <c r="C18" s="97" t="s">
        <v>43</v>
      </c>
      <c r="D18" s="158" t="s">
        <v>47</v>
      </c>
      <c r="E18" s="98">
        <v>400</v>
      </c>
      <c r="F18" s="165" t="s">
        <v>41</v>
      </c>
      <c r="G18" s="578"/>
    </row>
    <row r="19" spans="1:7" ht="15" thickBot="1" x14ac:dyDescent="0.35">
      <c r="A19" s="1">
        <f t="shared" si="0"/>
        <v>18</v>
      </c>
      <c r="B19" s="145">
        <v>45575</v>
      </c>
      <c r="C19" s="97" t="s">
        <v>43</v>
      </c>
      <c r="D19" s="97" t="s">
        <v>49</v>
      </c>
      <c r="E19" s="98">
        <v>400</v>
      </c>
      <c r="F19" s="165" t="s">
        <v>41</v>
      </c>
      <c r="G19" s="579"/>
    </row>
    <row r="20" spans="1:7" x14ac:dyDescent="0.3">
      <c r="A20" s="1">
        <f t="shared" si="0"/>
        <v>19</v>
      </c>
      <c r="B20" s="26">
        <v>45584</v>
      </c>
      <c r="C20" s="16" t="s">
        <v>43</v>
      </c>
      <c r="D20" s="16" t="s">
        <v>47</v>
      </c>
      <c r="E20" s="4">
        <v>400</v>
      </c>
      <c r="F20" s="163" t="s">
        <v>41</v>
      </c>
      <c r="G20" s="172"/>
    </row>
    <row r="21" spans="1:7" x14ac:dyDescent="0.3">
      <c r="A21" s="1">
        <f t="shared" si="0"/>
        <v>20</v>
      </c>
      <c r="B21" s="8">
        <v>45584</v>
      </c>
      <c r="C21" s="3" t="s">
        <v>43</v>
      </c>
      <c r="D21" s="3" t="s">
        <v>47</v>
      </c>
      <c r="E21" s="4">
        <v>400</v>
      </c>
      <c r="F21" s="163" t="s">
        <v>41</v>
      </c>
      <c r="G21" s="172"/>
    </row>
    <row r="22" spans="1:7" x14ac:dyDescent="0.3">
      <c r="A22" s="1">
        <f t="shared" si="0"/>
        <v>21</v>
      </c>
      <c r="B22" s="8">
        <v>45588</v>
      </c>
      <c r="C22" s="3" t="s">
        <v>43</v>
      </c>
      <c r="D22" s="3" t="s">
        <v>44</v>
      </c>
      <c r="E22" s="4">
        <v>400</v>
      </c>
      <c r="F22" s="163" t="s">
        <v>41</v>
      </c>
      <c r="G22" s="172"/>
    </row>
    <row r="23" spans="1:7" x14ac:dyDescent="0.3">
      <c r="A23" s="1">
        <f t="shared" si="0"/>
        <v>22</v>
      </c>
      <c r="B23" s="8" t="s">
        <v>164</v>
      </c>
      <c r="C23" s="3" t="s">
        <v>43</v>
      </c>
      <c r="D23" s="3" t="s">
        <v>49</v>
      </c>
      <c r="E23" s="4">
        <v>400</v>
      </c>
      <c r="F23" s="163" t="s">
        <v>41</v>
      </c>
      <c r="G23" s="172"/>
    </row>
    <row r="24" spans="1:7" x14ac:dyDescent="0.3">
      <c r="A24" s="1">
        <f t="shared" si="0"/>
        <v>23</v>
      </c>
      <c r="B24" s="8" t="s">
        <v>165</v>
      </c>
      <c r="C24" s="3" t="s">
        <v>43</v>
      </c>
      <c r="D24" s="3" t="s">
        <v>47</v>
      </c>
      <c r="E24" s="4">
        <v>400</v>
      </c>
      <c r="F24" s="163" t="s">
        <v>41</v>
      </c>
      <c r="G24" s="172"/>
    </row>
    <row r="25" spans="1:7" x14ac:dyDescent="0.3">
      <c r="A25" s="1">
        <f t="shared" si="0"/>
        <v>24</v>
      </c>
      <c r="B25" s="8" t="s">
        <v>165</v>
      </c>
      <c r="C25" s="3" t="s">
        <v>43</v>
      </c>
      <c r="D25" s="3" t="s">
        <v>47</v>
      </c>
      <c r="E25" s="4">
        <v>400</v>
      </c>
      <c r="F25" s="163" t="s">
        <v>41</v>
      </c>
      <c r="G25" s="172"/>
    </row>
    <row r="26" spans="1:7" x14ac:dyDescent="0.3">
      <c r="A26" s="1">
        <f t="shared" si="0"/>
        <v>25</v>
      </c>
      <c r="B26" s="8" t="s">
        <v>165</v>
      </c>
      <c r="C26" s="3" t="s">
        <v>43</v>
      </c>
      <c r="D26" s="3" t="s">
        <v>44</v>
      </c>
      <c r="E26" s="4">
        <v>400</v>
      </c>
      <c r="F26" s="163" t="s">
        <v>41</v>
      </c>
      <c r="G26" s="172"/>
    </row>
    <row r="27" spans="1:7" ht="15" thickBot="1" x14ac:dyDescent="0.35">
      <c r="A27" s="166">
        <f t="shared" si="0"/>
        <v>26</v>
      </c>
      <c r="B27" s="167" t="s">
        <v>165</v>
      </c>
      <c r="C27" s="121" t="s">
        <v>43</v>
      </c>
      <c r="D27" s="121" t="s">
        <v>44</v>
      </c>
      <c r="E27" s="146">
        <v>400</v>
      </c>
      <c r="F27" s="168" t="s">
        <v>41</v>
      </c>
      <c r="G27" s="173"/>
    </row>
    <row r="28" spans="1:7" x14ac:dyDescent="0.3">
      <c r="A28" s="170"/>
      <c r="E28" s="23">
        <f>SUM(E2:E27)</f>
        <v>10400</v>
      </c>
    </row>
    <row r="29" spans="1:7" x14ac:dyDescent="0.3">
      <c r="A29" s="170"/>
    </row>
    <row r="30" spans="1:7" x14ac:dyDescent="0.3">
      <c r="A30" s="170"/>
    </row>
    <row r="31" spans="1:7" ht="18" thickBot="1" x14ac:dyDescent="0.5">
      <c r="A31" s="583" t="s">
        <v>180</v>
      </c>
      <c r="B31" s="584"/>
      <c r="C31" s="584"/>
      <c r="D31" s="584"/>
      <c r="E31" s="584"/>
      <c r="F31" s="584"/>
      <c r="G31" s="584"/>
    </row>
    <row r="32" spans="1:7" ht="18.600000000000001" thickBot="1" x14ac:dyDescent="0.4">
      <c r="A32" s="99" t="s">
        <v>98</v>
      </c>
      <c r="B32" s="100" t="s">
        <v>44</v>
      </c>
      <c r="C32" s="100">
        <v>4000</v>
      </c>
      <c r="D32" s="100" t="s">
        <v>41</v>
      </c>
      <c r="E32" s="100">
        <f>C32/400</f>
        <v>10</v>
      </c>
      <c r="F32" s="101" t="s">
        <v>99</v>
      </c>
    </row>
    <row r="33" spans="1:6" ht="18.600000000000001" thickBot="1" x14ac:dyDescent="0.4">
      <c r="A33" s="102" t="s">
        <v>98</v>
      </c>
      <c r="B33" s="103" t="s">
        <v>47</v>
      </c>
      <c r="C33" s="103">
        <v>4400</v>
      </c>
      <c r="D33" s="103" t="s">
        <v>41</v>
      </c>
      <c r="E33" s="100">
        <f t="shared" ref="E33:E35" si="1">C33/400</f>
        <v>11</v>
      </c>
      <c r="F33" s="104" t="s">
        <v>99</v>
      </c>
    </row>
    <row r="34" spans="1:6" ht="18.600000000000001" thickBot="1" x14ac:dyDescent="0.4">
      <c r="A34" s="102" t="s">
        <v>98</v>
      </c>
      <c r="B34" s="103" t="s">
        <v>49</v>
      </c>
      <c r="C34" s="103">
        <v>400</v>
      </c>
      <c r="D34" s="103" t="s">
        <v>41</v>
      </c>
      <c r="E34" s="100">
        <f t="shared" si="1"/>
        <v>1</v>
      </c>
      <c r="F34" s="104" t="s">
        <v>99</v>
      </c>
    </row>
    <row r="35" spans="1:6" ht="18.600000000000001" thickBot="1" x14ac:dyDescent="0.4">
      <c r="A35" s="105" t="s">
        <v>98</v>
      </c>
      <c r="B35" s="106" t="s">
        <v>95</v>
      </c>
      <c r="C35" s="106">
        <v>0</v>
      </c>
      <c r="D35" s="106" t="s">
        <v>32</v>
      </c>
      <c r="E35" s="156">
        <f t="shared" si="1"/>
        <v>0</v>
      </c>
      <c r="F35" s="107" t="s">
        <v>99</v>
      </c>
    </row>
    <row r="36" spans="1:6" ht="15" thickBot="1" x14ac:dyDescent="0.35">
      <c r="A36" s="147"/>
      <c r="B36" s="148"/>
      <c r="C36" s="148"/>
      <c r="D36" s="148"/>
      <c r="E36" s="148"/>
      <c r="F36" s="169"/>
    </row>
  </sheetData>
  <mergeCells count="3">
    <mergeCell ref="G16:G19"/>
    <mergeCell ref="A1:G1"/>
    <mergeCell ref="A31:G31"/>
  </mergeCells>
  <pageMargins left="0.7" right="0.7" top="0.75" bottom="0.75" header="0.3" footer="0.3"/>
  <pageSetup paperSize="9" scale="86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"/>
  <sheetViews>
    <sheetView topLeftCell="A34" workbookViewId="0">
      <selection activeCell="G43" sqref="G43:G47"/>
    </sheetView>
  </sheetViews>
  <sheetFormatPr defaultRowHeight="14.4" x14ac:dyDescent="0.3"/>
  <cols>
    <col min="1" max="1" width="9.109375" style="23"/>
    <col min="2" max="2" width="10.33203125" bestFit="1" customWidth="1"/>
    <col min="3" max="3" width="22.44140625" bestFit="1" customWidth="1"/>
    <col min="4" max="4" width="11.88671875" style="23" bestFit="1" customWidth="1"/>
    <col min="7" max="7" width="11.5546875" bestFit="1" customWidth="1"/>
    <col min="8" max="8" width="13.21875" bestFit="1" customWidth="1"/>
    <col min="9" max="9" width="10.109375" style="23" bestFit="1" customWidth="1"/>
    <col min="10" max="10" width="11.5546875" bestFit="1" customWidth="1"/>
    <col min="11" max="11" width="1.5546875" customWidth="1"/>
    <col min="12" max="12" width="37.5546875" bestFit="1" customWidth="1"/>
    <col min="13" max="13" width="11.6640625" bestFit="1" customWidth="1"/>
  </cols>
  <sheetData>
    <row r="1" spans="1:13" ht="16.2" thickBot="1" x14ac:dyDescent="0.35">
      <c r="A1" s="594" t="s">
        <v>235</v>
      </c>
      <c r="B1" s="595"/>
      <c r="C1" s="595"/>
      <c r="D1" s="595"/>
      <c r="E1" s="595"/>
      <c r="F1" s="595"/>
      <c r="G1" s="595"/>
      <c r="H1" s="595"/>
      <c r="I1" s="219" t="s">
        <v>2</v>
      </c>
      <c r="J1" s="220" t="s">
        <v>125</v>
      </c>
      <c r="L1" s="591" t="s">
        <v>330</v>
      </c>
      <c r="M1" s="592"/>
    </row>
    <row r="2" spans="1:13" x14ac:dyDescent="0.3">
      <c r="A2" s="16">
        <v>1</v>
      </c>
      <c r="B2" s="26" t="s">
        <v>234</v>
      </c>
      <c r="C2" s="16" t="s">
        <v>236</v>
      </c>
      <c r="D2" s="227" t="s">
        <v>44</v>
      </c>
      <c r="E2" s="17">
        <v>400</v>
      </c>
      <c r="F2" s="16" t="s">
        <v>41</v>
      </c>
      <c r="G2" s="299">
        <v>10500</v>
      </c>
      <c r="H2" s="596">
        <f>SUM(G2:G6)</f>
        <v>68460</v>
      </c>
      <c r="I2" s="2">
        <v>45665</v>
      </c>
      <c r="J2" s="226">
        <v>50000</v>
      </c>
      <c r="L2" s="221" t="s">
        <v>399</v>
      </c>
      <c r="M2" s="238">
        <v>69290</v>
      </c>
    </row>
    <row r="3" spans="1:13" x14ac:dyDescent="0.3">
      <c r="A3" s="3">
        <v>2</v>
      </c>
      <c r="B3" s="8" t="s">
        <v>234</v>
      </c>
      <c r="C3" s="16" t="s">
        <v>236</v>
      </c>
      <c r="D3" s="199" t="s">
        <v>44</v>
      </c>
      <c r="E3" s="4">
        <v>400</v>
      </c>
      <c r="F3" s="3" t="s">
        <v>41</v>
      </c>
      <c r="G3" s="297">
        <v>10500</v>
      </c>
      <c r="H3" s="589"/>
      <c r="I3" s="2">
        <v>45685</v>
      </c>
      <c r="J3" s="226">
        <v>50000</v>
      </c>
      <c r="L3" s="222" t="s">
        <v>400</v>
      </c>
      <c r="M3" s="239">
        <f>G38</f>
        <v>460950</v>
      </c>
    </row>
    <row r="4" spans="1:13" x14ac:dyDescent="0.3">
      <c r="A4" s="3">
        <v>3</v>
      </c>
      <c r="B4" s="8" t="s">
        <v>234</v>
      </c>
      <c r="C4" s="16" t="s">
        <v>236</v>
      </c>
      <c r="D4" s="199" t="s">
        <v>44</v>
      </c>
      <c r="E4" s="4">
        <v>400</v>
      </c>
      <c r="F4" s="3" t="s">
        <v>41</v>
      </c>
      <c r="G4" s="297">
        <v>10500</v>
      </c>
      <c r="H4" s="589"/>
      <c r="I4" s="2">
        <v>45702</v>
      </c>
      <c r="J4" s="226">
        <v>50000</v>
      </c>
      <c r="L4" s="302" t="s">
        <v>181</v>
      </c>
      <c r="M4" s="303">
        <f>M2+M3</f>
        <v>530240</v>
      </c>
    </row>
    <row r="5" spans="1:13" ht="15" thickBot="1" x14ac:dyDescent="0.35">
      <c r="A5" s="3">
        <v>4</v>
      </c>
      <c r="B5" s="8" t="s">
        <v>234</v>
      </c>
      <c r="C5" s="16" t="s">
        <v>236</v>
      </c>
      <c r="D5" s="199" t="s">
        <v>47</v>
      </c>
      <c r="E5" s="4">
        <v>400</v>
      </c>
      <c r="F5" s="3" t="s">
        <v>41</v>
      </c>
      <c r="G5" s="297">
        <v>18480</v>
      </c>
      <c r="H5" s="589"/>
      <c r="I5" s="2">
        <v>45717</v>
      </c>
      <c r="J5" s="226">
        <v>75000</v>
      </c>
      <c r="L5" s="307" t="s">
        <v>401</v>
      </c>
      <c r="M5" s="308">
        <f>J38</f>
        <v>530240</v>
      </c>
    </row>
    <row r="6" spans="1:13" ht="15" thickBot="1" x14ac:dyDescent="0.35">
      <c r="A6" s="3">
        <v>5</v>
      </c>
      <c r="B6" s="8" t="s">
        <v>234</v>
      </c>
      <c r="C6" s="16" t="s">
        <v>236</v>
      </c>
      <c r="D6" s="199" t="s">
        <v>47</v>
      </c>
      <c r="E6" s="4">
        <v>400</v>
      </c>
      <c r="F6" s="3" t="s">
        <v>41</v>
      </c>
      <c r="G6" s="297">
        <v>18480</v>
      </c>
      <c r="H6" s="590"/>
      <c r="I6" s="2">
        <v>45756</v>
      </c>
      <c r="J6" s="226">
        <v>100000</v>
      </c>
      <c r="L6" s="305" t="s">
        <v>402</v>
      </c>
      <c r="M6" s="306">
        <f>M4-M5</f>
        <v>0</v>
      </c>
    </row>
    <row r="7" spans="1:13" x14ac:dyDescent="0.3">
      <c r="A7" s="3">
        <v>6</v>
      </c>
      <c r="B7" s="8" t="s">
        <v>243</v>
      </c>
      <c r="C7" s="3" t="s">
        <v>236</v>
      </c>
      <c r="D7" s="199" t="s">
        <v>52</v>
      </c>
      <c r="E7" s="4">
        <v>400</v>
      </c>
      <c r="F7" s="3" t="s">
        <v>41</v>
      </c>
      <c r="G7" s="297">
        <v>3675</v>
      </c>
      <c r="H7" s="588">
        <f>SUM(G7:G13)</f>
        <v>54180</v>
      </c>
      <c r="I7" s="2">
        <v>45781</v>
      </c>
      <c r="J7" s="226">
        <v>30000</v>
      </c>
    </row>
    <row r="8" spans="1:13" x14ac:dyDescent="0.3">
      <c r="A8" s="3">
        <v>7</v>
      </c>
      <c r="B8" s="8" t="s">
        <v>243</v>
      </c>
      <c r="C8" s="3" t="s">
        <v>236</v>
      </c>
      <c r="D8" s="199" t="s">
        <v>52</v>
      </c>
      <c r="E8" s="4">
        <v>400</v>
      </c>
      <c r="F8" s="3" t="s">
        <v>41</v>
      </c>
      <c r="G8" s="297">
        <v>3675</v>
      </c>
      <c r="H8" s="589"/>
      <c r="I8" s="2">
        <v>45797</v>
      </c>
      <c r="J8" s="226">
        <v>50000</v>
      </c>
    </row>
    <row r="9" spans="1:13" x14ac:dyDescent="0.3">
      <c r="A9" s="3">
        <v>8</v>
      </c>
      <c r="B9" s="8" t="s">
        <v>243</v>
      </c>
      <c r="C9" s="3" t="s">
        <v>236</v>
      </c>
      <c r="D9" s="199" t="s">
        <v>52</v>
      </c>
      <c r="E9" s="4">
        <v>400</v>
      </c>
      <c r="F9" s="3" t="s">
        <v>41</v>
      </c>
      <c r="G9" s="297">
        <v>3675</v>
      </c>
      <c r="H9" s="589"/>
      <c r="I9" s="2">
        <v>45825</v>
      </c>
      <c r="J9" s="226">
        <v>50000</v>
      </c>
    </row>
    <row r="10" spans="1:13" x14ac:dyDescent="0.3">
      <c r="A10" s="3">
        <v>9</v>
      </c>
      <c r="B10" s="8" t="s">
        <v>243</v>
      </c>
      <c r="C10" s="3" t="s">
        <v>236</v>
      </c>
      <c r="D10" s="199" t="s">
        <v>52</v>
      </c>
      <c r="E10" s="4">
        <v>400</v>
      </c>
      <c r="F10" s="3" t="s">
        <v>41</v>
      </c>
      <c r="G10" s="297">
        <v>3675</v>
      </c>
      <c r="H10" s="589"/>
      <c r="I10" s="2">
        <v>45858</v>
      </c>
      <c r="J10" s="226">
        <v>30000</v>
      </c>
    </row>
    <row r="11" spans="1:13" x14ac:dyDescent="0.3">
      <c r="A11" s="3">
        <v>10</v>
      </c>
      <c r="B11" s="8" t="s">
        <v>243</v>
      </c>
      <c r="C11" s="3" t="s">
        <v>236</v>
      </c>
      <c r="D11" s="199" t="s">
        <v>44</v>
      </c>
      <c r="E11" s="4">
        <v>400</v>
      </c>
      <c r="F11" s="3" t="s">
        <v>41</v>
      </c>
      <c r="G11" s="297">
        <v>10500</v>
      </c>
      <c r="H11" s="589"/>
      <c r="I11" s="2">
        <v>45876</v>
      </c>
      <c r="J11" s="226">
        <v>45240</v>
      </c>
      <c r="L11" s="340" t="s">
        <v>460</v>
      </c>
    </row>
    <row r="12" spans="1:13" x14ac:dyDescent="0.3">
      <c r="A12" s="3">
        <v>11</v>
      </c>
      <c r="B12" s="8" t="s">
        <v>243</v>
      </c>
      <c r="C12" s="3" t="s">
        <v>236</v>
      </c>
      <c r="D12" s="199" t="s">
        <v>44</v>
      </c>
      <c r="E12" s="4">
        <v>400</v>
      </c>
      <c r="F12" s="3" t="s">
        <v>41</v>
      </c>
      <c r="G12" s="297">
        <v>10500</v>
      </c>
      <c r="H12" s="589"/>
      <c r="I12" s="3"/>
      <c r="J12" s="226"/>
    </row>
    <row r="13" spans="1:13" x14ac:dyDescent="0.3">
      <c r="A13" s="3">
        <v>12</v>
      </c>
      <c r="B13" s="8" t="s">
        <v>243</v>
      </c>
      <c r="C13" s="3" t="s">
        <v>236</v>
      </c>
      <c r="D13" s="199" t="s">
        <v>47</v>
      </c>
      <c r="E13" s="4">
        <v>400</v>
      </c>
      <c r="F13" s="3" t="s">
        <v>41</v>
      </c>
      <c r="G13" s="297">
        <v>18480</v>
      </c>
      <c r="H13" s="589"/>
      <c r="I13" s="3"/>
      <c r="J13" s="226"/>
    </row>
    <row r="14" spans="1:13" x14ac:dyDescent="0.3">
      <c r="A14" s="3">
        <v>13</v>
      </c>
      <c r="B14" s="13" t="s">
        <v>249</v>
      </c>
      <c r="C14" s="3" t="s">
        <v>236</v>
      </c>
      <c r="D14" s="199" t="s">
        <v>47</v>
      </c>
      <c r="E14" s="3">
        <v>400</v>
      </c>
      <c r="F14" s="3" t="s">
        <v>41</v>
      </c>
      <c r="G14" s="297">
        <v>18480</v>
      </c>
      <c r="H14" s="593">
        <f>SUM(G14:G16)</f>
        <v>47460</v>
      </c>
      <c r="I14" s="3"/>
      <c r="J14" s="226"/>
    </row>
    <row r="15" spans="1:13" x14ac:dyDescent="0.3">
      <c r="A15" s="3">
        <v>14</v>
      </c>
      <c r="B15" s="8" t="s">
        <v>249</v>
      </c>
      <c r="C15" s="3" t="s">
        <v>236</v>
      </c>
      <c r="D15" s="199" t="s">
        <v>44</v>
      </c>
      <c r="E15" s="4">
        <v>400</v>
      </c>
      <c r="F15" s="3" t="s">
        <v>41</v>
      </c>
      <c r="G15" s="297">
        <v>10500</v>
      </c>
      <c r="H15" s="593"/>
      <c r="I15" s="3"/>
      <c r="J15" s="226"/>
    </row>
    <row r="16" spans="1:13" x14ac:dyDescent="0.3">
      <c r="A16" s="3">
        <v>15</v>
      </c>
      <c r="B16" s="13" t="s">
        <v>248</v>
      </c>
      <c r="C16" s="3" t="s">
        <v>236</v>
      </c>
      <c r="D16" s="199" t="s">
        <v>47</v>
      </c>
      <c r="E16" s="3">
        <v>400</v>
      </c>
      <c r="F16" s="3" t="s">
        <v>41</v>
      </c>
      <c r="G16" s="297">
        <v>18480</v>
      </c>
      <c r="H16" s="593"/>
      <c r="I16" s="3"/>
      <c r="J16" s="226"/>
    </row>
    <row r="17" spans="1:10" x14ac:dyDescent="0.3">
      <c r="A17" s="3">
        <v>16</v>
      </c>
      <c r="B17" s="13" t="s">
        <v>267</v>
      </c>
      <c r="C17" s="3" t="s">
        <v>236</v>
      </c>
      <c r="D17" s="199" t="s">
        <v>47</v>
      </c>
      <c r="E17" s="3">
        <v>400</v>
      </c>
      <c r="F17" s="3" t="s">
        <v>41</v>
      </c>
      <c r="G17" s="297">
        <v>18480</v>
      </c>
      <c r="H17" s="588">
        <f>SUM(G17:G20)</f>
        <v>57960</v>
      </c>
      <c r="I17" s="3"/>
      <c r="J17" s="226"/>
    </row>
    <row r="18" spans="1:10" x14ac:dyDescent="0.3">
      <c r="A18" s="3">
        <v>17</v>
      </c>
      <c r="B18" s="13" t="s">
        <v>267</v>
      </c>
      <c r="C18" s="3" t="s">
        <v>236</v>
      </c>
      <c r="D18" s="199" t="s">
        <v>44</v>
      </c>
      <c r="E18" s="3">
        <v>400</v>
      </c>
      <c r="F18" s="3" t="s">
        <v>41</v>
      </c>
      <c r="G18" s="297">
        <v>10500</v>
      </c>
      <c r="H18" s="589"/>
      <c r="I18" s="3"/>
      <c r="J18" s="226"/>
    </row>
    <row r="19" spans="1:10" x14ac:dyDescent="0.3">
      <c r="A19" s="3">
        <v>18</v>
      </c>
      <c r="B19" s="13" t="s">
        <v>267</v>
      </c>
      <c r="C19" s="3" t="s">
        <v>236</v>
      </c>
      <c r="D19" s="199" t="s">
        <v>47</v>
      </c>
      <c r="E19" s="3">
        <v>400</v>
      </c>
      <c r="F19" s="3" t="s">
        <v>41</v>
      </c>
      <c r="G19" s="297">
        <v>18480</v>
      </c>
      <c r="H19" s="589"/>
      <c r="I19" s="3"/>
      <c r="J19" s="226"/>
    </row>
    <row r="20" spans="1:10" x14ac:dyDescent="0.3">
      <c r="A20" s="3">
        <v>19</v>
      </c>
      <c r="B20" s="13" t="s">
        <v>267</v>
      </c>
      <c r="C20" s="3" t="s">
        <v>236</v>
      </c>
      <c r="D20" s="199" t="s">
        <v>44</v>
      </c>
      <c r="E20" s="3">
        <v>400</v>
      </c>
      <c r="F20" s="3" t="s">
        <v>41</v>
      </c>
      <c r="G20" s="297">
        <v>10500</v>
      </c>
      <c r="H20" s="590"/>
      <c r="I20" s="3"/>
      <c r="J20" s="226"/>
    </row>
    <row r="21" spans="1:10" x14ac:dyDescent="0.3">
      <c r="A21" s="3">
        <v>20</v>
      </c>
      <c r="B21" s="13" t="s">
        <v>306</v>
      </c>
      <c r="C21" s="3" t="s">
        <v>236</v>
      </c>
      <c r="D21" s="199" t="s">
        <v>47</v>
      </c>
      <c r="E21" s="3">
        <v>400</v>
      </c>
      <c r="F21" s="3" t="s">
        <v>41</v>
      </c>
      <c r="G21" s="297">
        <v>18480</v>
      </c>
      <c r="H21" s="588">
        <f>SUM(G21:G24)</f>
        <v>57960</v>
      </c>
      <c r="I21" s="3"/>
      <c r="J21" s="226"/>
    </row>
    <row r="22" spans="1:10" x14ac:dyDescent="0.3">
      <c r="A22" s="3">
        <v>21</v>
      </c>
      <c r="B22" s="13" t="s">
        <v>306</v>
      </c>
      <c r="C22" s="3" t="s">
        <v>236</v>
      </c>
      <c r="D22" s="199" t="s">
        <v>44</v>
      </c>
      <c r="E22" s="3">
        <v>400</v>
      </c>
      <c r="F22" s="3" t="s">
        <v>41</v>
      </c>
      <c r="G22" s="297">
        <v>10500</v>
      </c>
      <c r="H22" s="589"/>
      <c r="I22" s="3"/>
      <c r="J22" s="226"/>
    </row>
    <row r="23" spans="1:10" x14ac:dyDescent="0.3">
      <c r="A23" s="3">
        <v>22</v>
      </c>
      <c r="B23" s="13" t="s">
        <v>306</v>
      </c>
      <c r="C23" s="3" t="s">
        <v>236</v>
      </c>
      <c r="D23" s="199" t="s">
        <v>44</v>
      </c>
      <c r="E23" s="3">
        <v>400</v>
      </c>
      <c r="F23" s="3" t="s">
        <v>41</v>
      </c>
      <c r="G23" s="297">
        <v>10500</v>
      </c>
      <c r="H23" s="589"/>
      <c r="I23" s="3"/>
      <c r="J23" s="226"/>
    </row>
    <row r="24" spans="1:10" x14ac:dyDescent="0.3">
      <c r="A24" s="3">
        <v>23</v>
      </c>
      <c r="B24" s="13" t="s">
        <v>310</v>
      </c>
      <c r="C24" s="3" t="s">
        <v>236</v>
      </c>
      <c r="D24" s="199" t="s">
        <v>47</v>
      </c>
      <c r="E24" s="3">
        <v>400</v>
      </c>
      <c r="F24" s="3" t="s">
        <v>41</v>
      </c>
      <c r="G24" s="297">
        <v>18480</v>
      </c>
      <c r="H24" s="590"/>
      <c r="I24" s="3"/>
      <c r="J24" s="13"/>
    </row>
    <row r="25" spans="1:10" x14ac:dyDescent="0.3">
      <c r="A25" s="3">
        <v>24</v>
      </c>
      <c r="B25" s="13" t="s">
        <v>329</v>
      </c>
      <c r="C25" s="3" t="s">
        <v>236</v>
      </c>
      <c r="D25" s="199" t="s">
        <v>44</v>
      </c>
      <c r="E25" s="3">
        <v>400</v>
      </c>
      <c r="F25" s="3" t="s">
        <v>41</v>
      </c>
      <c r="G25" s="297">
        <v>11025</v>
      </c>
      <c r="H25" s="298">
        <f>G25</f>
        <v>11025</v>
      </c>
      <c r="I25" s="3"/>
      <c r="J25" s="13"/>
    </row>
    <row r="26" spans="1:10" x14ac:dyDescent="0.3">
      <c r="A26" s="3">
        <v>25</v>
      </c>
      <c r="B26" s="2">
        <v>45773</v>
      </c>
      <c r="C26" s="3" t="s">
        <v>236</v>
      </c>
      <c r="D26" s="199" t="s">
        <v>47</v>
      </c>
      <c r="E26" s="3">
        <v>400</v>
      </c>
      <c r="F26" s="3" t="s">
        <v>41</v>
      </c>
      <c r="G26" s="297">
        <v>18480</v>
      </c>
      <c r="H26" s="585">
        <f>SUM(G26:G29)</f>
        <v>59010</v>
      </c>
      <c r="I26" s="3"/>
      <c r="J26" s="13"/>
    </row>
    <row r="27" spans="1:10" x14ac:dyDescent="0.3">
      <c r="A27" s="3">
        <v>26</v>
      </c>
      <c r="B27" s="2">
        <v>45775</v>
      </c>
      <c r="C27" s="3" t="s">
        <v>236</v>
      </c>
      <c r="D27" s="199" t="s">
        <v>44</v>
      </c>
      <c r="E27" s="3">
        <v>400</v>
      </c>
      <c r="F27" s="3" t="s">
        <v>41</v>
      </c>
      <c r="G27" s="297">
        <v>11025</v>
      </c>
      <c r="H27" s="586"/>
      <c r="I27" s="3"/>
      <c r="J27" s="13"/>
    </row>
    <row r="28" spans="1:10" x14ac:dyDescent="0.3">
      <c r="A28" s="3">
        <v>27</v>
      </c>
      <c r="B28" s="2">
        <v>45780</v>
      </c>
      <c r="C28" s="3" t="s">
        <v>236</v>
      </c>
      <c r="D28" s="199" t="s">
        <v>47</v>
      </c>
      <c r="E28" s="3">
        <v>400</v>
      </c>
      <c r="F28" s="3" t="s">
        <v>41</v>
      </c>
      <c r="G28" s="297">
        <v>18480</v>
      </c>
      <c r="H28" s="586"/>
      <c r="I28" s="3"/>
      <c r="J28" s="13"/>
    </row>
    <row r="29" spans="1:10" x14ac:dyDescent="0.3">
      <c r="A29" s="3">
        <v>28</v>
      </c>
      <c r="B29" s="2">
        <v>45780</v>
      </c>
      <c r="C29" s="3" t="s">
        <v>236</v>
      </c>
      <c r="D29" s="199" t="s">
        <v>44</v>
      </c>
      <c r="E29" s="3">
        <v>400</v>
      </c>
      <c r="F29" s="3" t="s">
        <v>41</v>
      </c>
      <c r="G29" s="297">
        <v>11025</v>
      </c>
      <c r="H29" s="587"/>
      <c r="I29" s="3"/>
      <c r="J29" s="13"/>
    </row>
    <row r="30" spans="1:10" x14ac:dyDescent="0.3">
      <c r="A30" s="3">
        <v>29</v>
      </c>
      <c r="B30" s="2">
        <v>45803</v>
      </c>
      <c r="C30" s="3" t="s">
        <v>236</v>
      </c>
      <c r="D30" s="199" t="s">
        <v>52</v>
      </c>
      <c r="E30" s="3">
        <v>400</v>
      </c>
      <c r="F30" s="3" t="s">
        <v>41</v>
      </c>
      <c r="G30" s="297">
        <v>3675</v>
      </c>
      <c r="H30" s="585">
        <f>SUM(G30:G36)</f>
        <v>104895</v>
      </c>
      <c r="I30" s="3"/>
      <c r="J30" s="13"/>
    </row>
    <row r="31" spans="1:10" x14ac:dyDescent="0.3">
      <c r="A31" s="3">
        <v>30</v>
      </c>
      <c r="B31" s="2">
        <v>45803</v>
      </c>
      <c r="C31" s="3" t="s">
        <v>236</v>
      </c>
      <c r="D31" s="199" t="s">
        <v>398</v>
      </c>
      <c r="E31" s="3">
        <v>400</v>
      </c>
      <c r="F31" s="3" t="s">
        <v>41</v>
      </c>
      <c r="G31" s="297">
        <v>18480</v>
      </c>
      <c r="H31" s="586"/>
      <c r="I31" s="3"/>
      <c r="J31" s="13"/>
    </row>
    <row r="32" spans="1:10" x14ac:dyDescent="0.3">
      <c r="A32" s="3">
        <v>31</v>
      </c>
      <c r="B32" s="2">
        <v>45805</v>
      </c>
      <c r="C32" s="3" t="s">
        <v>236</v>
      </c>
      <c r="D32" s="199" t="s">
        <v>44</v>
      </c>
      <c r="E32" s="3">
        <v>400</v>
      </c>
      <c r="F32" s="3" t="s">
        <v>41</v>
      </c>
      <c r="G32" s="297">
        <v>13650</v>
      </c>
      <c r="H32" s="586"/>
      <c r="I32" s="3"/>
      <c r="J32" s="13"/>
    </row>
    <row r="33" spans="1:10" x14ac:dyDescent="0.3">
      <c r="A33" s="3">
        <v>32</v>
      </c>
      <c r="B33" s="2">
        <v>45805</v>
      </c>
      <c r="C33" s="3" t="s">
        <v>236</v>
      </c>
      <c r="D33" s="199" t="s">
        <v>398</v>
      </c>
      <c r="E33" s="3">
        <v>400</v>
      </c>
      <c r="F33" s="3" t="s">
        <v>41</v>
      </c>
      <c r="G33" s="297">
        <v>18480</v>
      </c>
      <c r="H33" s="586"/>
      <c r="I33" s="3"/>
      <c r="J33" s="13"/>
    </row>
    <row r="34" spans="1:10" x14ac:dyDescent="0.3">
      <c r="A34" s="3">
        <v>33</v>
      </c>
      <c r="B34" s="2">
        <v>45805</v>
      </c>
      <c r="C34" s="3" t="s">
        <v>236</v>
      </c>
      <c r="D34" s="199" t="s">
        <v>398</v>
      </c>
      <c r="E34" s="3">
        <v>400</v>
      </c>
      <c r="F34" s="3" t="s">
        <v>41</v>
      </c>
      <c r="G34" s="297">
        <v>18480</v>
      </c>
      <c r="H34" s="586"/>
      <c r="I34" s="3"/>
      <c r="J34" s="13"/>
    </row>
    <row r="35" spans="1:10" x14ac:dyDescent="0.3">
      <c r="A35" s="3">
        <v>34</v>
      </c>
      <c r="B35" s="2">
        <v>45807</v>
      </c>
      <c r="C35" s="3" t="s">
        <v>236</v>
      </c>
      <c r="D35" s="199" t="s">
        <v>44</v>
      </c>
      <c r="E35" s="3">
        <v>400</v>
      </c>
      <c r="F35" s="3" t="s">
        <v>41</v>
      </c>
      <c r="G35" s="297">
        <v>13650</v>
      </c>
      <c r="H35" s="586"/>
      <c r="I35" s="3"/>
      <c r="J35" s="13"/>
    </row>
    <row r="36" spans="1:10" x14ac:dyDescent="0.3">
      <c r="A36" s="3">
        <v>35</v>
      </c>
      <c r="B36" s="2">
        <v>45807</v>
      </c>
      <c r="C36" s="3" t="s">
        <v>236</v>
      </c>
      <c r="D36" s="199" t="s">
        <v>398</v>
      </c>
      <c r="E36" s="3">
        <v>400</v>
      </c>
      <c r="F36" s="3" t="s">
        <v>41</v>
      </c>
      <c r="G36" s="297">
        <v>18480</v>
      </c>
      <c r="H36" s="587"/>
      <c r="I36" s="3"/>
      <c r="J36" s="13"/>
    </row>
    <row r="37" spans="1:10" x14ac:dyDescent="0.3">
      <c r="A37" s="3"/>
      <c r="B37" s="2"/>
      <c r="C37" s="3"/>
      <c r="D37" s="3"/>
      <c r="E37" s="3"/>
      <c r="F37" s="3"/>
      <c r="G37" s="226"/>
      <c r="H37" s="3"/>
      <c r="I37" s="3"/>
      <c r="J37" s="13"/>
    </row>
    <row r="38" spans="1:10" x14ac:dyDescent="0.3">
      <c r="A38" s="520" t="s">
        <v>181</v>
      </c>
      <c r="B38" s="521"/>
      <c r="C38" s="521"/>
      <c r="D38" s="521"/>
      <c r="E38" s="521"/>
      <c r="F38" s="522"/>
      <c r="G38" s="301">
        <f>SUM(G2:G37)</f>
        <v>460950</v>
      </c>
      <c r="H38" s="597" t="s">
        <v>200</v>
      </c>
      <c r="I38" s="598"/>
      <c r="J38" s="304">
        <f>SUM(J2:J11)</f>
        <v>530240</v>
      </c>
    </row>
    <row r="39" spans="1:10" ht="15" thickBot="1" x14ac:dyDescent="0.35">
      <c r="A39" s="62"/>
      <c r="B39" s="64"/>
      <c r="C39" s="62"/>
      <c r="D39" s="62"/>
      <c r="E39" s="62"/>
      <c r="F39" s="62"/>
      <c r="G39" s="64"/>
      <c r="H39" s="23"/>
    </row>
    <row r="40" spans="1:10" ht="16.2" thickBot="1" x14ac:dyDescent="0.35">
      <c r="A40" s="594" t="s">
        <v>235</v>
      </c>
      <c r="B40" s="595"/>
      <c r="C40" s="595"/>
      <c r="D40" s="595"/>
      <c r="E40" s="595"/>
      <c r="F40" s="595"/>
      <c r="G40" s="595"/>
      <c r="H40" s="595"/>
    </row>
    <row r="41" spans="1:10" x14ac:dyDescent="0.3">
      <c r="A41" s="16">
        <v>1</v>
      </c>
      <c r="B41" s="26">
        <v>45954</v>
      </c>
      <c r="C41" s="16" t="s">
        <v>236</v>
      </c>
      <c r="D41" s="227" t="s">
        <v>44</v>
      </c>
      <c r="E41" s="17">
        <v>400</v>
      </c>
      <c r="F41" s="16" t="s">
        <v>41</v>
      </c>
      <c r="G41" s="299">
        <v>13650</v>
      </c>
      <c r="H41" s="599" t="s">
        <v>501</v>
      </c>
    </row>
    <row r="42" spans="1:10" x14ac:dyDescent="0.3">
      <c r="A42" s="3">
        <v>2</v>
      </c>
      <c r="B42" s="8">
        <v>45954</v>
      </c>
      <c r="C42" s="16" t="s">
        <v>236</v>
      </c>
      <c r="D42" s="199" t="s">
        <v>44</v>
      </c>
      <c r="E42" s="4">
        <v>400</v>
      </c>
      <c r="F42" s="3" t="s">
        <v>41</v>
      </c>
      <c r="G42" s="297">
        <v>13650</v>
      </c>
      <c r="H42" s="600"/>
    </row>
    <row r="43" spans="1:10" x14ac:dyDescent="0.3">
      <c r="A43" s="3">
        <v>3</v>
      </c>
      <c r="B43" s="8">
        <v>45959</v>
      </c>
      <c r="C43" s="3" t="s">
        <v>236</v>
      </c>
      <c r="D43" s="3" t="s">
        <v>398</v>
      </c>
      <c r="E43" s="3">
        <v>400</v>
      </c>
      <c r="F43" s="3" t="s">
        <v>41</v>
      </c>
      <c r="G43" s="237">
        <v>18480</v>
      </c>
      <c r="H43" s="363"/>
    </row>
    <row r="44" spans="1:10" x14ac:dyDescent="0.3">
      <c r="A44" s="3">
        <v>4</v>
      </c>
      <c r="B44" s="8">
        <v>45959</v>
      </c>
      <c r="C44" s="3" t="s">
        <v>236</v>
      </c>
      <c r="D44" s="3" t="s">
        <v>398</v>
      </c>
      <c r="E44" s="3">
        <v>400</v>
      </c>
      <c r="F44" s="3" t="s">
        <v>41</v>
      </c>
      <c r="G44" s="237">
        <v>18480</v>
      </c>
      <c r="H44" s="363"/>
    </row>
    <row r="45" spans="1:10" x14ac:dyDescent="0.3">
      <c r="A45" s="3">
        <v>5</v>
      </c>
      <c r="B45" s="8">
        <v>45959</v>
      </c>
      <c r="C45" s="3" t="s">
        <v>236</v>
      </c>
      <c r="D45" s="3" t="s">
        <v>398</v>
      </c>
      <c r="E45" s="3">
        <v>400</v>
      </c>
      <c r="F45" s="3" t="s">
        <v>41</v>
      </c>
      <c r="G45" s="237">
        <v>18480</v>
      </c>
      <c r="H45" s="363"/>
    </row>
    <row r="46" spans="1:10" x14ac:dyDescent="0.3">
      <c r="A46" s="3">
        <v>6</v>
      </c>
      <c r="B46" s="37">
        <v>46078</v>
      </c>
      <c r="C46" s="3" t="s">
        <v>236</v>
      </c>
      <c r="D46" s="3" t="s">
        <v>44</v>
      </c>
      <c r="E46" s="3">
        <v>300</v>
      </c>
      <c r="F46" s="3" t="s">
        <v>41</v>
      </c>
      <c r="G46" s="226">
        <f>3675*3</f>
        <v>11025</v>
      </c>
      <c r="H46" s="13"/>
    </row>
    <row r="47" spans="1:10" x14ac:dyDescent="0.3">
      <c r="A47" s="3">
        <v>7</v>
      </c>
      <c r="B47" s="37">
        <v>46078</v>
      </c>
      <c r="C47" s="3" t="s">
        <v>236</v>
      </c>
      <c r="D47" s="3" t="s">
        <v>398</v>
      </c>
      <c r="E47" s="3">
        <v>300</v>
      </c>
      <c r="F47" s="3" t="s">
        <v>41</v>
      </c>
      <c r="G47" s="226">
        <v>14805</v>
      </c>
      <c r="H47" s="13"/>
    </row>
    <row r="48" spans="1:10" x14ac:dyDescent="0.3">
      <c r="A48" s="3"/>
      <c r="B48" s="13"/>
      <c r="C48" s="13"/>
      <c r="D48" s="3"/>
      <c r="E48" s="13"/>
      <c r="F48" s="13"/>
      <c r="G48" s="13"/>
      <c r="H48" s="13"/>
    </row>
    <row r="49" spans="1:8" x14ac:dyDescent="0.3">
      <c r="A49" s="3"/>
      <c r="B49" s="13"/>
      <c r="C49" s="13"/>
      <c r="D49" s="3"/>
      <c r="E49" s="13"/>
      <c r="F49" s="13"/>
      <c r="G49" s="13"/>
      <c r="H49" s="13"/>
    </row>
    <row r="50" spans="1:8" x14ac:dyDescent="0.3">
      <c r="A50" s="3"/>
      <c r="B50" s="13"/>
      <c r="C50" s="13"/>
      <c r="D50" s="3"/>
      <c r="E50" s="13"/>
      <c r="F50" s="13"/>
      <c r="G50" s="13"/>
      <c r="H50" s="13"/>
    </row>
    <row r="51" spans="1:8" x14ac:dyDescent="0.3">
      <c r="A51" s="3"/>
      <c r="B51" s="13"/>
      <c r="C51" s="13"/>
      <c r="D51" s="3"/>
      <c r="E51" s="13"/>
      <c r="F51" s="13"/>
      <c r="G51" s="13"/>
      <c r="H51" s="13"/>
    </row>
    <row r="52" spans="1:8" x14ac:dyDescent="0.3">
      <c r="A52" s="3"/>
      <c r="B52" s="13"/>
      <c r="C52" s="13"/>
      <c r="D52" s="3"/>
      <c r="E52" s="13"/>
      <c r="F52" s="13"/>
      <c r="G52" s="13"/>
      <c r="H52" s="13"/>
    </row>
  </sheetData>
  <mergeCells count="13">
    <mergeCell ref="A40:H40"/>
    <mergeCell ref="A38:F38"/>
    <mergeCell ref="H38:I38"/>
    <mergeCell ref="H30:H36"/>
    <mergeCell ref="H41:H42"/>
    <mergeCell ref="H26:H29"/>
    <mergeCell ref="H21:H24"/>
    <mergeCell ref="L1:M1"/>
    <mergeCell ref="H7:H13"/>
    <mergeCell ref="H14:H16"/>
    <mergeCell ref="H17:H20"/>
    <mergeCell ref="A1:H1"/>
    <mergeCell ref="H2:H6"/>
  </mergeCell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topLeftCell="A3" workbookViewId="0">
      <selection activeCell="I23" sqref="I23"/>
    </sheetView>
  </sheetViews>
  <sheetFormatPr defaultRowHeight="14.4" x14ac:dyDescent="0.3"/>
  <cols>
    <col min="1" max="1" width="16.33203125" customWidth="1"/>
    <col min="2" max="2" width="12.5546875" customWidth="1"/>
    <col min="3" max="3" width="11.33203125" customWidth="1"/>
    <col min="5" max="5" width="10.109375" bestFit="1" customWidth="1"/>
  </cols>
  <sheetData>
    <row r="1" spans="1:7" ht="16.2" thickBot="1" x14ac:dyDescent="0.35">
      <c r="A1" s="601" t="s">
        <v>238</v>
      </c>
      <c r="B1" s="602"/>
      <c r="C1" s="603"/>
    </row>
    <row r="2" spans="1:7" ht="15" thickBot="1" x14ac:dyDescent="0.35">
      <c r="A2" s="203" t="s">
        <v>237</v>
      </c>
      <c r="B2" s="203">
        <v>1000</v>
      </c>
      <c r="C2" s="203">
        <v>12000</v>
      </c>
    </row>
    <row r="3" spans="1:7" ht="15" thickBot="1" x14ac:dyDescent="0.35">
      <c r="A3" s="604" t="s">
        <v>312</v>
      </c>
      <c r="B3" s="605"/>
      <c r="C3" s="606"/>
      <c r="E3" s="604" t="s">
        <v>313</v>
      </c>
      <c r="F3" s="605"/>
      <c r="G3" s="606"/>
    </row>
    <row r="4" spans="1:7" x14ac:dyDescent="0.3">
      <c r="A4" s="230" t="s">
        <v>247</v>
      </c>
      <c r="B4" s="91">
        <v>1000</v>
      </c>
      <c r="C4" s="91">
        <v>12000</v>
      </c>
      <c r="E4" s="91" t="s">
        <v>311</v>
      </c>
      <c r="F4" s="16">
        <v>400</v>
      </c>
      <c r="G4" s="91"/>
    </row>
    <row r="5" spans="1:7" x14ac:dyDescent="0.3">
      <c r="A5" s="200" t="s">
        <v>247</v>
      </c>
      <c r="B5" s="13">
        <v>1000</v>
      </c>
      <c r="C5" s="13">
        <v>12000</v>
      </c>
      <c r="E5" s="13"/>
      <c r="F5" s="13"/>
      <c r="G5" s="13"/>
    </row>
    <row r="6" spans="1:7" x14ac:dyDescent="0.3">
      <c r="A6" s="200" t="s">
        <v>252</v>
      </c>
      <c r="B6" s="13">
        <v>1000</v>
      </c>
      <c r="C6" s="13">
        <v>12000</v>
      </c>
      <c r="E6" s="13"/>
      <c r="F6" s="13"/>
      <c r="G6" s="13"/>
    </row>
    <row r="7" spans="1:7" x14ac:dyDescent="0.3">
      <c r="A7" s="200" t="s">
        <v>307</v>
      </c>
      <c r="B7" s="13">
        <v>1000</v>
      </c>
      <c r="C7" s="13">
        <v>12000</v>
      </c>
      <c r="E7" s="13"/>
      <c r="F7" s="13"/>
      <c r="G7" s="13"/>
    </row>
    <row r="8" spans="1:7" x14ac:dyDescent="0.3">
      <c r="A8" s="200" t="s">
        <v>314</v>
      </c>
      <c r="B8" s="13">
        <v>1000</v>
      </c>
      <c r="C8" s="13">
        <v>12000</v>
      </c>
      <c r="E8" s="13"/>
      <c r="F8" s="13"/>
      <c r="G8" s="13"/>
    </row>
    <row r="9" spans="1:7" x14ac:dyDescent="0.3">
      <c r="A9" s="200" t="s">
        <v>311</v>
      </c>
      <c r="B9" s="13">
        <v>1000</v>
      </c>
      <c r="C9" s="13">
        <v>12000</v>
      </c>
      <c r="E9" s="13"/>
      <c r="F9" s="13"/>
      <c r="G9" s="13"/>
    </row>
    <row r="10" spans="1:7" x14ac:dyDescent="0.3">
      <c r="A10" s="13"/>
      <c r="B10" s="13"/>
      <c r="C10" s="13"/>
      <c r="E10" s="13"/>
      <c r="F10" s="13"/>
      <c r="G10" s="13"/>
    </row>
    <row r="11" spans="1:7" x14ac:dyDescent="0.3">
      <c r="A11" s="13"/>
      <c r="B11" s="13"/>
      <c r="C11" s="13"/>
    </row>
  </sheetData>
  <mergeCells count="3">
    <mergeCell ref="A1:C1"/>
    <mergeCell ref="A3:C3"/>
    <mergeCell ref="E3:G3"/>
  </mergeCells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13"/>
  <sheetViews>
    <sheetView workbookViewId="0">
      <selection activeCell="M8" sqref="M8"/>
    </sheetView>
  </sheetViews>
  <sheetFormatPr defaultRowHeight="14.4" x14ac:dyDescent="0.3"/>
  <cols>
    <col min="1" max="1" width="4.6640625" customWidth="1"/>
    <col min="3" max="3" width="35.6640625" bestFit="1" customWidth="1"/>
    <col min="6" max="6" width="10" bestFit="1" customWidth="1"/>
    <col min="7" max="7" width="12.5546875" bestFit="1" customWidth="1"/>
    <col min="8" max="8" width="3.44140625" customWidth="1"/>
  </cols>
  <sheetData>
    <row r="1" spans="2:7" ht="15" thickBot="1" x14ac:dyDescent="0.35"/>
    <row r="2" spans="2:7" x14ac:dyDescent="0.3">
      <c r="B2" s="609" t="s">
        <v>431</v>
      </c>
      <c r="C2" s="610"/>
      <c r="D2" s="610"/>
      <c r="E2" s="610"/>
      <c r="F2" s="610"/>
      <c r="G2" s="611"/>
    </row>
    <row r="3" spans="2:7" x14ac:dyDescent="0.3">
      <c r="B3" s="612"/>
      <c r="C3" s="613"/>
      <c r="D3" s="613"/>
      <c r="E3" s="613"/>
      <c r="F3" s="613"/>
      <c r="G3" s="614"/>
    </row>
    <row r="4" spans="2:7" x14ac:dyDescent="0.3">
      <c r="B4" s="612"/>
      <c r="C4" s="613"/>
      <c r="D4" s="613"/>
      <c r="E4" s="613"/>
      <c r="F4" s="613"/>
      <c r="G4" s="614"/>
    </row>
    <row r="5" spans="2:7" x14ac:dyDescent="0.3">
      <c r="B5" s="324" t="s">
        <v>326</v>
      </c>
      <c r="C5" s="323" t="s">
        <v>422</v>
      </c>
      <c r="D5" s="323" t="s">
        <v>7</v>
      </c>
      <c r="E5" s="323" t="s">
        <v>6</v>
      </c>
      <c r="F5" s="323" t="s">
        <v>424</v>
      </c>
      <c r="G5" s="325" t="s">
        <v>291</v>
      </c>
    </row>
    <row r="6" spans="2:7" x14ac:dyDescent="0.3">
      <c r="B6" s="1">
        <v>1</v>
      </c>
      <c r="C6" s="236" t="s">
        <v>423</v>
      </c>
      <c r="D6" s="3" t="s">
        <v>425</v>
      </c>
      <c r="E6" s="3">
        <v>27</v>
      </c>
      <c r="F6" s="235">
        <v>12000</v>
      </c>
      <c r="G6" s="240">
        <f>E6*F6</f>
        <v>324000</v>
      </c>
    </row>
    <row r="7" spans="2:7" x14ac:dyDescent="0.3">
      <c r="B7" s="1">
        <v>2</v>
      </c>
      <c r="C7" s="236" t="s">
        <v>426</v>
      </c>
      <c r="D7" s="3" t="s">
        <v>425</v>
      </c>
      <c r="E7" s="3">
        <v>18</v>
      </c>
      <c r="F7" s="235">
        <v>6500</v>
      </c>
      <c r="G7" s="240">
        <f>E7*F7</f>
        <v>117000</v>
      </c>
    </row>
    <row r="8" spans="2:7" x14ac:dyDescent="0.3">
      <c r="B8" s="1">
        <v>3</v>
      </c>
      <c r="C8" s="236" t="s">
        <v>427</v>
      </c>
      <c r="D8" s="3" t="s">
        <v>50</v>
      </c>
      <c r="E8" s="3" t="s">
        <v>50</v>
      </c>
      <c r="F8" s="3" t="s">
        <v>50</v>
      </c>
      <c r="G8" s="240">
        <v>645500</v>
      </c>
    </row>
    <row r="9" spans="2:7" x14ac:dyDescent="0.3">
      <c r="B9" s="615" t="s">
        <v>428</v>
      </c>
      <c r="C9" s="616"/>
      <c r="D9" s="616"/>
      <c r="E9" s="616"/>
      <c r="F9" s="616"/>
      <c r="G9" s="326">
        <f>G6+G7+G8</f>
        <v>1086500</v>
      </c>
    </row>
    <row r="10" spans="2:7" x14ac:dyDescent="0.3">
      <c r="B10" s="617" t="s">
        <v>429</v>
      </c>
      <c r="C10" s="618"/>
      <c r="D10" s="618"/>
      <c r="E10" s="618"/>
      <c r="F10" s="618"/>
      <c r="G10" s="244">
        <v>92000</v>
      </c>
    </row>
    <row r="11" spans="2:7" x14ac:dyDescent="0.3">
      <c r="B11" s="617" t="s">
        <v>430</v>
      </c>
      <c r="C11" s="618"/>
      <c r="D11" s="618"/>
      <c r="E11" s="618"/>
      <c r="F11" s="618"/>
      <c r="G11" s="244">
        <v>29000</v>
      </c>
    </row>
    <row r="12" spans="2:7" x14ac:dyDescent="0.3">
      <c r="B12" s="619" t="s">
        <v>433</v>
      </c>
      <c r="C12" s="620"/>
      <c r="D12" s="620"/>
      <c r="E12" s="620"/>
      <c r="F12" s="620"/>
      <c r="G12" s="327">
        <v>510500</v>
      </c>
    </row>
    <row r="13" spans="2:7" ht="15" thickBot="1" x14ac:dyDescent="0.35">
      <c r="B13" s="607" t="s">
        <v>432</v>
      </c>
      <c r="C13" s="608"/>
      <c r="D13" s="608"/>
      <c r="E13" s="608"/>
      <c r="F13" s="608"/>
      <c r="G13" s="328">
        <f>G9-G10-G11-G12</f>
        <v>455000</v>
      </c>
    </row>
  </sheetData>
  <mergeCells count="6">
    <mergeCell ref="B13:F13"/>
    <mergeCell ref="B2:G4"/>
    <mergeCell ref="B9:F9"/>
    <mergeCell ref="B10:F10"/>
    <mergeCell ref="B11:F11"/>
    <mergeCell ref="B12:F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L257"/>
  <sheetViews>
    <sheetView topLeftCell="A210" workbookViewId="0">
      <selection activeCell="K103" sqref="K103"/>
    </sheetView>
  </sheetViews>
  <sheetFormatPr defaultRowHeight="14.4" x14ac:dyDescent="0.3"/>
  <cols>
    <col min="2" max="2" width="10.33203125" bestFit="1" customWidth="1"/>
    <col min="3" max="3" width="21" bestFit="1" customWidth="1"/>
    <col min="4" max="4" width="12.33203125" bestFit="1" customWidth="1"/>
    <col min="5" max="8" width="15.44140625" bestFit="1" customWidth="1"/>
    <col min="9" max="9" width="11.5546875" bestFit="1" customWidth="1"/>
    <col min="10" max="10" width="57.33203125" bestFit="1" customWidth="1"/>
    <col min="11" max="11" width="13.33203125" bestFit="1" customWidth="1"/>
    <col min="12" max="12" width="10.5546875" bestFit="1" customWidth="1"/>
  </cols>
  <sheetData>
    <row r="2" spans="1:11" ht="22.8" x14ac:dyDescent="0.4">
      <c r="A2" s="622" t="s">
        <v>436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</row>
    <row r="3" spans="1:11" ht="16.2" x14ac:dyDescent="0.4">
      <c r="A3" s="341" t="s">
        <v>166</v>
      </c>
      <c r="B3" s="341" t="s">
        <v>2</v>
      </c>
      <c r="C3" s="341" t="s">
        <v>136</v>
      </c>
      <c r="D3" s="341" t="s">
        <v>137</v>
      </c>
      <c r="E3" s="341" t="s">
        <v>6</v>
      </c>
      <c r="F3" s="341" t="s">
        <v>138</v>
      </c>
      <c r="G3" s="341" t="s">
        <v>126</v>
      </c>
      <c r="H3" s="311"/>
      <c r="I3" s="342" t="s">
        <v>2</v>
      </c>
      <c r="J3" s="342" t="s">
        <v>210</v>
      </c>
      <c r="K3" s="343" t="s">
        <v>213</v>
      </c>
    </row>
    <row r="4" spans="1:11" x14ac:dyDescent="0.3">
      <c r="A4" s="4">
        <v>1</v>
      </c>
      <c r="B4" s="8">
        <v>45799</v>
      </c>
      <c r="C4" s="4" t="s">
        <v>405</v>
      </c>
      <c r="D4" s="4" t="s">
        <v>49</v>
      </c>
      <c r="E4" s="3">
        <v>400</v>
      </c>
      <c r="F4" s="4" t="s">
        <v>41</v>
      </c>
      <c r="G4" s="312">
        <v>20000</v>
      </c>
      <c r="H4" s="312"/>
      <c r="I4" s="108"/>
      <c r="J4" s="108" t="s">
        <v>434</v>
      </c>
      <c r="K4" s="330">
        <v>29000</v>
      </c>
    </row>
    <row r="5" spans="1:11" x14ac:dyDescent="0.3">
      <c r="A5" s="4">
        <v>2</v>
      </c>
      <c r="B5" s="8">
        <v>45799</v>
      </c>
      <c r="C5" s="4" t="s">
        <v>405</v>
      </c>
      <c r="D5" s="4" t="s">
        <v>49</v>
      </c>
      <c r="E5" s="3">
        <v>400</v>
      </c>
      <c r="F5" s="4" t="s">
        <v>41</v>
      </c>
      <c r="G5" s="312">
        <v>20000</v>
      </c>
      <c r="H5" s="312"/>
      <c r="I5" s="108"/>
      <c r="J5" s="108"/>
      <c r="K5" s="108"/>
    </row>
    <row r="6" spans="1:11" x14ac:dyDescent="0.3">
      <c r="A6" s="4">
        <v>3</v>
      </c>
      <c r="B6" s="2">
        <v>45800</v>
      </c>
      <c r="C6" s="4" t="s">
        <v>405</v>
      </c>
      <c r="D6" s="4" t="s">
        <v>49</v>
      </c>
      <c r="E6" s="3">
        <v>400</v>
      </c>
      <c r="F6" s="4" t="s">
        <v>41</v>
      </c>
      <c r="G6" s="312">
        <v>20000</v>
      </c>
      <c r="H6" s="312"/>
      <c r="I6" s="331">
        <v>45853</v>
      </c>
      <c r="J6" s="108" t="s">
        <v>452</v>
      </c>
      <c r="K6" s="330">
        <v>99999</v>
      </c>
    </row>
    <row r="7" spans="1:11" x14ac:dyDescent="0.3">
      <c r="A7" s="4">
        <v>4</v>
      </c>
      <c r="B7" s="8">
        <v>45800</v>
      </c>
      <c r="C7" s="3" t="s">
        <v>406</v>
      </c>
      <c r="D7" s="4" t="s">
        <v>52</v>
      </c>
      <c r="E7" s="4">
        <v>400</v>
      </c>
      <c r="F7" s="4" t="s">
        <v>41</v>
      </c>
      <c r="G7" s="312">
        <v>4000</v>
      </c>
      <c r="H7" s="312"/>
      <c r="I7" s="331">
        <v>45853</v>
      </c>
      <c r="J7" s="108" t="s">
        <v>435</v>
      </c>
      <c r="K7" s="330">
        <v>100</v>
      </c>
    </row>
    <row r="8" spans="1:11" x14ac:dyDescent="0.3">
      <c r="A8" s="4">
        <v>5</v>
      </c>
      <c r="B8" s="8">
        <v>45801</v>
      </c>
      <c r="C8" s="4" t="s">
        <v>405</v>
      </c>
      <c r="D8" s="4" t="s">
        <v>49</v>
      </c>
      <c r="E8" s="4">
        <v>400</v>
      </c>
      <c r="F8" s="4" t="s">
        <v>41</v>
      </c>
      <c r="G8" s="312">
        <v>20000</v>
      </c>
      <c r="H8" s="312"/>
      <c r="I8" s="331">
        <v>45853</v>
      </c>
      <c r="J8" s="108" t="s">
        <v>435</v>
      </c>
      <c r="K8" s="330">
        <v>84901</v>
      </c>
    </row>
    <row r="9" spans="1:11" x14ac:dyDescent="0.3">
      <c r="A9" s="4">
        <v>6</v>
      </c>
      <c r="B9" s="2">
        <v>45807</v>
      </c>
      <c r="C9" s="4" t="s">
        <v>407</v>
      </c>
      <c r="D9" s="4" t="s">
        <v>44</v>
      </c>
      <c r="E9" s="3">
        <v>400</v>
      </c>
      <c r="F9" s="4" t="s">
        <v>41</v>
      </c>
      <c r="G9" s="312">
        <v>12000</v>
      </c>
      <c r="H9" s="312"/>
      <c r="I9" s="331">
        <v>45859</v>
      </c>
      <c r="J9" s="108" t="s">
        <v>452</v>
      </c>
      <c r="K9" s="330">
        <v>50000</v>
      </c>
    </row>
    <row r="10" spans="1:11" x14ac:dyDescent="0.3">
      <c r="A10" s="4">
        <v>7</v>
      </c>
      <c r="B10" s="2">
        <v>45807</v>
      </c>
      <c r="C10" s="4" t="s">
        <v>405</v>
      </c>
      <c r="D10" s="4" t="s">
        <v>49</v>
      </c>
      <c r="E10" s="3">
        <v>400</v>
      </c>
      <c r="F10" s="4" t="s">
        <v>41</v>
      </c>
      <c r="G10" s="312">
        <v>20000</v>
      </c>
      <c r="H10" s="312"/>
      <c r="I10" s="331">
        <v>45860</v>
      </c>
      <c r="J10" s="108" t="s">
        <v>435</v>
      </c>
      <c r="K10" s="330">
        <v>98000</v>
      </c>
    </row>
    <row r="11" spans="1:11" x14ac:dyDescent="0.3">
      <c r="A11" s="4">
        <v>8</v>
      </c>
      <c r="B11" s="2">
        <v>45821</v>
      </c>
      <c r="C11" s="4" t="s">
        <v>408</v>
      </c>
      <c r="D11" s="313" t="s">
        <v>409</v>
      </c>
      <c r="E11" s="3">
        <v>400</v>
      </c>
      <c r="F11" s="4" t="s">
        <v>41</v>
      </c>
      <c r="G11" s="312">
        <v>22000</v>
      </c>
      <c r="H11" s="312"/>
      <c r="I11" s="331">
        <v>45861</v>
      </c>
      <c r="J11" s="108" t="s">
        <v>453</v>
      </c>
      <c r="K11" s="330">
        <v>52000</v>
      </c>
    </row>
    <row r="12" spans="1:11" x14ac:dyDescent="0.3">
      <c r="A12" s="4">
        <v>9</v>
      </c>
      <c r="B12" s="8">
        <v>45821</v>
      </c>
      <c r="C12" s="4" t="s">
        <v>410</v>
      </c>
      <c r="D12" s="4" t="s">
        <v>171</v>
      </c>
      <c r="E12" s="4">
        <v>1000</v>
      </c>
      <c r="F12" s="4" t="s">
        <v>32</v>
      </c>
      <c r="G12" s="312">
        <v>16500</v>
      </c>
      <c r="H12" s="312"/>
      <c r="I12" s="331">
        <v>45863</v>
      </c>
      <c r="J12" s="108" t="s">
        <v>452</v>
      </c>
      <c r="K12" s="330">
        <v>50000</v>
      </c>
    </row>
    <row r="13" spans="1:11" x14ac:dyDescent="0.3">
      <c r="A13" s="4">
        <v>10</v>
      </c>
      <c r="B13" s="8">
        <v>45824</v>
      </c>
      <c r="C13" s="4" t="s">
        <v>410</v>
      </c>
      <c r="D13" s="4" t="s">
        <v>52</v>
      </c>
      <c r="E13" s="4">
        <v>400</v>
      </c>
      <c r="F13" s="4" t="s">
        <v>41</v>
      </c>
      <c r="G13" s="312">
        <v>4000</v>
      </c>
      <c r="H13" s="312"/>
      <c r="I13" s="331">
        <v>45865</v>
      </c>
      <c r="J13" s="108" t="s">
        <v>454</v>
      </c>
      <c r="K13" s="330">
        <v>20000</v>
      </c>
    </row>
    <row r="14" spans="1:11" x14ac:dyDescent="0.3">
      <c r="A14" s="4">
        <v>11</v>
      </c>
      <c r="B14" s="8">
        <v>45827</v>
      </c>
      <c r="C14" s="4" t="s">
        <v>410</v>
      </c>
      <c r="D14" s="4" t="s">
        <v>411</v>
      </c>
      <c r="E14" s="4">
        <v>400</v>
      </c>
      <c r="F14" s="4" t="s">
        <v>41</v>
      </c>
      <c r="G14" s="312">
        <v>20000</v>
      </c>
      <c r="H14" s="312"/>
      <c r="I14" s="331">
        <v>45876</v>
      </c>
      <c r="J14" s="108" t="s">
        <v>435</v>
      </c>
      <c r="K14" s="330">
        <v>55500</v>
      </c>
    </row>
    <row r="15" spans="1:11" x14ac:dyDescent="0.3">
      <c r="A15" s="4">
        <v>12</v>
      </c>
      <c r="B15" s="8">
        <v>45827</v>
      </c>
      <c r="C15" s="4" t="s">
        <v>410</v>
      </c>
      <c r="D15" s="313" t="s">
        <v>409</v>
      </c>
      <c r="E15" s="3">
        <v>400</v>
      </c>
      <c r="F15" s="4" t="s">
        <v>41</v>
      </c>
      <c r="G15" s="312">
        <v>22000</v>
      </c>
      <c r="H15" s="312"/>
      <c r="I15" s="331">
        <v>45877</v>
      </c>
      <c r="J15" s="108" t="s">
        <v>458</v>
      </c>
      <c r="K15" s="300">
        <v>50000</v>
      </c>
    </row>
    <row r="16" spans="1:11" x14ac:dyDescent="0.3">
      <c r="A16" s="4">
        <v>13</v>
      </c>
      <c r="B16" s="8">
        <v>45827</v>
      </c>
      <c r="C16" s="4" t="s">
        <v>410</v>
      </c>
      <c r="D16" s="313" t="s">
        <v>409</v>
      </c>
      <c r="E16" s="3">
        <v>400</v>
      </c>
      <c r="F16" s="4" t="s">
        <v>41</v>
      </c>
      <c r="G16" s="312">
        <v>22000</v>
      </c>
      <c r="H16" s="312"/>
      <c r="I16" s="331">
        <v>45881</v>
      </c>
      <c r="J16" s="108" t="s">
        <v>458</v>
      </c>
      <c r="K16" s="300">
        <v>50000</v>
      </c>
    </row>
    <row r="17" spans="1:11" x14ac:dyDescent="0.3">
      <c r="A17" s="4">
        <v>14</v>
      </c>
      <c r="B17" s="8">
        <v>45827</v>
      </c>
      <c r="C17" s="4" t="s">
        <v>410</v>
      </c>
      <c r="D17" s="4" t="s">
        <v>44</v>
      </c>
      <c r="E17" s="3">
        <v>400</v>
      </c>
      <c r="F17" s="4" t="s">
        <v>41</v>
      </c>
      <c r="G17" s="312">
        <v>12000</v>
      </c>
      <c r="H17" s="312"/>
      <c r="I17" s="331">
        <v>45885</v>
      </c>
      <c r="J17" s="108" t="s">
        <v>459</v>
      </c>
      <c r="K17" s="300">
        <v>50000</v>
      </c>
    </row>
    <row r="18" spans="1:11" x14ac:dyDescent="0.3">
      <c r="A18" s="4">
        <v>15</v>
      </c>
      <c r="B18" s="2">
        <v>45833</v>
      </c>
      <c r="C18" s="4" t="s">
        <v>410</v>
      </c>
      <c r="D18" s="3" t="s">
        <v>52</v>
      </c>
      <c r="E18" s="3">
        <v>400</v>
      </c>
      <c r="F18" s="4" t="s">
        <v>41</v>
      </c>
      <c r="G18" s="312">
        <v>4000</v>
      </c>
      <c r="H18" s="312"/>
      <c r="I18" s="331">
        <v>45887</v>
      </c>
      <c r="J18" s="108" t="s">
        <v>459</v>
      </c>
      <c r="K18" s="300">
        <v>50000</v>
      </c>
    </row>
    <row r="19" spans="1:11" x14ac:dyDescent="0.3">
      <c r="A19" s="4">
        <v>16</v>
      </c>
      <c r="B19" s="2">
        <v>45833</v>
      </c>
      <c r="C19" s="4" t="s">
        <v>410</v>
      </c>
      <c r="D19" s="3" t="s">
        <v>52</v>
      </c>
      <c r="E19" s="3">
        <v>400</v>
      </c>
      <c r="F19" s="4" t="s">
        <v>41</v>
      </c>
      <c r="G19" s="312">
        <v>4000</v>
      </c>
      <c r="H19" s="312"/>
      <c r="I19" s="331">
        <v>45898</v>
      </c>
      <c r="J19" s="108" t="s">
        <v>461</v>
      </c>
      <c r="K19" s="300">
        <v>40000</v>
      </c>
    </row>
    <row r="20" spans="1:11" x14ac:dyDescent="0.3">
      <c r="A20" s="4">
        <v>17</v>
      </c>
      <c r="B20" s="2">
        <v>45833</v>
      </c>
      <c r="C20" s="4" t="s">
        <v>410</v>
      </c>
      <c r="D20" s="3" t="s">
        <v>52</v>
      </c>
      <c r="E20" s="3">
        <v>400</v>
      </c>
      <c r="F20" s="4" t="s">
        <v>41</v>
      </c>
      <c r="G20" s="312">
        <v>4000</v>
      </c>
      <c r="H20" s="312"/>
      <c r="I20" s="331">
        <v>45899</v>
      </c>
      <c r="J20" s="345" t="s">
        <v>462</v>
      </c>
      <c r="K20" s="346">
        <v>60000</v>
      </c>
    </row>
    <row r="21" spans="1:11" x14ac:dyDescent="0.3">
      <c r="A21" s="4">
        <v>18</v>
      </c>
      <c r="B21" s="2">
        <v>45833</v>
      </c>
      <c r="C21" s="4" t="s">
        <v>410</v>
      </c>
      <c r="D21" s="3" t="s">
        <v>416</v>
      </c>
      <c r="E21" s="3">
        <v>400</v>
      </c>
      <c r="F21" s="4" t="s">
        <v>41</v>
      </c>
      <c r="G21" s="312">
        <v>22000</v>
      </c>
      <c r="H21" s="312"/>
      <c r="I21" s="331">
        <v>45916</v>
      </c>
      <c r="J21" s="345" t="s">
        <v>473</v>
      </c>
      <c r="K21" s="346">
        <v>55000</v>
      </c>
    </row>
    <row r="22" spans="1:11" x14ac:dyDescent="0.3">
      <c r="A22" s="4">
        <v>19</v>
      </c>
      <c r="B22" s="2">
        <v>45833</v>
      </c>
      <c r="C22" s="4" t="s">
        <v>410</v>
      </c>
      <c r="D22" s="3" t="s">
        <v>416</v>
      </c>
      <c r="E22" s="3">
        <v>400</v>
      </c>
      <c r="F22" s="4" t="s">
        <v>41</v>
      </c>
      <c r="G22" s="312">
        <v>22000</v>
      </c>
      <c r="H22" s="312"/>
      <c r="I22" s="331">
        <v>45918</v>
      </c>
      <c r="J22" s="345" t="s">
        <v>474</v>
      </c>
      <c r="K22" s="346">
        <v>45000</v>
      </c>
    </row>
    <row r="23" spans="1:11" x14ac:dyDescent="0.3">
      <c r="A23" s="4">
        <v>20</v>
      </c>
      <c r="B23" s="2">
        <v>45833</v>
      </c>
      <c r="C23" s="4" t="s">
        <v>410</v>
      </c>
      <c r="D23" s="3" t="s">
        <v>412</v>
      </c>
      <c r="E23" s="3">
        <v>400</v>
      </c>
      <c r="F23" s="4" t="s">
        <v>41</v>
      </c>
      <c r="G23" s="312">
        <v>12000</v>
      </c>
      <c r="H23" s="312"/>
      <c r="I23" s="331">
        <v>45929</v>
      </c>
      <c r="J23" s="108" t="s">
        <v>503</v>
      </c>
      <c r="K23" s="300">
        <v>32000</v>
      </c>
    </row>
    <row r="24" spans="1:11" x14ac:dyDescent="0.3">
      <c r="A24" s="4">
        <v>21</v>
      </c>
      <c r="B24" s="2">
        <v>45833</v>
      </c>
      <c r="C24" s="4" t="s">
        <v>410</v>
      </c>
      <c r="D24" s="3" t="s">
        <v>412</v>
      </c>
      <c r="E24" s="3">
        <v>400</v>
      </c>
      <c r="F24" s="4" t="s">
        <v>41</v>
      </c>
      <c r="G24" s="312">
        <v>12000</v>
      </c>
      <c r="H24" s="312"/>
      <c r="I24" s="13"/>
      <c r="J24" s="13"/>
      <c r="K24" s="13"/>
    </row>
    <row r="25" spans="1:11" x14ac:dyDescent="0.3">
      <c r="A25" s="4">
        <v>22</v>
      </c>
      <c r="B25" s="2">
        <v>45833</v>
      </c>
      <c r="C25" s="4" t="s">
        <v>410</v>
      </c>
      <c r="D25" s="4" t="s">
        <v>413</v>
      </c>
      <c r="E25" s="3">
        <v>400</v>
      </c>
      <c r="F25" s="4" t="s">
        <v>41</v>
      </c>
      <c r="G25" s="312">
        <v>20000</v>
      </c>
      <c r="H25" s="312"/>
      <c r="I25" s="13"/>
      <c r="J25" s="13"/>
      <c r="K25" s="13"/>
    </row>
    <row r="26" spans="1:11" x14ac:dyDescent="0.3">
      <c r="A26" s="4">
        <v>23</v>
      </c>
      <c r="B26" s="2">
        <v>45833</v>
      </c>
      <c r="C26" s="4" t="s">
        <v>410</v>
      </c>
      <c r="D26" s="4" t="s">
        <v>413</v>
      </c>
      <c r="E26" s="3">
        <v>400</v>
      </c>
      <c r="F26" s="4" t="s">
        <v>41</v>
      </c>
      <c r="G26" s="312">
        <v>20000</v>
      </c>
      <c r="H26" s="312"/>
      <c r="I26" s="13"/>
      <c r="J26" s="13"/>
      <c r="K26" s="13"/>
    </row>
    <row r="27" spans="1:11" x14ac:dyDescent="0.3">
      <c r="A27" s="4">
        <v>24</v>
      </c>
      <c r="B27" s="2">
        <v>45833</v>
      </c>
      <c r="C27" s="4" t="s">
        <v>410</v>
      </c>
      <c r="D27" s="4" t="s">
        <v>413</v>
      </c>
      <c r="E27" s="3">
        <v>400</v>
      </c>
      <c r="F27" s="4" t="s">
        <v>41</v>
      </c>
      <c r="G27" s="312">
        <v>20000</v>
      </c>
      <c r="H27" s="312"/>
      <c r="I27" s="13"/>
      <c r="J27" s="13"/>
      <c r="K27" s="13"/>
    </row>
    <row r="28" spans="1:11" x14ac:dyDescent="0.3">
      <c r="A28" s="4">
        <v>25</v>
      </c>
      <c r="B28" s="2">
        <v>45839</v>
      </c>
      <c r="C28" s="4" t="s">
        <v>410</v>
      </c>
      <c r="D28" s="3" t="s">
        <v>171</v>
      </c>
      <c r="E28" s="3">
        <v>2000</v>
      </c>
      <c r="F28" s="3" t="s">
        <v>32</v>
      </c>
      <c r="G28" s="314">
        <v>33000</v>
      </c>
      <c r="H28" s="314"/>
      <c r="I28" s="13"/>
      <c r="J28" s="13"/>
      <c r="K28" s="13"/>
    </row>
    <row r="29" spans="1:11" x14ac:dyDescent="0.3">
      <c r="A29" s="4">
        <v>26</v>
      </c>
      <c r="B29" s="2">
        <v>45839</v>
      </c>
      <c r="C29" s="4" t="s">
        <v>410</v>
      </c>
      <c r="D29" s="3" t="s">
        <v>415</v>
      </c>
      <c r="E29" s="3">
        <v>400</v>
      </c>
      <c r="F29" s="3" t="s">
        <v>41</v>
      </c>
      <c r="G29" s="314">
        <v>4000</v>
      </c>
      <c r="H29" s="314"/>
      <c r="I29" s="13"/>
      <c r="J29" s="13"/>
      <c r="K29" s="13"/>
    </row>
    <row r="30" spans="1:11" x14ac:dyDescent="0.3">
      <c r="A30" s="4">
        <v>27</v>
      </c>
      <c r="B30" s="2">
        <v>45839</v>
      </c>
      <c r="C30" s="4" t="s">
        <v>410</v>
      </c>
      <c r="D30" s="3" t="s">
        <v>415</v>
      </c>
      <c r="E30" s="3">
        <v>400</v>
      </c>
      <c r="F30" s="3" t="s">
        <v>41</v>
      </c>
      <c r="G30" s="314">
        <v>4000</v>
      </c>
      <c r="H30" s="314"/>
      <c r="I30" s="13"/>
      <c r="J30" s="13"/>
      <c r="K30" s="13"/>
    </row>
    <row r="31" spans="1:11" x14ac:dyDescent="0.3">
      <c r="A31" s="4">
        <v>28</v>
      </c>
      <c r="B31" s="2">
        <v>45840</v>
      </c>
      <c r="C31" s="4" t="s">
        <v>410</v>
      </c>
      <c r="D31" s="3" t="s">
        <v>47</v>
      </c>
      <c r="E31" s="3">
        <v>400</v>
      </c>
      <c r="F31" s="4" t="s">
        <v>41</v>
      </c>
      <c r="G31" s="315">
        <v>22000</v>
      </c>
      <c r="H31" s="315"/>
      <c r="I31" s="13"/>
      <c r="J31" s="13"/>
      <c r="K31" s="13"/>
    </row>
    <row r="32" spans="1:11" x14ac:dyDescent="0.3">
      <c r="A32" s="4">
        <v>29</v>
      </c>
      <c r="B32" s="2">
        <v>45849</v>
      </c>
      <c r="C32" s="4" t="s">
        <v>410</v>
      </c>
      <c r="D32" s="4" t="s">
        <v>52</v>
      </c>
      <c r="E32" s="3">
        <v>400</v>
      </c>
      <c r="F32" s="4" t="s">
        <v>41</v>
      </c>
      <c r="G32" s="315">
        <v>4000</v>
      </c>
      <c r="H32" s="315"/>
      <c r="I32" s="13"/>
      <c r="J32" s="13"/>
      <c r="K32" s="13"/>
    </row>
    <row r="33" spans="1:11" x14ac:dyDescent="0.3">
      <c r="A33" s="4">
        <v>30</v>
      </c>
      <c r="B33" s="2">
        <v>45849</v>
      </c>
      <c r="C33" s="4" t="s">
        <v>410</v>
      </c>
      <c r="D33" s="4" t="s">
        <v>414</v>
      </c>
      <c r="E33" s="3">
        <v>400</v>
      </c>
      <c r="F33" s="4" t="s">
        <v>41</v>
      </c>
      <c r="G33" s="315">
        <v>20000</v>
      </c>
      <c r="H33" s="315"/>
      <c r="I33" s="13"/>
      <c r="J33" s="13"/>
      <c r="K33" s="13"/>
    </row>
    <row r="34" spans="1:11" x14ac:dyDescent="0.3">
      <c r="A34" s="4">
        <v>31</v>
      </c>
      <c r="B34" s="2">
        <v>45853</v>
      </c>
      <c r="C34" s="4" t="s">
        <v>410</v>
      </c>
      <c r="D34" s="3" t="s">
        <v>40</v>
      </c>
      <c r="E34" s="3">
        <v>400</v>
      </c>
      <c r="F34" s="4" t="s">
        <v>41</v>
      </c>
      <c r="G34" s="315">
        <v>12000</v>
      </c>
      <c r="H34" s="315"/>
      <c r="I34" s="226"/>
      <c r="J34" s="13"/>
      <c r="K34" s="13"/>
    </row>
    <row r="35" spans="1:11" x14ac:dyDescent="0.3">
      <c r="A35" s="4">
        <v>32</v>
      </c>
      <c r="B35" s="2">
        <v>45853</v>
      </c>
      <c r="C35" s="4" t="s">
        <v>410</v>
      </c>
      <c r="D35" s="3" t="s">
        <v>47</v>
      </c>
      <c r="E35" s="3">
        <v>400</v>
      </c>
      <c r="F35" s="4" t="s">
        <v>41</v>
      </c>
      <c r="G35" s="315">
        <v>22000</v>
      </c>
      <c r="H35" s="315"/>
      <c r="I35" s="226"/>
      <c r="J35" s="344"/>
      <c r="K35" s="13"/>
    </row>
    <row r="36" spans="1:11" x14ac:dyDescent="0.3">
      <c r="A36" s="4">
        <v>33</v>
      </c>
      <c r="B36" s="2">
        <v>45854</v>
      </c>
      <c r="C36" s="4" t="s">
        <v>410</v>
      </c>
      <c r="D36" s="3" t="s">
        <v>44</v>
      </c>
      <c r="E36" s="3">
        <v>400</v>
      </c>
      <c r="F36" s="4" t="s">
        <v>41</v>
      </c>
      <c r="G36" s="315">
        <v>12000</v>
      </c>
      <c r="H36" s="315"/>
      <c r="I36" s="226"/>
      <c r="J36" s="37"/>
      <c r="K36" s="13"/>
    </row>
    <row r="37" spans="1:11" x14ac:dyDescent="0.3">
      <c r="A37" s="4">
        <v>34</v>
      </c>
      <c r="B37" s="2">
        <v>45854</v>
      </c>
      <c r="C37" s="4" t="s">
        <v>410</v>
      </c>
      <c r="D37" s="3" t="s">
        <v>47</v>
      </c>
      <c r="E37" s="3">
        <v>400</v>
      </c>
      <c r="F37" s="4" t="s">
        <v>41</v>
      </c>
      <c r="G37" s="315">
        <v>20000</v>
      </c>
      <c r="H37" s="315"/>
      <c r="I37" s="226"/>
      <c r="J37" s="37"/>
      <c r="K37" s="13"/>
    </row>
    <row r="38" spans="1:11" x14ac:dyDescent="0.3">
      <c r="A38" s="4">
        <v>35</v>
      </c>
      <c r="B38" s="2">
        <v>45862</v>
      </c>
      <c r="C38" s="4" t="s">
        <v>410</v>
      </c>
      <c r="D38" s="3" t="s">
        <v>44</v>
      </c>
      <c r="E38" s="3">
        <v>400</v>
      </c>
      <c r="F38" s="4" t="s">
        <v>41</v>
      </c>
      <c r="G38" s="315">
        <v>12000</v>
      </c>
      <c r="H38" s="315"/>
      <c r="I38" s="226"/>
      <c r="J38" s="37"/>
      <c r="K38" s="329"/>
    </row>
    <row r="39" spans="1:11" x14ac:dyDescent="0.3">
      <c r="A39" s="4">
        <v>36</v>
      </c>
      <c r="B39" s="2">
        <v>45862</v>
      </c>
      <c r="C39" s="4" t="s">
        <v>410</v>
      </c>
      <c r="D39" s="3" t="s">
        <v>47</v>
      </c>
      <c r="E39" s="3">
        <v>400</v>
      </c>
      <c r="F39" s="4" t="s">
        <v>41</v>
      </c>
      <c r="G39" s="315">
        <v>22000</v>
      </c>
      <c r="H39" s="315"/>
      <c r="I39" s="13"/>
      <c r="J39" s="13"/>
      <c r="K39" s="13"/>
    </row>
    <row r="40" spans="1:11" x14ac:dyDescent="0.3">
      <c r="A40" s="4">
        <v>37</v>
      </c>
      <c r="B40" s="2">
        <v>45866</v>
      </c>
      <c r="C40" s="4" t="s">
        <v>410</v>
      </c>
      <c r="D40" s="3" t="s">
        <v>44</v>
      </c>
      <c r="E40" s="3">
        <v>400</v>
      </c>
      <c r="F40" s="4" t="s">
        <v>41</v>
      </c>
      <c r="G40" s="315">
        <v>12000</v>
      </c>
      <c r="H40" s="315"/>
      <c r="I40" s="310"/>
      <c r="J40" s="13"/>
      <c r="K40" s="13"/>
    </row>
    <row r="41" spans="1:11" x14ac:dyDescent="0.3">
      <c r="A41" s="4">
        <v>38</v>
      </c>
      <c r="B41" s="2">
        <v>45866</v>
      </c>
      <c r="C41" s="4" t="s">
        <v>410</v>
      </c>
      <c r="D41" s="3" t="s">
        <v>47</v>
      </c>
      <c r="E41" s="3">
        <v>400</v>
      </c>
      <c r="F41" s="4" t="s">
        <v>41</v>
      </c>
      <c r="G41" s="315">
        <v>22000</v>
      </c>
      <c r="H41" s="315"/>
      <c r="I41" s="310"/>
      <c r="J41" s="13"/>
      <c r="K41" s="13"/>
    </row>
    <row r="42" spans="1:11" x14ac:dyDescent="0.3">
      <c r="A42" s="4">
        <v>39</v>
      </c>
      <c r="B42" s="2">
        <v>45866</v>
      </c>
      <c r="C42" s="4" t="s">
        <v>410</v>
      </c>
      <c r="D42" s="3" t="s">
        <v>44</v>
      </c>
      <c r="E42" s="3">
        <v>400</v>
      </c>
      <c r="F42" s="4" t="s">
        <v>41</v>
      </c>
      <c r="G42" s="315">
        <v>12000</v>
      </c>
      <c r="H42" s="315"/>
      <c r="I42" s="310"/>
      <c r="J42" s="13"/>
      <c r="K42" s="13"/>
    </row>
    <row r="43" spans="1:11" x14ac:dyDescent="0.3">
      <c r="A43" s="4">
        <v>40</v>
      </c>
      <c r="B43" s="2">
        <v>45866</v>
      </c>
      <c r="C43" s="4" t="s">
        <v>410</v>
      </c>
      <c r="D43" s="3" t="s">
        <v>47</v>
      </c>
      <c r="E43" s="3">
        <v>400</v>
      </c>
      <c r="F43" s="4" t="s">
        <v>41</v>
      </c>
      <c r="G43" s="315">
        <v>22000</v>
      </c>
      <c r="H43" s="315"/>
      <c r="I43" s="310"/>
      <c r="J43" s="13"/>
      <c r="K43" s="13"/>
    </row>
    <row r="44" spans="1:11" x14ac:dyDescent="0.3">
      <c r="A44" s="4">
        <v>41</v>
      </c>
      <c r="B44" s="2">
        <v>45871</v>
      </c>
      <c r="C44" s="4" t="s">
        <v>410</v>
      </c>
      <c r="D44" s="3" t="s">
        <v>52</v>
      </c>
      <c r="E44" s="3">
        <v>400</v>
      </c>
      <c r="F44" s="4" t="s">
        <v>41</v>
      </c>
      <c r="G44" s="312">
        <v>4000</v>
      </c>
      <c r="H44" s="312"/>
      <c r="I44" s="13"/>
      <c r="J44" s="13"/>
      <c r="K44" s="13"/>
    </row>
    <row r="45" spans="1:11" x14ac:dyDescent="0.3">
      <c r="A45" s="523" t="s">
        <v>476</v>
      </c>
      <c r="B45" s="524"/>
      <c r="C45" s="524"/>
      <c r="D45" s="524"/>
      <c r="E45" s="524"/>
      <c r="F45" s="525"/>
      <c r="G45" s="317">
        <f>SUM(G4:G44)</f>
        <v>633500</v>
      </c>
      <c r="H45" s="312"/>
      <c r="I45" s="348"/>
      <c r="J45" s="349"/>
      <c r="K45" s="13"/>
    </row>
    <row r="46" spans="1:11" x14ac:dyDescent="0.3">
      <c r="A46" s="628" t="s">
        <v>475</v>
      </c>
      <c r="B46" s="629"/>
      <c r="C46" s="629"/>
      <c r="D46" s="629"/>
      <c r="E46" s="629"/>
      <c r="F46" s="629"/>
      <c r="G46" s="630"/>
      <c r="H46" s="319"/>
      <c r="I46" s="576" t="s">
        <v>443</v>
      </c>
      <c r="J46" s="624"/>
      <c r="K46" s="319">
        <f>SUM(K4:K43)</f>
        <v>971500</v>
      </c>
    </row>
    <row r="47" spans="1:11" ht="16.2" x14ac:dyDescent="0.4">
      <c r="A47" s="3">
        <v>1</v>
      </c>
      <c r="B47" s="2">
        <v>45898</v>
      </c>
      <c r="C47" s="4" t="s">
        <v>410</v>
      </c>
      <c r="D47" s="3" t="s">
        <v>463</v>
      </c>
      <c r="E47" s="3">
        <v>400</v>
      </c>
      <c r="F47" s="4" t="s">
        <v>41</v>
      </c>
      <c r="G47" s="312">
        <v>22000</v>
      </c>
      <c r="H47" s="329"/>
      <c r="I47" s="342" t="s">
        <v>2</v>
      </c>
      <c r="J47" s="342" t="s">
        <v>502</v>
      </c>
      <c r="K47" s="343" t="s">
        <v>213</v>
      </c>
    </row>
    <row r="48" spans="1:11" x14ac:dyDescent="0.3">
      <c r="A48" s="3">
        <v>2</v>
      </c>
      <c r="B48" s="2">
        <v>45898</v>
      </c>
      <c r="C48" s="4" t="s">
        <v>410</v>
      </c>
      <c r="D48" s="3" t="s">
        <v>47</v>
      </c>
      <c r="E48" s="3">
        <v>400</v>
      </c>
      <c r="F48" s="4" t="s">
        <v>41</v>
      </c>
      <c r="G48" s="312">
        <v>20000</v>
      </c>
      <c r="H48" s="329"/>
      <c r="I48" s="2">
        <v>45929</v>
      </c>
      <c r="J48" s="345" t="s">
        <v>505</v>
      </c>
      <c r="K48" s="329">
        <v>68000</v>
      </c>
    </row>
    <row r="49" spans="1:11" x14ac:dyDescent="0.3">
      <c r="A49" s="3">
        <v>3</v>
      </c>
      <c r="B49" s="2">
        <v>45898</v>
      </c>
      <c r="C49" s="4" t="s">
        <v>410</v>
      </c>
      <c r="D49" s="3" t="s">
        <v>44</v>
      </c>
      <c r="E49" s="3">
        <v>400</v>
      </c>
      <c r="F49" s="4" t="s">
        <v>41</v>
      </c>
      <c r="G49" s="312">
        <v>13000</v>
      </c>
      <c r="H49" s="329"/>
      <c r="I49" s="2">
        <v>45974</v>
      </c>
      <c r="J49" s="108" t="s">
        <v>506</v>
      </c>
      <c r="K49" s="365">
        <v>90000</v>
      </c>
    </row>
    <row r="50" spans="1:11" x14ac:dyDescent="0.3">
      <c r="A50" s="3">
        <v>4</v>
      </c>
      <c r="B50" s="2">
        <v>45901</v>
      </c>
      <c r="C50" s="4" t="s">
        <v>410</v>
      </c>
      <c r="D50" s="3" t="s">
        <v>47</v>
      </c>
      <c r="E50" s="3">
        <v>400</v>
      </c>
      <c r="F50" s="4" t="s">
        <v>41</v>
      </c>
      <c r="G50" s="312">
        <v>22000</v>
      </c>
      <c r="H50" s="329"/>
      <c r="I50" s="2">
        <v>45974</v>
      </c>
      <c r="J50" s="345" t="s">
        <v>507</v>
      </c>
      <c r="K50" s="329">
        <v>49000</v>
      </c>
    </row>
    <row r="51" spans="1:11" x14ac:dyDescent="0.3">
      <c r="A51" s="3">
        <v>5</v>
      </c>
      <c r="B51" s="2">
        <v>45903</v>
      </c>
      <c r="C51" s="4" t="s">
        <v>410</v>
      </c>
      <c r="D51" s="3" t="s">
        <v>44</v>
      </c>
      <c r="E51" s="3">
        <v>400</v>
      </c>
      <c r="F51" s="4" t="s">
        <v>41</v>
      </c>
      <c r="G51" s="312">
        <v>13000</v>
      </c>
      <c r="H51" s="329"/>
      <c r="I51" s="2">
        <v>45974</v>
      </c>
      <c r="J51" s="345" t="s">
        <v>508</v>
      </c>
      <c r="K51" s="329">
        <v>98000</v>
      </c>
    </row>
    <row r="52" spans="1:11" x14ac:dyDescent="0.3">
      <c r="A52" s="3">
        <v>6</v>
      </c>
      <c r="B52" s="2">
        <v>45912</v>
      </c>
      <c r="C52" s="4" t="s">
        <v>410</v>
      </c>
      <c r="D52" s="3" t="s">
        <v>47</v>
      </c>
      <c r="E52" s="3">
        <v>400</v>
      </c>
      <c r="F52" s="4" t="s">
        <v>41</v>
      </c>
      <c r="G52" s="312">
        <v>22000</v>
      </c>
      <c r="H52" s="329"/>
      <c r="I52" s="2">
        <v>45974</v>
      </c>
      <c r="J52" s="108" t="s">
        <v>509</v>
      </c>
      <c r="K52" s="329">
        <v>50000</v>
      </c>
    </row>
    <row r="53" spans="1:11" x14ac:dyDescent="0.3">
      <c r="A53" s="3">
        <v>7</v>
      </c>
      <c r="B53" s="2">
        <v>45913</v>
      </c>
      <c r="C53" s="4" t="s">
        <v>410</v>
      </c>
      <c r="D53" s="3" t="s">
        <v>44</v>
      </c>
      <c r="E53" s="3">
        <v>400</v>
      </c>
      <c r="F53" s="4" t="s">
        <v>41</v>
      </c>
      <c r="G53" s="312">
        <v>13000</v>
      </c>
      <c r="H53" s="329"/>
      <c r="I53" s="2">
        <v>45974</v>
      </c>
      <c r="J53" s="108" t="s">
        <v>510</v>
      </c>
      <c r="K53" s="329">
        <v>100000</v>
      </c>
    </row>
    <row r="54" spans="1:11" x14ac:dyDescent="0.3">
      <c r="A54" s="3">
        <v>8</v>
      </c>
      <c r="B54" s="2">
        <v>45927</v>
      </c>
      <c r="C54" s="4" t="s">
        <v>410</v>
      </c>
      <c r="D54" s="3" t="s">
        <v>52</v>
      </c>
      <c r="E54" s="3">
        <v>400</v>
      </c>
      <c r="F54" s="4" t="s">
        <v>41</v>
      </c>
      <c r="G54" s="312">
        <v>4000</v>
      </c>
      <c r="H54" s="329"/>
      <c r="I54" s="2">
        <v>45978</v>
      </c>
      <c r="J54" s="108" t="s">
        <v>503</v>
      </c>
      <c r="K54" s="329">
        <v>150000</v>
      </c>
    </row>
    <row r="55" spans="1:11" x14ac:dyDescent="0.3">
      <c r="A55" s="3">
        <v>9</v>
      </c>
      <c r="B55" s="2">
        <v>45927</v>
      </c>
      <c r="C55" s="4" t="s">
        <v>410</v>
      </c>
      <c r="D55" s="3" t="s">
        <v>44</v>
      </c>
      <c r="E55" s="3">
        <v>400</v>
      </c>
      <c r="F55" s="4" t="s">
        <v>41</v>
      </c>
      <c r="G55" s="312">
        <v>13000</v>
      </c>
      <c r="H55" s="329"/>
      <c r="I55" s="2">
        <v>45978</v>
      </c>
      <c r="J55" s="108" t="s">
        <v>516</v>
      </c>
      <c r="K55" s="329">
        <v>100000</v>
      </c>
    </row>
    <row r="56" spans="1:11" x14ac:dyDescent="0.3">
      <c r="A56" s="3">
        <v>10</v>
      </c>
      <c r="B56" s="2">
        <v>45927</v>
      </c>
      <c r="C56" s="4" t="s">
        <v>410</v>
      </c>
      <c r="D56" s="4" t="s">
        <v>413</v>
      </c>
      <c r="E56" s="3">
        <v>400</v>
      </c>
      <c r="F56" s="4" t="s">
        <v>41</v>
      </c>
      <c r="G56" s="312">
        <v>20000</v>
      </c>
      <c r="H56" s="329"/>
      <c r="I56" s="347"/>
      <c r="J56" s="347"/>
      <c r="K56" s="329"/>
    </row>
    <row r="57" spans="1:11" x14ac:dyDescent="0.3">
      <c r="A57" s="3">
        <v>11</v>
      </c>
      <c r="B57" s="2">
        <v>45927</v>
      </c>
      <c r="C57" s="4" t="s">
        <v>410</v>
      </c>
      <c r="D57" s="3" t="s">
        <v>44</v>
      </c>
      <c r="E57" s="3">
        <v>400</v>
      </c>
      <c r="F57" s="4" t="s">
        <v>41</v>
      </c>
      <c r="G57" s="312">
        <v>13000</v>
      </c>
      <c r="H57" s="329"/>
      <c r="I57" s="347"/>
      <c r="J57" s="347"/>
      <c r="K57" s="329"/>
    </row>
    <row r="58" spans="1:11" x14ac:dyDescent="0.3">
      <c r="A58" s="3">
        <v>12</v>
      </c>
      <c r="B58" s="2">
        <v>45927</v>
      </c>
      <c r="C58" s="4" t="s">
        <v>410</v>
      </c>
      <c r="D58" s="3" t="s">
        <v>47</v>
      </c>
      <c r="E58" s="3">
        <v>400</v>
      </c>
      <c r="F58" s="4" t="s">
        <v>41</v>
      </c>
      <c r="G58" s="312">
        <v>22000</v>
      </c>
      <c r="H58" s="329"/>
      <c r="I58" s="347"/>
      <c r="J58" s="347"/>
      <c r="K58" s="329"/>
    </row>
    <row r="59" spans="1:11" x14ac:dyDescent="0.3">
      <c r="A59" s="3">
        <v>13</v>
      </c>
      <c r="B59" s="2">
        <v>45927</v>
      </c>
      <c r="C59" s="4" t="s">
        <v>410</v>
      </c>
      <c r="D59" s="3" t="s">
        <v>47</v>
      </c>
      <c r="E59" s="3">
        <v>400</v>
      </c>
      <c r="F59" s="4" t="s">
        <v>41</v>
      </c>
      <c r="G59" s="312">
        <v>22000</v>
      </c>
      <c r="H59" s="329"/>
      <c r="I59" s="347"/>
      <c r="J59" s="347"/>
      <c r="K59" s="329"/>
    </row>
    <row r="60" spans="1:11" x14ac:dyDescent="0.3">
      <c r="A60" s="3">
        <v>14</v>
      </c>
      <c r="B60" s="2">
        <v>45927</v>
      </c>
      <c r="C60" s="4" t="s">
        <v>410</v>
      </c>
      <c r="D60" s="3" t="s">
        <v>52</v>
      </c>
      <c r="E60" s="3">
        <v>400</v>
      </c>
      <c r="F60" s="4" t="s">
        <v>41</v>
      </c>
      <c r="G60" s="312">
        <v>4000</v>
      </c>
      <c r="H60" s="329"/>
      <c r="I60" s="347"/>
      <c r="J60" s="347"/>
      <c r="K60" s="329"/>
    </row>
    <row r="61" spans="1:11" x14ac:dyDescent="0.3">
      <c r="A61" s="3">
        <v>15</v>
      </c>
      <c r="B61" s="2">
        <v>45928</v>
      </c>
      <c r="C61" s="4" t="s">
        <v>410</v>
      </c>
      <c r="D61" s="3" t="s">
        <v>52</v>
      </c>
      <c r="E61" s="3">
        <v>400</v>
      </c>
      <c r="F61" s="4" t="s">
        <v>41</v>
      </c>
      <c r="G61" s="312">
        <v>4000</v>
      </c>
      <c r="H61" s="329"/>
      <c r="I61" s="347"/>
      <c r="J61" s="347"/>
      <c r="K61" s="329"/>
    </row>
    <row r="62" spans="1:11" x14ac:dyDescent="0.3">
      <c r="A62" s="3">
        <v>16</v>
      </c>
      <c r="B62" s="2">
        <v>45928</v>
      </c>
      <c r="C62" s="4" t="s">
        <v>410</v>
      </c>
      <c r="D62" s="4" t="s">
        <v>413</v>
      </c>
      <c r="E62" s="3">
        <v>400</v>
      </c>
      <c r="F62" s="4" t="s">
        <v>41</v>
      </c>
      <c r="G62" s="312">
        <v>20000</v>
      </c>
      <c r="H62" s="329"/>
      <c r="I62" s="347"/>
      <c r="J62" s="347"/>
      <c r="K62" s="329"/>
    </row>
    <row r="63" spans="1:11" x14ac:dyDescent="0.3">
      <c r="A63" s="3">
        <v>17</v>
      </c>
      <c r="B63" s="2">
        <v>45928</v>
      </c>
      <c r="C63" s="4" t="s">
        <v>410</v>
      </c>
      <c r="D63" s="3" t="s">
        <v>52</v>
      </c>
      <c r="E63" s="3">
        <v>400</v>
      </c>
      <c r="F63" s="4" t="s">
        <v>41</v>
      </c>
      <c r="G63" s="312">
        <v>4000</v>
      </c>
      <c r="H63" s="329"/>
      <c r="I63" s="347"/>
      <c r="J63" s="347"/>
      <c r="K63" s="329"/>
    </row>
    <row r="64" spans="1:11" x14ac:dyDescent="0.3">
      <c r="A64" s="3">
        <v>18</v>
      </c>
      <c r="B64" s="2">
        <v>45928</v>
      </c>
      <c r="C64" s="4" t="s">
        <v>410</v>
      </c>
      <c r="D64" s="4" t="s">
        <v>413</v>
      </c>
      <c r="E64" s="3">
        <v>400</v>
      </c>
      <c r="F64" s="4" t="s">
        <v>41</v>
      </c>
      <c r="G64" s="312">
        <v>20000</v>
      </c>
      <c r="H64" s="329"/>
      <c r="I64" s="347"/>
      <c r="J64" s="347"/>
      <c r="K64" s="329"/>
    </row>
    <row r="65" spans="1:11" x14ac:dyDescent="0.3">
      <c r="A65" s="3">
        <v>19</v>
      </c>
      <c r="B65" s="2">
        <v>45928</v>
      </c>
      <c r="C65" s="4" t="s">
        <v>410</v>
      </c>
      <c r="D65" s="4" t="s">
        <v>413</v>
      </c>
      <c r="E65" s="3">
        <v>400</v>
      </c>
      <c r="F65" s="4" t="s">
        <v>41</v>
      </c>
      <c r="G65" s="312">
        <v>20000</v>
      </c>
      <c r="H65" s="329"/>
      <c r="I65" s="347"/>
      <c r="J65" s="347"/>
      <c r="K65" s="329"/>
    </row>
    <row r="66" spans="1:11" x14ac:dyDescent="0.3">
      <c r="A66" s="3">
        <v>20</v>
      </c>
      <c r="B66" s="2">
        <v>45948</v>
      </c>
      <c r="C66" s="4" t="s">
        <v>410</v>
      </c>
      <c r="D66" s="3" t="s">
        <v>47</v>
      </c>
      <c r="E66" s="3">
        <v>400</v>
      </c>
      <c r="F66" s="4" t="s">
        <v>41</v>
      </c>
      <c r="G66" s="312">
        <v>22000</v>
      </c>
      <c r="H66" s="329"/>
      <c r="I66" s="347"/>
      <c r="J66" s="347"/>
      <c r="K66" s="329"/>
    </row>
    <row r="67" spans="1:11" x14ac:dyDescent="0.3">
      <c r="A67" s="3">
        <v>21</v>
      </c>
      <c r="B67" s="2">
        <v>45950</v>
      </c>
      <c r="C67" s="4" t="s">
        <v>410</v>
      </c>
      <c r="D67" s="3" t="s">
        <v>44</v>
      </c>
      <c r="E67" s="3">
        <v>400</v>
      </c>
      <c r="F67" s="4" t="s">
        <v>41</v>
      </c>
      <c r="G67" s="312">
        <v>13000</v>
      </c>
      <c r="H67" s="329"/>
      <c r="I67" s="347"/>
      <c r="J67" s="347"/>
      <c r="K67" s="329"/>
    </row>
    <row r="68" spans="1:11" x14ac:dyDescent="0.3">
      <c r="A68" s="3">
        <v>22</v>
      </c>
      <c r="B68" s="2">
        <v>45950</v>
      </c>
      <c r="C68" s="4" t="s">
        <v>410</v>
      </c>
      <c r="D68" s="3" t="s">
        <v>44</v>
      </c>
      <c r="E68" s="3">
        <v>400</v>
      </c>
      <c r="F68" s="4" t="s">
        <v>41</v>
      </c>
      <c r="G68" s="312">
        <v>13000</v>
      </c>
      <c r="H68" s="329"/>
      <c r="I68" s="347"/>
      <c r="J68" s="347"/>
      <c r="K68" s="329"/>
    </row>
    <row r="69" spans="1:11" x14ac:dyDescent="0.3">
      <c r="A69" s="3">
        <v>23</v>
      </c>
      <c r="B69" s="2">
        <v>45950</v>
      </c>
      <c r="C69" s="4" t="s">
        <v>410</v>
      </c>
      <c r="D69" s="4" t="s">
        <v>413</v>
      </c>
      <c r="E69" s="3">
        <v>400</v>
      </c>
      <c r="F69" s="4" t="s">
        <v>41</v>
      </c>
      <c r="G69" s="312">
        <v>20000</v>
      </c>
      <c r="H69" s="329"/>
      <c r="I69" s="347"/>
      <c r="J69" s="347"/>
      <c r="K69" s="329"/>
    </row>
    <row r="70" spans="1:11" x14ac:dyDescent="0.3">
      <c r="A70" s="3">
        <v>24</v>
      </c>
      <c r="B70" s="2">
        <v>45950</v>
      </c>
      <c r="C70" s="4" t="s">
        <v>410</v>
      </c>
      <c r="D70" s="4" t="s">
        <v>413</v>
      </c>
      <c r="E70" s="3">
        <v>400</v>
      </c>
      <c r="F70" s="4" t="s">
        <v>41</v>
      </c>
      <c r="G70" s="312">
        <v>20000</v>
      </c>
      <c r="H70" s="329"/>
      <c r="I70" s="347"/>
      <c r="J70" s="347"/>
      <c r="K70" s="329"/>
    </row>
    <row r="71" spans="1:11" x14ac:dyDescent="0.3">
      <c r="A71" s="3">
        <v>25</v>
      </c>
      <c r="B71" s="2">
        <v>45950</v>
      </c>
      <c r="C71" s="4" t="s">
        <v>410</v>
      </c>
      <c r="D71" s="3" t="s">
        <v>47</v>
      </c>
      <c r="E71" s="3">
        <v>400</v>
      </c>
      <c r="F71" s="4" t="s">
        <v>41</v>
      </c>
      <c r="G71" s="312">
        <v>22000</v>
      </c>
      <c r="H71" s="329"/>
      <c r="I71" s="347"/>
      <c r="J71" s="347"/>
      <c r="K71" s="329"/>
    </row>
    <row r="72" spans="1:11" x14ac:dyDescent="0.3">
      <c r="A72" s="3">
        <v>26</v>
      </c>
      <c r="B72" s="2">
        <v>45950</v>
      </c>
      <c r="C72" s="4" t="s">
        <v>410</v>
      </c>
      <c r="D72" s="3" t="s">
        <v>47</v>
      </c>
      <c r="E72" s="3">
        <v>400</v>
      </c>
      <c r="F72" s="4" t="s">
        <v>41</v>
      </c>
      <c r="G72" s="312">
        <v>22000</v>
      </c>
      <c r="H72" s="329"/>
      <c r="I72" s="347"/>
      <c r="J72" s="347"/>
      <c r="K72" s="329"/>
    </row>
    <row r="73" spans="1:11" x14ac:dyDescent="0.3">
      <c r="A73" s="3">
        <v>27</v>
      </c>
      <c r="B73" s="2">
        <v>45952</v>
      </c>
      <c r="C73" s="4" t="s">
        <v>410</v>
      </c>
      <c r="D73" s="4" t="s">
        <v>413</v>
      </c>
      <c r="E73" s="3">
        <v>400</v>
      </c>
      <c r="F73" s="4" t="s">
        <v>41</v>
      </c>
      <c r="G73" s="312">
        <v>20000</v>
      </c>
      <c r="H73" s="329"/>
      <c r="I73" s="347"/>
      <c r="J73" s="347"/>
      <c r="K73" s="329"/>
    </row>
    <row r="74" spans="1:11" x14ac:dyDescent="0.3">
      <c r="A74" s="3">
        <v>28</v>
      </c>
      <c r="B74" s="2">
        <v>45952</v>
      </c>
      <c r="C74" s="4" t="s">
        <v>410</v>
      </c>
      <c r="D74" s="4" t="s">
        <v>413</v>
      </c>
      <c r="E74" s="3">
        <v>400</v>
      </c>
      <c r="F74" s="4" t="s">
        <v>41</v>
      </c>
      <c r="G74" s="312">
        <v>20000</v>
      </c>
      <c r="H74" s="329"/>
      <c r="I74" s="347"/>
      <c r="J74" s="347"/>
      <c r="K74" s="329"/>
    </row>
    <row r="75" spans="1:11" x14ac:dyDescent="0.3">
      <c r="A75" s="3">
        <v>29</v>
      </c>
      <c r="B75" s="2">
        <v>45952</v>
      </c>
      <c r="C75" s="4" t="s">
        <v>410</v>
      </c>
      <c r="D75" s="3" t="s">
        <v>47</v>
      </c>
      <c r="E75" s="3">
        <v>400</v>
      </c>
      <c r="F75" s="4" t="s">
        <v>41</v>
      </c>
      <c r="G75" s="312">
        <v>22000</v>
      </c>
      <c r="H75" s="329"/>
      <c r="I75" s="347"/>
      <c r="J75" s="347"/>
      <c r="K75" s="329"/>
    </row>
    <row r="76" spans="1:11" x14ac:dyDescent="0.3">
      <c r="A76" s="3">
        <v>30</v>
      </c>
      <c r="B76" s="2">
        <v>45955</v>
      </c>
      <c r="C76" s="4" t="s">
        <v>410</v>
      </c>
      <c r="D76" s="3" t="s">
        <v>44</v>
      </c>
      <c r="E76" s="3">
        <v>400</v>
      </c>
      <c r="F76" s="4" t="s">
        <v>41</v>
      </c>
      <c r="G76" s="312">
        <v>14500</v>
      </c>
      <c r="H76" s="329"/>
      <c r="I76" s="347"/>
      <c r="J76" s="347"/>
      <c r="K76" s="329"/>
    </row>
    <row r="77" spans="1:11" x14ac:dyDescent="0.3">
      <c r="A77" s="3">
        <v>31</v>
      </c>
      <c r="B77" s="2">
        <v>45955</v>
      </c>
      <c r="C77" s="4" t="s">
        <v>410</v>
      </c>
      <c r="D77" s="3" t="s">
        <v>44</v>
      </c>
      <c r="E77" s="3">
        <v>400</v>
      </c>
      <c r="F77" s="4" t="s">
        <v>41</v>
      </c>
      <c r="G77" s="312">
        <v>14500</v>
      </c>
      <c r="H77" s="329"/>
      <c r="I77" s="347"/>
      <c r="J77" s="347"/>
      <c r="K77" s="329"/>
    </row>
    <row r="78" spans="1:11" x14ac:dyDescent="0.3">
      <c r="A78" s="3">
        <v>32</v>
      </c>
      <c r="B78" s="2">
        <v>45955</v>
      </c>
      <c r="C78" s="4" t="s">
        <v>410</v>
      </c>
      <c r="D78" s="3" t="s">
        <v>47</v>
      </c>
      <c r="E78" s="3">
        <v>400</v>
      </c>
      <c r="F78" s="4" t="s">
        <v>41</v>
      </c>
      <c r="G78" s="312">
        <v>22000</v>
      </c>
      <c r="H78" s="329"/>
      <c r="I78" s="347"/>
      <c r="J78" s="347"/>
      <c r="K78" s="329"/>
    </row>
    <row r="79" spans="1:11" x14ac:dyDescent="0.3">
      <c r="A79" s="3">
        <v>33</v>
      </c>
      <c r="B79" s="2">
        <v>45955</v>
      </c>
      <c r="C79" s="4" t="s">
        <v>410</v>
      </c>
      <c r="D79" s="3" t="s">
        <v>47</v>
      </c>
      <c r="E79" s="3">
        <v>400</v>
      </c>
      <c r="F79" s="4" t="s">
        <v>41</v>
      </c>
      <c r="G79" s="312">
        <v>22000</v>
      </c>
      <c r="H79" s="329"/>
      <c r="I79" s="347"/>
      <c r="J79" s="347"/>
      <c r="K79" s="329"/>
    </row>
    <row r="80" spans="1:11" x14ac:dyDescent="0.3">
      <c r="A80" s="3">
        <v>34</v>
      </c>
      <c r="B80" s="2">
        <v>45959</v>
      </c>
      <c r="C80" s="4" t="s">
        <v>410</v>
      </c>
      <c r="D80" s="3" t="s">
        <v>44</v>
      </c>
      <c r="E80" s="3">
        <v>400</v>
      </c>
      <c r="F80" s="4" t="s">
        <v>41</v>
      </c>
      <c r="G80" s="315">
        <v>14500</v>
      </c>
      <c r="H80" s="329"/>
      <c r="I80" s="364"/>
      <c r="J80" s="364" t="s">
        <v>27</v>
      </c>
      <c r="K80" s="319">
        <f>SUM(K48:K79)</f>
        <v>705000</v>
      </c>
    </row>
    <row r="81" spans="1:11" x14ac:dyDescent="0.3">
      <c r="A81" s="3">
        <v>35</v>
      </c>
      <c r="B81" s="2">
        <v>45960</v>
      </c>
      <c r="C81" s="4" t="s">
        <v>410</v>
      </c>
      <c r="D81" s="3" t="s">
        <v>44</v>
      </c>
      <c r="E81" s="3">
        <v>400</v>
      </c>
      <c r="F81" s="4" t="s">
        <v>41</v>
      </c>
      <c r="G81" s="315">
        <v>14500</v>
      </c>
      <c r="H81" s="329"/>
      <c r="I81" s="347"/>
      <c r="J81" s="347"/>
      <c r="K81" s="329"/>
    </row>
    <row r="82" spans="1:11" x14ac:dyDescent="0.3">
      <c r="A82" s="520" t="s">
        <v>533</v>
      </c>
      <c r="B82" s="521"/>
      <c r="C82" s="521"/>
      <c r="D82" s="521"/>
      <c r="E82" s="521"/>
      <c r="F82" s="522"/>
      <c r="G82" s="317">
        <f>SUM(G47:G81)</f>
        <v>587000</v>
      </c>
      <c r="H82" s="329"/>
      <c r="I82" s="347"/>
      <c r="J82" s="347"/>
      <c r="K82" s="329"/>
    </row>
    <row r="83" spans="1:11" ht="16.2" x14ac:dyDescent="0.4">
      <c r="A83" s="341" t="s">
        <v>166</v>
      </c>
      <c r="B83" s="341" t="s">
        <v>2</v>
      </c>
      <c r="C83" s="341" t="s">
        <v>136</v>
      </c>
      <c r="D83" s="341" t="s">
        <v>137</v>
      </c>
      <c r="E83" s="341" t="s">
        <v>6</v>
      </c>
      <c r="F83" s="341" t="s">
        <v>138</v>
      </c>
      <c r="G83" s="341" t="s">
        <v>126</v>
      </c>
      <c r="H83" s="329"/>
      <c r="I83" s="342" t="s">
        <v>2</v>
      </c>
      <c r="J83" s="342" t="s">
        <v>502</v>
      </c>
      <c r="K83" s="343" t="s">
        <v>213</v>
      </c>
    </row>
    <row r="84" spans="1:11" x14ac:dyDescent="0.3">
      <c r="A84" s="628" t="s">
        <v>475</v>
      </c>
      <c r="B84" s="629"/>
      <c r="C84" s="629"/>
      <c r="D84" s="629"/>
      <c r="E84" s="629"/>
      <c r="F84" s="629"/>
      <c r="G84" s="630"/>
      <c r="H84" s="329"/>
      <c r="I84" s="368">
        <v>46000</v>
      </c>
      <c r="J84" s="108" t="s">
        <v>557</v>
      </c>
      <c r="K84" s="330">
        <v>75000</v>
      </c>
    </row>
    <row r="85" spans="1:11" x14ac:dyDescent="0.3">
      <c r="A85" s="3">
        <v>36</v>
      </c>
      <c r="B85" s="2">
        <v>45969</v>
      </c>
      <c r="C85" s="4" t="s">
        <v>410</v>
      </c>
      <c r="D85" s="3" t="s">
        <v>47</v>
      </c>
      <c r="E85" s="3">
        <v>400</v>
      </c>
      <c r="F85" s="4" t="s">
        <v>41</v>
      </c>
      <c r="G85" s="315">
        <v>22000</v>
      </c>
      <c r="H85" s="329"/>
      <c r="I85" s="368">
        <v>46000</v>
      </c>
      <c r="J85" s="108" t="s">
        <v>558</v>
      </c>
      <c r="K85" s="300">
        <v>75000</v>
      </c>
    </row>
    <row r="86" spans="1:11" x14ac:dyDescent="0.3">
      <c r="A86" s="3">
        <v>37</v>
      </c>
      <c r="B86" s="2">
        <v>45969</v>
      </c>
      <c r="C86" s="4" t="s">
        <v>410</v>
      </c>
      <c r="D86" s="3" t="s">
        <v>47</v>
      </c>
      <c r="E86" s="3">
        <v>400</v>
      </c>
      <c r="F86" s="4" t="s">
        <v>41</v>
      </c>
      <c r="G86" s="315">
        <v>22000</v>
      </c>
      <c r="H86" s="329"/>
      <c r="I86" s="368">
        <v>46004</v>
      </c>
      <c r="J86" s="108" t="s">
        <v>559</v>
      </c>
      <c r="K86" s="300">
        <v>75000</v>
      </c>
    </row>
    <row r="87" spans="1:11" x14ac:dyDescent="0.3">
      <c r="A87" s="3">
        <v>38</v>
      </c>
      <c r="B87" s="2">
        <v>45969</v>
      </c>
      <c r="C87" s="4" t="s">
        <v>410</v>
      </c>
      <c r="D87" s="3" t="s">
        <v>44</v>
      </c>
      <c r="E87" s="3">
        <v>400</v>
      </c>
      <c r="F87" s="4" t="s">
        <v>41</v>
      </c>
      <c r="G87" s="315">
        <v>13000</v>
      </c>
      <c r="H87" s="329"/>
      <c r="I87" s="331">
        <v>46004</v>
      </c>
      <c r="J87" s="108" t="s">
        <v>560</v>
      </c>
      <c r="K87" s="330">
        <v>75000</v>
      </c>
    </row>
    <row r="88" spans="1:11" x14ac:dyDescent="0.3">
      <c r="A88" s="3">
        <v>39</v>
      </c>
      <c r="B88" s="2">
        <v>45969</v>
      </c>
      <c r="C88" s="4" t="s">
        <v>410</v>
      </c>
      <c r="D88" s="3" t="s">
        <v>44</v>
      </c>
      <c r="E88" s="3">
        <v>400</v>
      </c>
      <c r="F88" s="4" t="s">
        <v>41</v>
      </c>
      <c r="G88" s="315">
        <v>13000</v>
      </c>
      <c r="H88" s="329"/>
      <c r="I88" s="331">
        <v>46014</v>
      </c>
      <c r="J88" s="108" t="s">
        <v>561</v>
      </c>
      <c r="K88" s="330">
        <v>100000</v>
      </c>
    </row>
    <row r="89" spans="1:11" x14ac:dyDescent="0.3">
      <c r="A89" s="3">
        <v>40</v>
      </c>
      <c r="B89" s="2">
        <v>45969</v>
      </c>
      <c r="C89" s="4" t="s">
        <v>410</v>
      </c>
      <c r="D89" s="3" t="s">
        <v>44</v>
      </c>
      <c r="E89" s="3">
        <v>400</v>
      </c>
      <c r="F89" s="4" t="s">
        <v>41</v>
      </c>
      <c r="G89" s="315">
        <v>13000</v>
      </c>
      <c r="H89" s="329"/>
      <c r="I89" s="331">
        <v>46030</v>
      </c>
      <c r="J89" s="108" t="s">
        <v>506</v>
      </c>
      <c r="K89" s="372">
        <v>80000</v>
      </c>
    </row>
    <row r="90" spans="1:11" x14ac:dyDescent="0.3">
      <c r="A90" s="3">
        <v>41</v>
      </c>
      <c r="B90" s="2">
        <v>45969</v>
      </c>
      <c r="C90" s="4" t="s">
        <v>410</v>
      </c>
      <c r="D90" s="3" t="s">
        <v>44</v>
      </c>
      <c r="E90" s="3">
        <v>400</v>
      </c>
      <c r="F90" s="4" t="s">
        <v>41</v>
      </c>
      <c r="G90" s="315">
        <v>13000</v>
      </c>
      <c r="H90" s="329"/>
      <c r="I90" s="331">
        <v>46030</v>
      </c>
      <c r="J90" s="108" t="s">
        <v>509</v>
      </c>
      <c r="K90" s="372">
        <v>95000</v>
      </c>
    </row>
    <row r="91" spans="1:11" x14ac:dyDescent="0.3">
      <c r="A91" s="3">
        <v>42</v>
      </c>
      <c r="B91" s="2">
        <v>45969</v>
      </c>
      <c r="C91" s="4" t="s">
        <v>410</v>
      </c>
      <c r="D91" s="3" t="s">
        <v>52</v>
      </c>
      <c r="E91" s="3">
        <v>400</v>
      </c>
      <c r="F91" s="4" t="s">
        <v>41</v>
      </c>
      <c r="G91" s="312">
        <v>4000</v>
      </c>
      <c r="H91" s="329"/>
      <c r="I91" s="331">
        <v>46031</v>
      </c>
      <c r="J91" s="345" t="s">
        <v>507</v>
      </c>
      <c r="K91" s="372">
        <v>49500</v>
      </c>
    </row>
    <row r="92" spans="1:11" x14ac:dyDescent="0.3">
      <c r="A92" s="3">
        <v>43</v>
      </c>
      <c r="B92" s="2">
        <v>45972</v>
      </c>
      <c r="C92" s="4" t="s">
        <v>410</v>
      </c>
      <c r="D92" s="4" t="s">
        <v>413</v>
      </c>
      <c r="E92" s="3">
        <v>400</v>
      </c>
      <c r="F92" s="4" t="s">
        <v>41</v>
      </c>
      <c r="G92" s="312">
        <v>20000</v>
      </c>
      <c r="H92" s="329"/>
      <c r="I92" s="331">
        <v>46031</v>
      </c>
      <c r="J92" s="108" t="s">
        <v>563</v>
      </c>
      <c r="K92" s="372">
        <v>70000</v>
      </c>
    </row>
    <row r="93" spans="1:11" x14ac:dyDescent="0.3">
      <c r="A93" s="3">
        <v>44</v>
      </c>
      <c r="B93" s="2">
        <v>45973</v>
      </c>
      <c r="C93" s="4" t="s">
        <v>410</v>
      </c>
      <c r="D93" s="3" t="s">
        <v>52</v>
      </c>
      <c r="E93" s="3">
        <v>400</v>
      </c>
      <c r="F93" s="4" t="s">
        <v>41</v>
      </c>
      <c r="G93" s="312">
        <v>4000</v>
      </c>
      <c r="H93" s="329"/>
      <c r="I93" s="331">
        <v>46031</v>
      </c>
      <c r="J93" s="108" t="s">
        <v>560</v>
      </c>
      <c r="K93" s="372">
        <v>100000</v>
      </c>
    </row>
    <row r="94" spans="1:11" x14ac:dyDescent="0.3">
      <c r="A94" s="3">
        <v>45</v>
      </c>
      <c r="B94" s="2">
        <v>45976</v>
      </c>
      <c r="C94" s="4" t="s">
        <v>410</v>
      </c>
      <c r="D94" s="4" t="s">
        <v>413</v>
      </c>
      <c r="E94" s="3">
        <v>400</v>
      </c>
      <c r="F94" s="4" t="s">
        <v>41</v>
      </c>
      <c r="G94" s="312">
        <v>20000</v>
      </c>
      <c r="H94" s="329"/>
      <c r="I94" s="331">
        <v>46031</v>
      </c>
      <c r="J94" s="108" t="s">
        <v>510</v>
      </c>
      <c r="K94" s="372">
        <v>95000</v>
      </c>
    </row>
    <row r="95" spans="1:11" x14ac:dyDescent="0.3">
      <c r="A95" s="3">
        <v>46</v>
      </c>
      <c r="B95" s="2">
        <v>45976</v>
      </c>
      <c r="C95" s="4" t="s">
        <v>410</v>
      </c>
      <c r="D95" s="3" t="s">
        <v>52</v>
      </c>
      <c r="E95" s="3">
        <v>400</v>
      </c>
      <c r="F95" s="4" t="s">
        <v>41</v>
      </c>
      <c r="G95" s="312">
        <v>4000</v>
      </c>
      <c r="H95" s="329"/>
      <c r="I95" s="331">
        <v>46032</v>
      </c>
      <c r="J95" s="108" t="s">
        <v>506</v>
      </c>
      <c r="K95" s="372">
        <v>20000</v>
      </c>
    </row>
    <row r="96" spans="1:11" x14ac:dyDescent="0.3">
      <c r="A96" s="3">
        <v>47</v>
      </c>
      <c r="B96" s="2">
        <v>45978</v>
      </c>
      <c r="C96" s="4" t="s">
        <v>410</v>
      </c>
      <c r="D96" s="3" t="s">
        <v>47</v>
      </c>
      <c r="E96" s="3">
        <v>400</v>
      </c>
      <c r="F96" s="4" t="s">
        <v>41</v>
      </c>
      <c r="G96" s="315">
        <v>22000</v>
      </c>
      <c r="H96" s="329"/>
      <c r="I96" s="331">
        <v>46064</v>
      </c>
      <c r="J96" s="345" t="s">
        <v>507</v>
      </c>
      <c r="K96" s="372">
        <v>99500</v>
      </c>
    </row>
    <row r="97" spans="1:11" x14ac:dyDescent="0.3">
      <c r="A97" s="3">
        <v>48</v>
      </c>
      <c r="B97" s="2">
        <v>45978</v>
      </c>
      <c r="C97" s="4" t="s">
        <v>410</v>
      </c>
      <c r="D97" s="3" t="s">
        <v>47</v>
      </c>
      <c r="E97" s="3">
        <v>400</v>
      </c>
      <c r="F97" s="4" t="s">
        <v>41</v>
      </c>
      <c r="G97" s="315">
        <v>22000</v>
      </c>
      <c r="H97" s="329"/>
      <c r="I97" s="331">
        <v>46077</v>
      </c>
      <c r="J97" s="108" t="s">
        <v>570</v>
      </c>
      <c r="K97" s="372">
        <v>90000</v>
      </c>
    </row>
    <row r="98" spans="1:11" x14ac:dyDescent="0.3">
      <c r="A98" s="3">
        <v>49</v>
      </c>
      <c r="B98" s="2">
        <v>45978</v>
      </c>
      <c r="C98" s="4" t="s">
        <v>410</v>
      </c>
      <c r="D98" s="3" t="s">
        <v>47</v>
      </c>
      <c r="E98" s="3">
        <v>400</v>
      </c>
      <c r="F98" s="4" t="s">
        <v>41</v>
      </c>
      <c r="G98" s="315">
        <v>22000</v>
      </c>
      <c r="H98" s="329"/>
      <c r="I98" s="331">
        <v>46077</v>
      </c>
      <c r="J98" s="108" t="s">
        <v>571</v>
      </c>
      <c r="K98" s="372">
        <v>99000</v>
      </c>
    </row>
    <row r="99" spans="1:11" x14ac:dyDescent="0.3">
      <c r="A99" s="3">
        <v>50</v>
      </c>
      <c r="B99" s="2">
        <v>45978</v>
      </c>
      <c r="C99" s="4" t="s">
        <v>410</v>
      </c>
      <c r="D99" s="3" t="s">
        <v>44</v>
      </c>
      <c r="E99" s="3">
        <v>400</v>
      </c>
      <c r="F99" s="4" t="s">
        <v>41</v>
      </c>
      <c r="G99" s="315">
        <v>12000</v>
      </c>
      <c r="H99" s="329"/>
      <c r="I99" s="331">
        <v>46077</v>
      </c>
      <c r="J99" s="108" t="s">
        <v>572</v>
      </c>
      <c r="K99" s="372">
        <v>100000</v>
      </c>
    </row>
    <row r="100" spans="1:11" x14ac:dyDescent="0.3">
      <c r="A100" s="3">
        <v>51</v>
      </c>
      <c r="B100" s="2">
        <v>45978</v>
      </c>
      <c r="C100" s="4" t="s">
        <v>410</v>
      </c>
      <c r="D100" s="3" t="s">
        <v>44</v>
      </c>
      <c r="E100" s="3">
        <v>400</v>
      </c>
      <c r="F100" s="4" t="s">
        <v>41</v>
      </c>
      <c r="G100" s="315">
        <v>12000</v>
      </c>
      <c r="H100" s="329"/>
      <c r="I100" s="347"/>
      <c r="J100" s="108" t="s">
        <v>582</v>
      </c>
      <c r="K100" s="372">
        <v>100000</v>
      </c>
    </row>
    <row r="101" spans="1:11" x14ac:dyDescent="0.3">
      <c r="A101" s="3">
        <v>52</v>
      </c>
      <c r="B101" s="2">
        <v>45978</v>
      </c>
      <c r="C101" s="4" t="s">
        <v>410</v>
      </c>
      <c r="D101" s="3" t="s">
        <v>44</v>
      </c>
      <c r="E101" s="3">
        <v>400</v>
      </c>
      <c r="F101" s="4" t="s">
        <v>41</v>
      </c>
      <c r="G101" s="315">
        <v>12000</v>
      </c>
      <c r="H101" s="329"/>
      <c r="I101" s="347"/>
      <c r="J101" s="347"/>
      <c r="K101" s="329"/>
    </row>
    <row r="102" spans="1:11" x14ac:dyDescent="0.3">
      <c r="A102" s="3">
        <v>53</v>
      </c>
      <c r="B102" s="2">
        <v>45979</v>
      </c>
      <c r="C102" s="4" t="s">
        <v>410</v>
      </c>
      <c r="D102" s="4" t="s">
        <v>413</v>
      </c>
      <c r="E102" s="3">
        <v>400</v>
      </c>
      <c r="F102" s="4" t="s">
        <v>41</v>
      </c>
      <c r="G102" s="312">
        <v>20000</v>
      </c>
      <c r="H102" s="329"/>
      <c r="I102" s="347"/>
      <c r="J102" s="347"/>
      <c r="K102" s="329"/>
    </row>
    <row r="103" spans="1:11" x14ac:dyDescent="0.3">
      <c r="A103" s="3">
        <v>54</v>
      </c>
      <c r="B103" s="2">
        <v>45980</v>
      </c>
      <c r="C103" s="4" t="s">
        <v>410</v>
      </c>
      <c r="D103" s="4" t="s">
        <v>413</v>
      </c>
      <c r="E103" s="3">
        <v>400</v>
      </c>
      <c r="F103" s="4" t="s">
        <v>41</v>
      </c>
      <c r="G103" s="312">
        <v>20000</v>
      </c>
      <c r="H103" s="329"/>
      <c r="I103" s="347"/>
      <c r="J103" s="347"/>
      <c r="K103" s="329"/>
    </row>
    <row r="104" spans="1:11" x14ac:dyDescent="0.3">
      <c r="A104" s="3">
        <v>55</v>
      </c>
      <c r="B104" s="2">
        <v>45980</v>
      </c>
      <c r="C104" s="4" t="s">
        <v>410</v>
      </c>
      <c r="D104" s="3" t="s">
        <v>52</v>
      </c>
      <c r="E104" s="3">
        <v>400</v>
      </c>
      <c r="F104" s="4" t="s">
        <v>41</v>
      </c>
      <c r="G104" s="312">
        <v>4000</v>
      </c>
      <c r="H104" s="329"/>
      <c r="I104" s="347"/>
      <c r="J104" s="347"/>
      <c r="K104" s="329"/>
    </row>
    <row r="105" spans="1:11" x14ac:dyDescent="0.3">
      <c r="A105" s="3">
        <v>56</v>
      </c>
      <c r="B105" s="2">
        <v>45980</v>
      </c>
      <c r="C105" s="4" t="s">
        <v>410</v>
      </c>
      <c r="D105" s="3" t="s">
        <v>47</v>
      </c>
      <c r="E105" s="3">
        <v>400</v>
      </c>
      <c r="F105" s="4" t="s">
        <v>41</v>
      </c>
      <c r="G105" s="315">
        <v>22000</v>
      </c>
      <c r="H105" s="329"/>
      <c r="I105" s="347"/>
      <c r="J105" s="347"/>
      <c r="K105" s="329"/>
    </row>
    <row r="106" spans="1:11" x14ac:dyDescent="0.3">
      <c r="A106" s="3">
        <v>57</v>
      </c>
      <c r="B106" s="2">
        <v>45981</v>
      </c>
      <c r="C106" s="4" t="s">
        <v>410</v>
      </c>
      <c r="D106" s="3" t="s">
        <v>52</v>
      </c>
      <c r="E106" s="3">
        <v>400</v>
      </c>
      <c r="F106" s="4" t="s">
        <v>41</v>
      </c>
      <c r="G106" s="312">
        <v>4000</v>
      </c>
      <c r="H106" s="329"/>
      <c r="I106" s="347"/>
      <c r="J106" s="347"/>
      <c r="K106" s="329"/>
    </row>
    <row r="107" spans="1:11" x14ac:dyDescent="0.3">
      <c r="A107" s="3">
        <v>58</v>
      </c>
      <c r="B107" s="2">
        <v>45981</v>
      </c>
      <c r="C107" s="4" t="s">
        <v>410</v>
      </c>
      <c r="D107" s="3" t="s">
        <v>47</v>
      </c>
      <c r="E107" s="3">
        <v>400</v>
      </c>
      <c r="F107" s="4" t="s">
        <v>41</v>
      </c>
      <c r="G107" s="315">
        <v>22000</v>
      </c>
      <c r="H107" s="329"/>
      <c r="I107" s="347"/>
      <c r="J107" s="347"/>
      <c r="K107" s="329"/>
    </row>
    <row r="108" spans="1:11" x14ac:dyDescent="0.3">
      <c r="A108" s="3">
        <v>59</v>
      </c>
      <c r="B108" s="2">
        <v>45983</v>
      </c>
      <c r="C108" s="4" t="s">
        <v>410</v>
      </c>
      <c r="D108" s="3" t="s">
        <v>44</v>
      </c>
      <c r="E108" s="3">
        <v>400</v>
      </c>
      <c r="F108" s="4" t="s">
        <v>41</v>
      </c>
      <c r="G108" s="315">
        <v>12000</v>
      </c>
      <c r="H108" s="329"/>
      <c r="I108" s="347"/>
      <c r="J108" s="347"/>
      <c r="K108" s="329"/>
    </row>
    <row r="109" spans="1:11" x14ac:dyDescent="0.3">
      <c r="A109" s="3">
        <v>60</v>
      </c>
      <c r="B109" s="2">
        <v>45983</v>
      </c>
      <c r="C109" s="4" t="s">
        <v>410</v>
      </c>
      <c r="D109" s="3" t="s">
        <v>47</v>
      </c>
      <c r="E109" s="3">
        <v>400</v>
      </c>
      <c r="F109" s="4" t="s">
        <v>41</v>
      </c>
      <c r="G109" s="315">
        <v>22000</v>
      </c>
      <c r="H109" s="329"/>
      <c r="I109" s="347"/>
      <c r="J109" s="347"/>
      <c r="K109" s="329"/>
    </row>
    <row r="110" spans="1:11" x14ac:dyDescent="0.3">
      <c r="A110" s="3">
        <v>61</v>
      </c>
      <c r="B110" s="2">
        <v>45983</v>
      </c>
      <c r="C110" s="4" t="s">
        <v>410</v>
      </c>
      <c r="D110" s="3" t="s">
        <v>44</v>
      </c>
      <c r="E110" s="3">
        <v>400</v>
      </c>
      <c r="F110" s="4" t="s">
        <v>41</v>
      </c>
      <c r="G110" s="312">
        <v>12000</v>
      </c>
      <c r="H110" s="329"/>
      <c r="I110" s="347"/>
      <c r="J110" s="347"/>
      <c r="K110" s="329"/>
    </row>
    <row r="111" spans="1:11" x14ac:dyDescent="0.3">
      <c r="A111" s="3">
        <v>62</v>
      </c>
      <c r="B111" s="2">
        <v>45983</v>
      </c>
      <c r="C111" s="4" t="s">
        <v>410</v>
      </c>
      <c r="D111" s="3" t="s">
        <v>47</v>
      </c>
      <c r="E111" s="3">
        <v>400</v>
      </c>
      <c r="F111" s="4" t="s">
        <v>41</v>
      </c>
      <c r="G111" s="312">
        <v>22000</v>
      </c>
      <c r="H111" s="329"/>
      <c r="I111" s="347"/>
      <c r="J111" s="347"/>
      <c r="K111" s="329"/>
    </row>
    <row r="112" spans="1:11" x14ac:dyDescent="0.3">
      <c r="A112" s="3">
        <v>63</v>
      </c>
      <c r="B112" s="2">
        <v>45985</v>
      </c>
      <c r="C112" s="4" t="s">
        <v>410</v>
      </c>
      <c r="D112" s="4" t="s">
        <v>413</v>
      </c>
      <c r="E112" s="3">
        <v>400</v>
      </c>
      <c r="F112" s="4" t="s">
        <v>41</v>
      </c>
      <c r="G112" s="312">
        <v>20000</v>
      </c>
      <c r="H112" s="329"/>
      <c r="I112" s="347"/>
      <c r="J112" s="347"/>
      <c r="K112" s="329"/>
    </row>
    <row r="113" spans="1:11" x14ac:dyDescent="0.3">
      <c r="A113" s="3">
        <v>64</v>
      </c>
      <c r="B113" s="2">
        <v>45985</v>
      </c>
      <c r="C113" s="4" t="s">
        <v>410</v>
      </c>
      <c r="D113" s="4" t="s">
        <v>413</v>
      </c>
      <c r="E113" s="3">
        <v>400</v>
      </c>
      <c r="F113" s="4" t="s">
        <v>41</v>
      </c>
      <c r="G113" s="312">
        <v>20000</v>
      </c>
      <c r="H113" s="329"/>
      <c r="I113" s="347"/>
      <c r="J113" s="347"/>
      <c r="K113" s="329"/>
    </row>
    <row r="114" spans="1:11" x14ac:dyDescent="0.3">
      <c r="A114" s="3">
        <v>65</v>
      </c>
      <c r="B114" s="2">
        <v>45986</v>
      </c>
      <c r="C114" s="4" t="s">
        <v>410</v>
      </c>
      <c r="D114" s="3" t="s">
        <v>44</v>
      </c>
      <c r="E114" s="3">
        <v>400</v>
      </c>
      <c r="F114" s="4" t="s">
        <v>41</v>
      </c>
      <c r="G114" s="315">
        <v>12000</v>
      </c>
      <c r="H114" s="329"/>
      <c r="I114" s="347"/>
      <c r="J114" s="347"/>
      <c r="K114" s="329"/>
    </row>
    <row r="115" spans="1:11" x14ac:dyDescent="0.3">
      <c r="A115" s="3">
        <v>66</v>
      </c>
      <c r="B115" s="2">
        <v>45986</v>
      </c>
      <c r="C115" s="4" t="s">
        <v>410</v>
      </c>
      <c r="D115" s="3" t="s">
        <v>47</v>
      </c>
      <c r="E115" s="3">
        <v>400</v>
      </c>
      <c r="F115" s="4" t="s">
        <v>41</v>
      </c>
      <c r="G115" s="315">
        <v>22000</v>
      </c>
      <c r="H115" s="329"/>
      <c r="I115" s="347"/>
      <c r="J115" s="347"/>
      <c r="K115" s="329"/>
    </row>
    <row r="116" spans="1:11" x14ac:dyDescent="0.3">
      <c r="A116" s="3">
        <v>67</v>
      </c>
      <c r="B116" s="2">
        <v>45987</v>
      </c>
      <c r="C116" s="4" t="s">
        <v>410</v>
      </c>
      <c r="D116" s="3" t="s">
        <v>52</v>
      </c>
      <c r="E116" s="3">
        <v>400</v>
      </c>
      <c r="F116" s="4" t="s">
        <v>41</v>
      </c>
      <c r="G116" s="312">
        <v>4000</v>
      </c>
      <c r="H116" s="329"/>
      <c r="I116" s="347"/>
      <c r="J116" s="347"/>
      <c r="K116" s="329"/>
    </row>
    <row r="117" spans="1:11" x14ac:dyDescent="0.3">
      <c r="A117" s="3">
        <v>68</v>
      </c>
      <c r="B117" s="2">
        <v>45988</v>
      </c>
      <c r="C117" s="4" t="s">
        <v>410</v>
      </c>
      <c r="D117" s="3" t="s">
        <v>52</v>
      </c>
      <c r="E117" s="3">
        <v>400</v>
      </c>
      <c r="F117" s="4" t="s">
        <v>41</v>
      </c>
      <c r="G117" s="312">
        <v>4000</v>
      </c>
      <c r="H117" s="329"/>
      <c r="I117" s="347"/>
      <c r="J117" s="347"/>
      <c r="K117" s="329"/>
    </row>
    <row r="118" spans="1:11" x14ac:dyDescent="0.3">
      <c r="A118" s="3">
        <v>69</v>
      </c>
      <c r="B118" s="2">
        <v>45988</v>
      </c>
      <c r="C118" s="4" t="s">
        <v>410</v>
      </c>
      <c r="D118" s="3" t="s">
        <v>44</v>
      </c>
      <c r="E118" s="3">
        <v>400</v>
      </c>
      <c r="F118" s="4" t="s">
        <v>41</v>
      </c>
      <c r="G118" s="315">
        <v>12000</v>
      </c>
      <c r="H118" s="329"/>
      <c r="I118" s="347"/>
      <c r="J118" s="347"/>
      <c r="K118" s="329"/>
    </row>
    <row r="119" spans="1:11" x14ac:dyDescent="0.3">
      <c r="A119" s="3">
        <v>70</v>
      </c>
      <c r="B119" s="2">
        <v>45989</v>
      </c>
      <c r="C119" s="4" t="s">
        <v>410</v>
      </c>
      <c r="D119" s="3" t="s">
        <v>47</v>
      </c>
      <c r="E119" s="3">
        <v>400</v>
      </c>
      <c r="F119" s="4" t="s">
        <v>41</v>
      </c>
      <c r="G119" s="315">
        <v>22000</v>
      </c>
      <c r="H119" s="329"/>
      <c r="I119" s="347"/>
      <c r="J119" s="347"/>
      <c r="K119" s="329"/>
    </row>
    <row r="120" spans="1:11" x14ac:dyDescent="0.3">
      <c r="A120" s="3">
        <v>71</v>
      </c>
      <c r="B120" s="2">
        <v>45989</v>
      </c>
      <c r="C120" s="4" t="s">
        <v>410</v>
      </c>
      <c r="D120" s="3" t="s">
        <v>52</v>
      </c>
      <c r="E120" s="3">
        <v>400</v>
      </c>
      <c r="F120" s="4" t="s">
        <v>41</v>
      </c>
      <c r="G120" s="312">
        <v>4000</v>
      </c>
      <c r="H120" s="329"/>
      <c r="I120" s="347"/>
      <c r="J120" s="347"/>
      <c r="K120" s="329"/>
    </row>
    <row r="121" spans="1:11" x14ac:dyDescent="0.3">
      <c r="A121" s="3">
        <v>72</v>
      </c>
      <c r="B121" s="2">
        <v>45990</v>
      </c>
      <c r="C121" s="4" t="s">
        <v>410</v>
      </c>
      <c r="D121" s="3" t="s">
        <v>44</v>
      </c>
      <c r="E121" s="3">
        <v>400</v>
      </c>
      <c r="F121" s="4" t="s">
        <v>41</v>
      </c>
      <c r="G121" s="315">
        <v>12000</v>
      </c>
      <c r="H121" s="329"/>
      <c r="I121" s="347"/>
      <c r="J121" s="347"/>
      <c r="K121" s="329"/>
    </row>
    <row r="122" spans="1:11" x14ac:dyDescent="0.3">
      <c r="A122" s="3">
        <v>73</v>
      </c>
      <c r="B122" s="2">
        <v>45990</v>
      </c>
      <c r="C122" s="4" t="s">
        <v>410</v>
      </c>
      <c r="D122" s="3" t="s">
        <v>44</v>
      </c>
      <c r="E122" s="3">
        <v>400</v>
      </c>
      <c r="F122" s="4" t="s">
        <v>41</v>
      </c>
      <c r="G122" s="315">
        <v>12000</v>
      </c>
      <c r="H122" s="329"/>
      <c r="I122" s="347"/>
      <c r="J122" s="347"/>
      <c r="K122" s="329"/>
    </row>
    <row r="123" spans="1:11" x14ac:dyDescent="0.3">
      <c r="A123" s="3">
        <v>74</v>
      </c>
      <c r="B123" s="2">
        <v>45990</v>
      </c>
      <c r="C123" s="4" t="s">
        <v>410</v>
      </c>
      <c r="D123" s="3" t="s">
        <v>47</v>
      </c>
      <c r="E123" s="3">
        <v>400</v>
      </c>
      <c r="F123" s="4" t="s">
        <v>41</v>
      </c>
      <c r="G123" s="315">
        <v>22000</v>
      </c>
      <c r="H123" s="329"/>
      <c r="I123" s="347"/>
      <c r="J123" s="347"/>
      <c r="K123" s="329"/>
    </row>
    <row r="124" spans="1:11" x14ac:dyDescent="0.3">
      <c r="A124" s="3">
        <v>75</v>
      </c>
      <c r="B124" s="2">
        <v>45990</v>
      </c>
      <c r="C124" s="4" t="s">
        <v>410</v>
      </c>
      <c r="D124" s="3" t="s">
        <v>47</v>
      </c>
      <c r="E124" s="3">
        <v>400</v>
      </c>
      <c r="F124" s="4" t="s">
        <v>41</v>
      </c>
      <c r="G124" s="315">
        <v>22000</v>
      </c>
      <c r="H124" s="329"/>
      <c r="I124" s="347"/>
      <c r="J124" s="347"/>
      <c r="K124" s="329"/>
    </row>
    <row r="125" spans="1:11" x14ac:dyDescent="0.3">
      <c r="A125" s="3">
        <v>76</v>
      </c>
      <c r="B125" s="2">
        <v>45995</v>
      </c>
      <c r="C125" s="4" t="s">
        <v>410</v>
      </c>
      <c r="D125" s="3" t="s">
        <v>44</v>
      </c>
      <c r="E125" s="3">
        <v>400</v>
      </c>
      <c r="F125" s="4" t="s">
        <v>41</v>
      </c>
      <c r="G125" s="315">
        <v>12000</v>
      </c>
      <c r="H125" s="329"/>
      <c r="I125" s="347"/>
      <c r="J125" s="347"/>
      <c r="K125" s="329"/>
    </row>
    <row r="126" spans="1:11" x14ac:dyDescent="0.3">
      <c r="A126" s="3">
        <v>77</v>
      </c>
      <c r="B126" s="2">
        <v>45995</v>
      </c>
      <c r="C126" s="4" t="s">
        <v>410</v>
      </c>
      <c r="D126" s="3" t="s">
        <v>47</v>
      </c>
      <c r="E126" s="3">
        <v>400</v>
      </c>
      <c r="F126" s="4" t="s">
        <v>41</v>
      </c>
      <c r="G126" s="315">
        <v>22000</v>
      </c>
      <c r="H126" s="329"/>
      <c r="I126" s="347"/>
      <c r="J126" s="347"/>
      <c r="K126" s="329"/>
    </row>
    <row r="127" spans="1:11" x14ac:dyDescent="0.3">
      <c r="A127" s="3">
        <v>78</v>
      </c>
      <c r="B127" s="2">
        <v>45996</v>
      </c>
      <c r="C127" s="4" t="s">
        <v>410</v>
      </c>
      <c r="D127" s="3" t="s">
        <v>47</v>
      </c>
      <c r="E127" s="3">
        <v>400</v>
      </c>
      <c r="F127" s="4" t="s">
        <v>41</v>
      </c>
      <c r="G127" s="315">
        <v>22000</v>
      </c>
      <c r="H127" s="329"/>
      <c r="I127" s="347"/>
      <c r="J127" s="347"/>
      <c r="K127" s="329"/>
    </row>
    <row r="128" spans="1:11" x14ac:dyDescent="0.3">
      <c r="A128" s="3">
        <v>79</v>
      </c>
      <c r="B128" s="2">
        <v>45996</v>
      </c>
      <c r="C128" s="4" t="s">
        <v>410</v>
      </c>
      <c r="D128" s="4" t="s">
        <v>413</v>
      </c>
      <c r="E128" s="3">
        <v>400</v>
      </c>
      <c r="F128" s="4" t="s">
        <v>41</v>
      </c>
      <c r="G128" s="312">
        <v>20000</v>
      </c>
      <c r="H128" s="329"/>
      <c r="I128" s="347"/>
      <c r="J128" s="347"/>
      <c r="K128" s="329"/>
    </row>
    <row r="129" spans="1:11" x14ac:dyDescent="0.3">
      <c r="A129" s="3">
        <v>80</v>
      </c>
      <c r="B129" s="2">
        <v>45996</v>
      </c>
      <c r="C129" s="4" t="s">
        <v>410</v>
      </c>
      <c r="D129" s="3" t="s">
        <v>44</v>
      </c>
      <c r="E129" s="3">
        <v>400</v>
      </c>
      <c r="F129" s="4" t="s">
        <v>41</v>
      </c>
      <c r="G129" s="315">
        <v>12000</v>
      </c>
      <c r="H129" s="329"/>
      <c r="I129" s="347"/>
      <c r="J129" s="347"/>
      <c r="K129" s="329"/>
    </row>
    <row r="130" spans="1:11" x14ac:dyDescent="0.3">
      <c r="A130" s="3">
        <v>81</v>
      </c>
      <c r="B130" s="2">
        <v>45996</v>
      </c>
      <c r="C130" s="4" t="s">
        <v>410</v>
      </c>
      <c r="D130" s="3" t="s">
        <v>47</v>
      </c>
      <c r="E130" s="3">
        <v>400</v>
      </c>
      <c r="F130" s="4" t="s">
        <v>41</v>
      </c>
      <c r="G130" s="315">
        <v>22000</v>
      </c>
      <c r="H130" s="329"/>
      <c r="I130" s="347"/>
      <c r="J130" s="347"/>
      <c r="K130" s="329"/>
    </row>
    <row r="131" spans="1:11" x14ac:dyDescent="0.3">
      <c r="A131" s="3">
        <v>82</v>
      </c>
      <c r="B131" s="2">
        <v>45999</v>
      </c>
      <c r="C131" s="4" t="s">
        <v>410</v>
      </c>
      <c r="D131" s="3" t="s">
        <v>44</v>
      </c>
      <c r="E131" s="3">
        <v>400</v>
      </c>
      <c r="F131" s="4" t="s">
        <v>41</v>
      </c>
      <c r="G131" s="315">
        <v>12000</v>
      </c>
      <c r="H131" s="329"/>
      <c r="I131" s="347"/>
      <c r="J131" s="347"/>
      <c r="K131" s="329"/>
    </row>
    <row r="132" spans="1:11" x14ac:dyDescent="0.3">
      <c r="A132" s="3">
        <v>83</v>
      </c>
      <c r="B132" s="2">
        <v>46000</v>
      </c>
      <c r="C132" s="4" t="s">
        <v>410</v>
      </c>
      <c r="D132" s="3" t="s">
        <v>47</v>
      </c>
      <c r="E132" s="3">
        <v>400</v>
      </c>
      <c r="F132" s="4" t="s">
        <v>41</v>
      </c>
      <c r="G132" s="315">
        <v>22000</v>
      </c>
      <c r="H132" s="329"/>
      <c r="I132" s="347"/>
      <c r="J132" s="347"/>
      <c r="K132" s="329"/>
    </row>
    <row r="133" spans="1:11" x14ac:dyDescent="0.3">
      <c r="A133" s="3">
        <v>84</v>
      </c>
      <c r="B133" s="2">
        <v>46001</v>
      </c>
      <c r="C133" s="4" t="s">
        <v>410</v>
      </c>
      <c r="D133" s="3" t="s">
        <v>52</v>
      </c>
      <c r="E133" s="3">
        <v>400</v>
      </c>
      <c r="F133" s="4" t="s">
        <v>41</v>
      </c>
      <c r="G133" s="312">
        <v>4000</v>
      </c>
      <c r="H133" s="329"/>
      <c r="I133" s="347"/>
      <c r="J133" s="347"/>
      <c r="K133" s="329"/>
    </row>
    <row r="134" spans="1:11" x14ac:dyDescent="0.3">
      <c r="A134" s="3">
        <v>85</v>
      </c>
      <c r="B134" s="2">
        <v>46006</v>
      </c>
      <c r="C134" s="4" t="s">
        <v>410</v>
      </c>
      <c r="D134" s="3" t="s">
        <v>44</v>
      </c>
      <c r="E134" s="3">
        <v>400</v>
      </c>
      <c r="F134" s="4" t="s">
        <v>41</v>
      </c>
      <c r="G134" s="315">
        <v>12000</v>
      </c>
      <c r="H134" s="329"/>
      <c r="I134" s="347"/>
      <c r="J134" s="347"/>
      <c r="K134" s="329"/>
    </row>
    <row r="135" spans="1:11" x14ac:dyDescent="0.3">
      <c r="A135" s="3">
        <v>86</v>
      </c>
      <c r="B135" s="2">
        <v>46006</v>
      </c>
      <c r="C135" s="4" t="s">
        <v>410</v>
      </c>
      <c r="D135" s="3" t="s">
        <v>47</v>
      </c>
      <c r="E135" s="3">
        <v>400</v>
      </c>
      <c r="F135" s="4" t="s">
        <v>41</v>
      </c>
      <c r="G135" s="315">
        <v>22000</v>
      </c>
      <c r="H135" s="329"/>
      <c r="I135" s="347"/>
      <c r="J135" s="347"/>
      <c r="K135" s="329"/>
    </row>
    <row r="136" spans="1:11" x14ac:dyDescent="0.3">
      <c r="A136" s="3">
        <v>87</v>
      </c>
      <c r="B136" s="2">
        <v>46008</v>
      </c>
      <c r="C136" s="4" t="s">
        <v>410</v>
      </c>
      <c r="D136" s="3" t="s">
        <v>44</v>
      </c>
      <c r="E136" s="3">
        <v>400</v>
      </c>
      <c r="F136" s="4" t="s">
        <v>41</v>
      </c>
      <c r="G136" s="315">
        <v>12000</v>
      </c>
      <c r="H136" s="329"/>
      <c r="I136" s="347"/>
      <c r="J136" s="347"/>
      <c r="K136" s="329"/>
    </row>
    <row r="137" spans="1:11" x14ac:dyDescent="0.3">
      <c r="A137" s="3">
        <v>88</v>
      </c>
      <c r="B137" s="2">
        <v>46008</v>
      </c>
      <c r="C137" s="4" t="s">
        <v>410</v>
      </c>
      <c r="D137" s="3" t="s">
        <v>47</v>
      </c>
      <c r="E137" s="3">
        <v>400</v>
      </c>
      <c r="F137" s="4" t="s">
        <v>41</v>
      </c>
      <c r="G137" s="315">
        <v>22000</v>
      </c>
      <c r="H137" s="329"/>
      <c r="I137" s="347"/>
      <c r="J137" s="347"/>
      <c r="K137" s="329"/>
    </row>
    <row r="138" spans="1:11" x14ac:dyDescent="0.3">
      <c r="A138" s="3">
        <v>89</v>
      </c>
      <c r="B138" s="2">
        <v>46009</v>
      </c>
      <c r="C138" s="4" t="s">
        <v>410</v>
      </c>
      <c r="D138" s="3" t="s">
        <v>171</v>
      </c>
      <c r="E138" s="3">
        <v>3000</v>
      </c>
      <c r="F138" s="4" t="s">
        <v>32</v>
      </c>
      <c r="G138" s="315">
        <f>16*E138</f>
        <v>48000</v>
      </c>
      <c r="H138" s="329"/>
      <c r="I138" s="347"/>
      <c r="J138" s="347"/>
      <c r="K138" s="329"/>
    </row>
    <row r="139" spans="1:11" x14ac:dyDescent="0.3">
      <c r="A139" s="3">
        <v>90</v>
      </c>
      <c r="B139" s="2">
        <v>46010</v>
      </c>
      <c r="C139" s="4" t="s">
        <v>410</v>
      </c>
      <c r="D139" s="3" t="s">
        <v>171</v>
      </c>
      <c r="E139" s="3">
        <v>1000</v>
      </c>
      <c r="F139" s="4" t="s">
        <v>32</v>
      </c>
      <c r="G139" s="315">
        <f>E139*16</f>
        <v>16000</v>
      </c>
      <c r="H139" s="329"/>
      <c r="I139" s="347"/>
      <c r="J139" s="347"/>
      <c r="K139" s="329"/>
    </row>
    <row r="140" spans="1:11" x14ac:dyDescent="0.3">
      <c r="A140" s="3">
        <v>91</v>
      </c>
      <c r="B140" s="2">
        <v>46011</v>
      </c>
      <c r="C140" s="4" t="s">
        <v>410</v>
      </c>
      <c r="D140" s="3" t="s">
        <v>171</v>
      </c>
      <c r="E140" s="3">
        <v>1500</v>
      </c>
      <c r="F140" s="4" t="s">
        <v>32</v>
      </c>
      <c r="G140" s="315">
        <f>E140*16</f>
        <v>24000</v>
      </c>
      <c r="H140" s="329"/>
      <c r="I140" s="347"/>
      <c r="J140" s="347"/>
      <c r="K140" s="329"/>
    </row>
    <row r="141" spans="1:11" x14ac:dyDescent="0.3">
      <c r="A141" s="3">
        <v>92</v>
      </c>
      <c r="B141" s="2">
        <v>46013</v>
      </c>
      <c r="C141" s="4" t="s">
        <v>410</v>
      </c>
      <c r="D141" s="3" t="s">
        <v>171</v>
      </c>
      <c r="E141" s="3">
        <v>3000</v>
      </c>
      <c r="F141" s="4" t="s">
        <v>32</v>
      </c>
      <c r="G141" s="315">
        <f>E141*16</f>
        <v>48000</v>
      </c>
      <c r="H141" s="329"/>
      <c r="I141" s="347"/>
      <c r="J141" s="347"/>
      <c r="K141" s="329"/>
    </row>
    <row r="142" spans="1:11" x14ac:dyDescent="0.3">
      <c r="A142" s="3">
        <v>93</v>
      </c>
      <c r="B142" s="2">
        <v>46025</v>
      </c>
      <c r="C142" s="4" t="s">
        <v>410</v>
      </c>
      <c r="D142" s="3" t="s">
        <v>44</v>
      </c>
      <c r="E142" s="3">
        <v>400</v>
      </c>
      <c r="F142" s="4" t="s">
        <v>41</v>
      </c>
      <c r="G142" s="315">
        <v>12000</v>
      </c>
      <c r="H142" s="329"/>
      <c r="I142" s="347"/>
      <c r="J142" s="347"/>
      <c r="K142" s="329"/>
    </row>
    <row r="143" spans="1:11" x14ac:dyDescent="0.3">
      <c r="A143" s="3">
        <v>94</v>
      </c>
      <c r="B143" s="2">
        <v>46028</v>
      </c>
      <c r="C143" s="4" t="s">
        <v>410</v>
      </c>
      <c r="D143" s="4" t="s">
        <v>413</v>
      </c>
      <c r="E143" s="3">
        <v>400</v>
      </c>
      <c r="F143" s="4" t="s">
        <v>41</v>
      </c>
      <c r="G143" s="312">
        <v>20000</v>
      </c>
      <c r="H143" s="329"/>
      <c r="I143" s="347"/>
      <c r="J143" s="347"/>
      <c r="K143" s="329"/>
    </row>
    <row r="144" spans="1:11" x14ac:dyDescent="0.3">
      <c r="A144" s="3">
        <v>95</v>
      </c>
      <c r="B144" s="2">
        <v>46028</v>
      </c>
      <c r="C144" s="4" t="s">
        <v>410</v>
      </c>
      <c r="D144" s="4" t="s">
        <v>413</v>
      </c>
      <c r="E144" s="3">
        <v>400</v>
      </c>
      <c r="F144" s="4" t="s">
        <v>41</v>
      </c>
      <c r="G144" s="312">
        <v>20000</v>
      </c>
      <c r="H144" s="329"/>
      <c r="I144" s="347"/>
      <c r="J144" s="347"/>
      <c r="K144" s="329"/>
    </row>
    <row r="145" spans="1:11" x14ac:dyDescent="0.3">
      <c r="A145" s="3">
        <v>96</v>
      </c>
      <c r="B145" s="2">
        <v>46028</v>
      </c>
      <c r="C145" s="4" t="s">
        <v>410</v>
      </c>
      <c r="D145" s="4" t="s">
        <v>413</v>
      </c>
      <c r="E145" s="3">
        <v>400</v>
      </c>
      <c r="F145" s="4" t="s">
        <v>41</v>
      </c>
      <c r="G145" s="312">
        <v>20000</v>
      </c>
      <c r="H145" s="329"/>
      <c r="I145" s="347"/>
      <c r="J145" s="347"/>
      <c r="K145" s="329"/>
    </row>
    <row r="146" spans="1:11" x14ac:dyDescent="0.3">
      <c r="A146" s="3">
        <v>97</v>
      </c>
      <c r="B146" s="2">
        <v>46028</v>
      </c>
      <c r="C146" s="4" t="s">
        <v>410</v>
      </c>
      <c r="D146" s="3" t="s">
        <v>52</v>
      </c>
      <c r="E146" s="3">
        <v>400</v>
      </c>
      <c r="F146" s="4" t="s">
        <v>41</v>
      </c>
      <c r="G146" s="312">
        <v>4000</v>
      </c>
      <c r="H146" s="329"/>
      <c r="I146" s="347"/>
      <c r="J146" s="347"/>
      <c r="K146" s="329"/>
    </row>
    <row r="147" spans="1:11" x14ac:dyDescent="0.3">
      <c r="A147" s="3">
        <v>98</v>
      </c>
      <c r="B147" s="2">
        <v>46028</v>
      </c>
      <c r="C147" s="4" t="s">
        <v>410</v>
      </c>
      <c r="D147" s="3" t="s">
        <v>47</v>
      </c>
      <c r="E147" s="3">
        <v>400</v>
      </c>
      <c r="F147" s="4" t="s">
        <v>41</v>
      </c>
      <c r="G147" s="315">
        <v>22000</v>
      </c>
      <c r="H147" s="329"/>
      <c r="I147" s="347"/>
      <c r="J147" s="347"/>
      <c r="K147" s="329"/>
    </row>
    <row r="148" spans="1:11" x14ac:dyDescent="0.3">
      <c r="A148" s="3">
        <v>99</v>
      </c>
      <c r="B148" s="2">
        <v>46028</v>
      </c>
      <c r="C148" s="4" t="s">
        <v>410</v>
      </c>
      <c r="D148" s="4" t="s">
        <v>413</v>
      </c>
      <c r="E148" s="3">
        <v>400</v>
      </c>
      <c r="F148" s="4" t="s">
        <v>41</v>
      </c>
      <c r="G148" s="312">
        <v>20000</v>
      </c>
      <c r="H148" s="329"/>
      <c r="I148" s="347"/>
      <c r="J148" s="347"/>
      <c r="K148" s="329"/>
    </row>
    <row r="149" spans="1:11" x14ac:dyDescent="0.3">
      <c r="A149" s="3">
        <v>100</v>
      </c>
      <c r="B149" s="2">
        <v>46028</v>
      </c>
      <c r="C149" s="4" t="s">
        <v>410</v>
      </c>
      <c r="D149" s="3" t="s">
        <v>52</v>
      </c>
      <c r="E149" s="3">
        <v>400</v>
      </c>
      <c r="F149" s="4" t="s">
        <v>41</v>
      </c>
      <c r="G149" s="312">
        <v>4000</v>
      </c>
      <c r="H149" s="329"/>
      <c r="I149" s="347"/>
      <c r="J149" s="347"/>
      <c r="K149" s="329"/>
    </row>
    <row r="150" spans="1:11" x14ac:dyDescent="0.3">
      <c r="A150" s="3">
        <v>101</v>
      </c>
      <c r="B150" s="2">
        <v>46028</v>
      </c>
      <c r="C150" s="4" t="s">
        <v>410</v>
      </c>
      <c r="D150" s="3" t="s">
        <v>44</v>
      </c>
      <c r="E150" s="3">
        <v>400</v>
      </c>
      <c r="F150" s="4" t="s">
        <v>41</v>
      </c>
      <c r="G150" s="315">
        <v>12000</v>
      </c>
      <c r="H150" s="329"/>
      <c r="I150" s="347"/>
      <c r="J150" s="347"/>
      <c r="K150" s="329"/>
    </row>
    <row r="151" spans="1:11" x14ac:dyDescent="0.3">
      <c r="A151" s="3">
        <v>102</v>
      </c>
      <c r="B151" s="2">
        <v>46029</v>
      </c>
      <c r="C151" s="4" t="s">
        <v>410</v>
      </c>
      <c r="D151" s="3" t="s">
        <v>47</v>
      </c>
      <c r="E151" s="3">
        <v>400</v>
      </c>
      <c r="F151" s="4" t="s">
        <v>41</v>
      </c>
      <c r="G151" s="315">
        <v>22000</v>
      </c>
      <c r="H151" s="329"/>
      <c r="I151" s="347"/>
      <c r="J151" s="347"/>
      <c r="K151" s="329"/>
    </row>
    <row r="152" spans="1:11" x14ac:dyDescent="0.3">
      <c r="A152" s="3">
        <v>103</v>
      </c>
      <c r="B152" s="2">
        <v>46029</v>
      </c>
      <c r="C152" s="4" t="s">
        <v>410</v>
      </c>
      <c r="D152" s="3" t="s">
        <v>47</v>
      </c>
      <c r="E152" s="3">
        <v>400</v>
      </c>
      <c r="F152" s="4" t="s">
        <v>41</v>
      </c>
      <c r="G152" s="315">
        <v>22000</v>
      </c>
      <c r="H152" s="329"/>
      <c r="I152" s="347"/>
      <c r="J152" s="347"/>
      <c r="K152" s="329"/>
    </row>
    <row r="153" spans="1:11" x14ac:dyDescent="0.3">
      <c r="A153" s="3">
        <v>104</v>
      </c>
      <c r="B153" s="2">
        <v>46029</v>
      </c>
      <c r="C153" s="4" t="s">
        <v>410</v>
      </c>
      <c r="D153" s="3" t="s">
        <v>171</v>
      </c>
      <c r="E153" s="3">
        <v>1500</v>
      </c>
      <c r="F153" s="4" t="s">
        <v>32</v>
      </c>
      <c r="G153" s="315">
        <f>E153*16</f>
        <v>24000</v>
      </c>
      <c r="H153" s="329"/>
      <c r="I153" s="347"/>
      <c r="J153" s="347"/>
      <c r="K153" s="329"/>
    </row>
    <row r="154" spans="1:11" x14ac:dyDescent="0.3">
      <c r="A154" s="3">
        <v>105</v>
      </c>
      <c r="B154" s="2">
        <v>46030</v>
      </c>
      <c r="C154" s="4" t="s">
        <v>410</v>
      </c>
      <c r="D154" s="3" t="s">
        <v>171</v>
      </c>
      <c r="E154" s="3">
        <v>1500</v>
      </c>
      <c r="F154" s="4" t="s">
        <v>32</v>
      </c>
      <c r="G154" s="315">
        <f>E154*16</f>
        <v>24000</v>
      </c>
      <c r="H154" s="329"/>
      <c r="I154" s="347"/>
      <c r="J154" s="347"/>
      <c r="K154" s="329"/>
    </row>
    <row r="155" spans="1:11" x14ac:dyDescent="0.3">
      <c r="A155" s="3">
        <v>106</v>
      </c>
      <c r="B155" s="2">
        <v>46032</v>
      </c>
      <c r="C155" s="4" t="s">
        <v>410</v>
      </c>
      <c r="D155" s="3" t="s">
        <v>44</v>
      </c>
      <c r="E155" s="3">
        <v>400</v>
      </c>
      <c r="F155" s="4" t="s">
        <v>41</v>
      </c>
      <c r="G155" s="315">
        <v>12000</v>
      </c>
      <c r="H155" s="329"/>
      <c r="I155" s="347"/>
      <c r="J155" s="347"/>
      <c r="K155" s="329"/>
    </row>
    <row r="156" spans="1:11" x14ac:dyDescent="0.3">
      <c r="A156" s="3">
        <v>107</v>
      </c>
      <c r="B156" s="2">
        <v>46034</v>
      </c>
      <c r="C156" s="4" t="s">
        <v>410</v>
      </c>
      <c r="D156" s="4" t="s">
        <v>413</v>
      </c>
      <c r="E156" s="3">
        <v>400</v>
      </c>
      <c r="F156" s="4" t="s">
        <v>41</v>
      </c>
      <c r="G156" s="312">
        <v>20000</v>
      </c>
      <c r="H156" s="329"/>
      <c r="I156" s="347"/>
      <c r="J156" s="347"/>
      <c r="K156" s="329"/>
    </row>
    <row r="157" spans="1:11" x14ac:dyDescent="0.3">
      <c r="A157" s="3">
        <v>108</v>
      </c>
      <c r="B157" s="2">
        <v>46034</v>
      </c>
      <c r="C157" s="4" t="s">
        <v>410</v>
      </c>
      <c r="D157" s="3" t="s">
        <v>44</v>
      </c>
      <c r="E157" s="3">
        <v>400</v>
      </c>
      <c r="F157" s="4" t="s">
        <v>41</v>
      </c>
      <c r="G157" s="315">
        <v>12000</v>
      </c>
      <c r="H157" s="329"/>
      <c r="I157" s="347"/>
      <c r="J157" s="347"/>
      <c r="K157" s="329"/>
    </row>
    <row r="158" spans="1:11" x14ac:dyDescent="0.3">
      <c r="A158" s="3">
        <v>109</v>
      </c>
      <c r="B158" s="2">
        <v>46034</v>
      </c>
      <c r="C158" s="4" t="s">
        <v>410</v>
      </c>
      <c r="D158" s="3" t="s">
        <v>47</v>
      </c>
      <c r="E158" s="3">
        <v>400</v>
      </c>
      <c r="F158" s="4" t="s">
        <v>41</v>
      </c>
      <c r="G158" s="315">
        <v>22000</v>
      </c>
      <c r="H158" s="329"/>
      <c r="I158" s="347"/>
      <c r="J158" s="347"/>
      <c r="K158" s="329"/>
    </row>
    <row r="159" spans="1:11" x14ac:dyDescent="0.3">
      <c r="A159" s="3">
        <v>110</v>
      </c>
      <c r="B159" s="2">
        <v>46034</v>
      </c>
      <c r="C159" s="4" t="s">
        <v>410</v>
      </c>
      <c r="D159" s="3" t="s">
        <v>52</v>
      </c>
      <c r="E159" s="3">
        <v>400</v>
      </c>
      <c r="F159" s="4" t="s">
        <v>41</v>
      </c>
      <c r="G159" s="312">
        <v>4000</v>
      </c>
      <c r="H159" s="329"/>
      <c r="I159" s="347"/>
      <c r="J159" s="347"/>
      <c r="K159" s="329"/>
    </row>
    <row r="160" spans="1:11" x14ac:dyDescent="0.3">
      <c r="A160" s="3">
        <v>111</v>
      </c>
      <c r="B160" s="2">
        <v>46034</v>
      </c>
      <c r="C160" s="4" t="s">
        <v>410</v>
      </c>
      <c r="D160" s="3" t="s">
        <v>171</v>
      </c>
      <c r="E160" s="3">
        <v>1500</v>
      </c>
      <c r="F160" s="4" t="s">
        <v>32</v>
      </c>
      <c r="G160" s="315">
        <f>E160*16</f>
        <v>24000</v>
      </c>
      <c r="H160" s="329"/>
      <c r="I160" s="347"/>
      <c r="J160" s="347"/>
      <c r="K160" s="329"/>
    </row>
    <row r="161" spans="1:11" x14ac:dyDescent="0.3">
      <c r="A161" s="3">
        <v>112</v>
      </c>
      <c r="B161" s="2">
        <v>46036</v>
      </c>
      <c r="C161" s="4" t="s">
        <v>410</v>
      </c>
      <c r="D161" s="3" t="s">
        <v>44</v>
      </c>
      <c r="E161" s="3">
        <v>400</v>
      </c>
      <c r="F161" s="4" t="s">
        <v>41</v>
      </c>
      <c r="G161" s="315">
        <v>12000</v>
      </c>
      <c r="H161" s="329"/>
      <c r="I161" s="347"/>
      <c r="J161" s="347"/>
      <c r="K161" s="329"/>
    </row>
    <row r="162" spans="1:11" x14ac:dyDescent="0.3">
      <c r="A162" s="3">
        <v>113</v>
      </c>
      <c r="B162" s="2">
        <v>46038</v>
      </c>
      <c r="C162" s="4" t="s">
        <v>410</v>
      </c>
      <c r="D162" s="3" t="s">
        <v>44</v>
      </c>
      <c r="E162" s="3">
        <v>400</v>
      </c>
      <c r="F162" s="4" t="s">
        <v>41</v>
      </c>
      <c r="G162" s="315">
        <v>12000</v>
      </c>
      <c r="H162" s="329"/>
      <c r="I162" s="347"/>
      <c r="J162" s="347"/>
      <c r="K162" s="329"/>
    </row>
    <row r="163" spans="1:11" x14ac:dyDescent="0.3">
      <c r="A163" s="3">
        <v>114</v>
      </c>
      <c r="B163" s="2">
        <v>46039</v>
      </c>
      <c r="C163" s="4" t="s">
        <v>410</v>
      </c>
      <c r="D163" s="3" t="s">
        <v>47</v>
      </c>
      <c r="E163" s="3">
        <v>400</v>
      </c>
      <c r="F163" s="4" t="s">
        <v>41</v>
      </c>
      <c r="G163" s="315">
        <v>22000</v>
      </c>
      <c r="H163" s="329"/>
      <c r="I163" s="347"/>
      <c r="J163" s="347"/>
      <c r="K163" s="329"/>
    </row>
    <row r="164" spans="1:11" x14ac:dyDescent="0.3">
      <c r="A164" s="3">
        <v>115</v>
      </c>
      <c r="B164" s="2">
        <v>46039</v>
      </c>
      <c r="C164" s="4" t="s">
        <v>410</v>
      </c>
      <c r="D164" s="4" t="s">
        <v>413</v>
      </c>
      <c r="E164" s="3">
        <v>400</v>
      </c>
      <c r="F164" s="4" t="s">
        <v>41</v>
      </c>
      <c r="G164" s="312">
        <v>20000</v>
      </c>
      <c r="H164" s="329"/>
      <c r="I164" s="347"/>
      <c r="J164" s="347"/>
      <c r="K164" s="329"/>
    </row>
    <row r="165" spans="1:11" x14ac:dyDescent="0.3">
      <c r="A165" s="3">
        <v>116</v>
      </c>
      <c r="B165" s="2">
        <v>46041</v>
      </c>
      <c r="C165" s="4" t="s">
        <v>410</v>
      </c>
      <c r="D165" s="3" t="s">
        <v>47</v>
      </c>
      <c r="E165" s="3">
        <v>400</v>
      </c>
      <c r="F165" s="4" t="s">
        <v>41</v>
      </c>
      <c r="G165" s="315">
        <v>22000</v>
      </c>
      <c r="H165" s="329"/>
      <c r="I165" s="347"/>
      <c r="J165" s="347"/>
      <c r="K165" s="329"/>
    </row>
    <row r="166" spans="1:11" x14ac:dyDescent="0.3">
      <c r="A166" s="3">
        <v>117</v>
      </c>
      <c r="B166" s="2">
        <v>46043</v>
      </c>
      <c r="C166" s="4" t="s">
        <v>410</v>
      </c>
      <c r="D166" s="3" t="s">
        <v>52</v>
      </c>
      <c r="E166" s="3">
        <v>400</v>
      </c>
      <c r="F166" s="4" t="s">
        <v>41</v>
      </c>
      <c r="G166" s="312">
        <v>4000</v>
      </c>
      <c r="H166" s="329"/>
      <c r="I166" s="347"/>
      <c r="J166" s="347"/>
      <c r="K166" s="329"/>
    </row>
    <row r="167" spans="1:11" x14ac:dyDescent="0.3">
      <c r="A167" s="3">
        <v>118</v>
      </c>
      <c r="B167" s="2">
        <v>46044</v>
      </c>
      <c r="C167" s="4" t="s">
        <v>410</v>
      </c>
      <c r="D167" s="3" t="s">
        <v>47</v>
      </c>
      <c r="E167" s="3">
        <v>400</v>
      </c>
      <c r="F167" s="4" t="s">
        <v>41</v>
      </c>
      <c r="G167" s="315">
        <v>22000</v>
      </c>
      <c r="H167" s="329"/>
      <c r="I167" s="347"/>
      <c r="J167" s="347"/>
      <c r="K167" s="329"/>
    </row>
    <row r="168" spans="1:11" x14ac:dyDescent="0.3">
      <c r="A168" s="3">
        <v>119</v>
      </c>
      <c r="B168" s="2">
        <v>46049</v>
      </c>
      <c r="C168" s="4" t="s">
        <v>410</v>
      </c>
      <c r="D168" s="3" t="s">
        <v>171</v>
      </c>
      <c r="E168" s="3">
        <v>1500</v>
      </c>
      <c r="F168" s="4" t="s">
        <v>32</v>
      </c>
      <c r="G168" s="312">
        <v>24000</v>
      </c>
      <c r="H168" s="329"/>
      <c r="I168" s="347"/>
      <c r="J168" s="347"/>
      <c r="K168" s="329"/>
    </row>
    <row r="169" spans="1:11" x14ac:dyDescent="0.3">
      <c r="A169" s="3">
        <v>120</v>
      </c>
      <c r="B169" s="2">
        <v>46053</v>
      </c>
      <c r="C169" s="4" t="s">
        <v>410</v>
      </c>
      <c r="D169" s="3" t="s">
        <v>52</v>
      </c>
      <c r="E169" s="3">
        <v>400</v>
      </c>
      <c r="F169" s="4" t="s">
        <v>41</v>
      </c>
      <c r="G169" s="312">
        <v>4000</v>
      </c>
      <c r="H169" s="329"/>
      <c r="I169" s="347"/>
      <c r="J169" s="347"/>
      <c r="K169" s="329"/>
    </row>
    <row r="170" spans="1:11" x14ac:dyDescent="0.3">
      <c r="A170" s="3">
        <v>121</v>
      </c>
      <c r="B170" s="2">
        <v>46053</v>
      </c>
      <c r="C170" s="4" t="s">
        <v>410</v>
      </c>
      <c r="D170" s="4" t="s">
        <v>413</v>
      </c>
      <c r="E170" s="3">
        <v>400</v>
      </c>
      <c r="F170" s="4" t="s">
        <v>41</v>
      </c>
      <c r="G170" s="312">
        <v>20000</v>
      </c>
      <c r="H170" s="329"/>
      <c r="I170" s="347"/>
      <c r="J170" s="347"/>
      <c r="K170" s="329"/>
    </row>
    <row r="171" spans="1:11" x14ac:dyDescent="0.3">
      <c r="A171" s="3">
        <v>122</v>
      </c>
      <c r="B171" s="2">
        <v>46067</v>
      </c>
      <c r="C171" s="4" t="s">
        <v>410</v>
      </c>
      <c r="D171" s="3" t="s">
        <v>44</v>
      </c>
      <c r="E171" s="3">
        <v>400</v>
      </c>
      <c r="F171" s="4" t="s">
        <v>41</v>
      </c>
      <c r="G171" s="315">
        <v>12000</v>
      </c>
      <c r="H171" s="329"/>
      <c r="I171" s="347"/>
      <c r="J171" s="347"/>
      <c r="K171" s="329"/>
    </row>
    <row r="172" spans="1:11" x14ac:dyDescent="0.3">
      <c r="A172" s="3">
        <v>123</v>
      </c>
      <c r="B172" s="2">
        <v>46074</v>
      </c>
      <c r="C172" s="4" t="s">
        <v>410</v>
      </c>
      <c r="D172" s="3" t="s">
        <v>44</v>
      </c>
      <c r="E172" s="3">
        <v>400</v>
      </c>
      <c r="F172" s="4" t="s">
        <v>41</v>
      </c>
      <c r="G172" s="315">
        <v>12000</v>
      </c>
      <c r="H172" s="329"/>
      <c r="I172" s="347"/>
      <c r="J172" s="347"/>
      <c r="K172" s="329"/>
    </row>
    <row r="173" spans="1:11" x14ac:dyDescent="0.3">
      <c r="A173" s="3">
        <v>124</v>
      </c>
      <c r="B173" s="2">
        <v>46076</v>
      </c>
      <c r="C173" s="4" t="s">
        <v>410</v>
      </c>
      <c r="D173" s="3" t="s">
        <v>47</v>
      </c>
      <c r="E173" s="3">
        <v>400</v>
      </c>
      <c r="F173" s="4" t="s">
        <v>41</v>
      </c>
      <c r="G173" s="315">
        <v>22000</v>
      </c>
      <c r="H173" s="329"/>
      <c r="I173" s="347"/>
      <c r="J173" s="347"/>
      <c r="K173" s="329"/>
    </row>
    <row r="174" spans="1:11" x14ac:dyDescent="0.3">
      <c r="A174" s="3">
        <v>125</v>
      </c>
      <c r="B174" s="2"/>
      <c r="C174" s="4"/>
      <c r="D174" s="4"/>
      <c r="E174" s="3"/>
      <c r="F174" s="4"/>
      <c r="G174" s="312"/>
      <c r="H174" s="329"/>
      <c r="I174" s="347"/>
      <c r="J174" s="347"/>
      <c r="K174" s="329"/>
    </row>
    <row r="175" spans="1:11" x14ac:dyDescent="0.3">
      <c r="A175" s="3">
        <v>126</v>
      </c>
      <c r="B175" s="2"/>
      <c r="C175" s="4"/>
      <c r="D175" s="4"/>
      <c r="E175" s="3"/>
      <c r="F175" s="4"/>
      <c r="G175" s="312"/>
      <c r="H175" s="329"/>
      <c r="I175" s="347"/>
      <c r="J175" s="347"/>
      <c r="K175" s="329"/>
    </row>
    <row r="176" spans="1:11" x14ac:dyDescent="0.3">
      <c r="A176" s="3">
        <v>127</v>
      </c>
      <c r="B176" s="2"/>
      <c r="C176" s="4"/>
      <c r="D176" s="4"/>
      <c r="E176" s="3"/>
      <c r="F176" s="4"/>
      <c r="G176" s="312"/>
      <c r="H176" s="329"/>
      <c r="I176" s="347"/>
      <c r="J176" s="347"/>
      <c r="K176" s="329"/>
    </row>
    <row r="177" spans="1:11" x14ac:dyDescent="0.3">
      <c r="A177" s="3">
        <v>128</v>
      </c>
      <c r="B177" s="2"/>
      <c r="C177" s="4"/>
      <c r="D177" s="4"/>
      <c r="E177" s="3"/>
      <c r="F177" s="4"/>
      <c r="G177" s="312"/>
      <c r="H177" s="329"/>
      <c r="I177" s="347"/>
      <c r="J177" s="347"/>
      <c r="K177" s="329"/>
    </row>
    <row r="178" spans="1:11" x14ac:dyDescent="0.3">
      <c r="A178" s="3"/>
      <c r="B178" s="2"/>
      <c r="C178" s="4"/>
      <c r="D178" s="4"/>
      <c r="E178" s="3"/>
      <c r="F178" s="4"/>
      <c r="G178" s="312"/>
      <c r="H178" s="329"/>
      <c r="I178" s="347"/>
      <c r="J178" s="347"/>
      <c r="K178" s="329"/>
    </row>
    <row r="179" spans="1:11" x14ac:dyDescent="0.3">
      <c r="A179" s="3"/>
      <c r="B179" s="2"/>
      <c r="C179" s="4"/>
      <c r="D179" s="4"/>
      <c r="E179" s="3"/>
      <c r="F179" s="4"/>
      <c r="G179" s="312"/>
      <c r="H179" s="329"/>
      <c r="I179" s="347"/>
      <c r="J179" s="347"/>
      <c r="K179" s="329"/>
    </row>
    <row r="180" spans="1:11" x14ac:dyDescent="0.3">
      <c r="A180" s="3"/>
      <c r="B180" s="2"/>
      <c r="C180" s="4"/>
      <c r="D180" s="4"/>
      <c r="E180" s="3"/>
      <c r="F180" s="4"/>
      <c r="G180" s="312"/>
      <c r="H180" s="329"/>
      <c r="I180" s="347"/>
      <c r="J180" s="347"/>
      <c r="K180" s="329"/>
    </row>
    <row r="181" spans="1:11" x14ac:dyDescent="0.3">
      <c r="A181" s="3"/>
      <c r="B181" s="2"/>
      <c r="C181" s="4"/>
      <c r="D181" s="4"/>
      <c r="E181" s="3"/>
      <c r="F181" s="4"/>
      <c r="G181" s="312"/>
      <c r="H181" s="329"/>
      <c r="I181" s="347"/>
      <c r="J181" s="347"/>
      <c r="K181" s="329"/>
    </row>
    <row r="182" spans="1:11" x14ac:dyDescent="0.3">
      <c r="A182" s="337"/>
      <c r="B182" s="337"/>
      <c r="C182" s="337"/>
      <c r="D182" s="337"/>
      <c r="E182" s="337"/>
      <c r="F182" s="337"/>
      <c r="G182" s="329"/>
      <c r="H182" s="329"/>
      <c r="I182" s="347"/>
      <c r="J182" s="347"/>
      <c r="K182" s="329"/>
    </row>
    <row r="183" spans="1:11" x14ac:dyDescent="0.3">
      <c r="A183" s="631" t="s">
        <v>515</v>
      </c>
      <c r="B183" s="632"/>
      <c r="C183" s="632"/>
      <c r="D183" s="632"/>
      <c r="E183" s="632"/>
      <c r="F183" s="633"/>
      <c r="G183" s="350">
        <f>SUM(G85:G182)</f>
        <v>1478000</v>
      </c>
      <c r="H183" s="329"/>
      <c r="I183" s="576" t="s">
        <v>98</v>
      </c>
      <c r="J183" s="624"/>
      <c r="K183" s="319">
        <f>SUM(K84:K182)</f>
        <v>1398000</v>
      </c>
    </row>
    <row r="184" spans="1:11" x14ac:dyDescent="0.3">
      <c r="A184" s="627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</row>
    <row r="185" spans="1:11" ht="15.6" x14ac:dyDescent="0.3">
      <c r="A185" s="621" t="s">
        <v>457</v>
      </c>
      <c r="B185" s="621"/>
      <c r="C185" s="621"/>
      <c r="D185" s="621"/>
      <c r="E185" s="621"/>
      <c r="F185" s="621"/>
      <c r="G185" s="621"/>
      <c r="I185" s="626" t="s">
        <v>477</v>
      </c>
      <c r="J185" s="626"/>
      <c r="K185" s="626"/>
    </row>
    <row r="186" spans="1:11" x14ac:dyDescent="0.3">
      <c r="A186" s="621"/>
      <c r="B186" s="621"/>
      <c r="C186" s="621"/>
      <c r="D186" s="621"/>
      <c r="E186" s="621"/>
      <c r="F186" s="621"/>
      <c r="G186" s="621"/>
      <c r="I186" s="323" t="s">
        <v>326</v>
      </c>
      <c r="J186" s="323" t="s">
        <v>441</v>
      </c>
      <c r="K186" s="323" t="s">
        <v>442</v>
      </c>
    </row>
    <row r="187" spans="1:11" x14ac:dyDescent="0.3">
      <c r="A187" s="323" t="s">
        <v>326</v>
      </c>
      <c r="B187" s="323" t="s">
        <v>437</v>
      </c>
      <c r="C187" s="323" t="s">
        <v>455</v>
      </c>
      <c r="D187" s="323" t="s">
        <v>439</v>
      </c>
      <c r="E187" s="323" t="s">
        <v>456</v>
      </c>
      <c r="F187" s="323" t="s">
        <v>440</v>
      </c>
      <c r="G187" s="323" t="s">
        <v>438</v>
      </c>
      <c r="I187" s="3">
        <v>1</v>
      </c>
      <c r="J187" s="236" t="s">
        <v>444</v>
      </c>
      <c r="K187" s="336">
        <f>G45</f>
        <v>633500</v>
      </c>
    </row>
    <row r="188" spans="1:11" x14ac:dyDescent="0.3">
      <c r="A188" s="3">
        <v>1</v>
      </c>
      <c r="B188" s="37">
        <v>45796</v>
      </c>
      <c r="C188" s="3">
        <v>1</v>
      </c>
      <c r="D188" s="339">
        <v>12500</v>
      </c>
      <c r="E188" s="3" t="s">
        <v>50</v>
      </c>
      <c r="F188" s="335" t="s">
        <v>50</v>
      </c>
      <c r="G188" s="443">
        <v>37000</v>
      </c>
      <c r="I188" s="3">
        <v>2</v>
      </c>
      <c r="J188" s="236" t="s">
        <v>445</v>
      </c>
      <c r="K188" s="336">
        <f>D217</f>
        <v>318750</v>
      </c>
    </row>
    <row r="189" spans="1:11" x14ac:dyDescent="0.3">
      <c r="A189" s="3">
        <v>2</v>
      </c>
      <c r="B189" s="37">
        <v>45797</v>
      </c>
      <c r="C189" s="3">
        <v>1</v>
      </c>
      <c r="D189" s="339">
        <v>12500</v>
      </c>
      <c r="E189" s="3" t="s">
        <v>50</v>
      </c>
      <c r="F189" s="335" t="s">
        <v>50</v>
      </c>
      <c r="G189" s="444"/>
      <c r="I189" s="3">
        <v>3</v>
      </c>
      <c r="J189" s="236" t="s">
        <v>446</v>
      </c>
      <c r="K189" s="336">
        <f>F217</f>
        <v>111250</v>
      </c>
    </row>
    <row r="190" spans="1:11" x14ac:dyDescent="0.3">
      <c r="A190" s="3">
        <v>3</v>
      </c>
      <c r="B190" s="37">
        <v>45798</v>
      </c>
      <c r="C190" s="3">
        <v>1</v>
      </c>
      <c r="D190" s="339">
        <v>12500</v>
      </c>
      <c r="E190" s="3">
        <v>1</v>
      </c>
      <c r="F190" s="333">
        <v>6500</v>
      </c>
      <c r="G190" s="444"/>
      <c r="I190" s="616" t="s">
        <v>451</v>
      </c>
      <c r="J190" s="616"/>
      <c r="K190" s="338">
        <f>K187+K188+K189</f>
        <v>1063500</v>
      </c>
    </row>
    <row r="191" spans="1:11" x14ac:dyDescent="0.3">
      <c r="A191" s="3">
        <v>4</v>
      </c>
      <c r="B191" s="37">
        <v>45805</v>
      </c>
      <c r="C191" s="3" t="s">
        <v>50</v>
      </c>
      <c r="D191" s="335" t="s">
        <v>50</v>
      </c>
      <c r="E191" s="3">
        <v>1</v>
      </c>
      <c r="F191" s="333">
        <v>8500</v>
      </c>
      <c r="G191" s="444"/>
      <c r="I191" s="337" t="s">
        <v>447</v>
      </c>
      <c r="J191" s="13" t="s">
        <v>448</v>
      </c>
      <c r="K191" s="226">
        <v>92000</v>
      </c>
    </row>
    <row r="192" spans="1:11" x14ac:dyDescent="0.3">
      <c r="A192" s="3">
        <v>5</v>
      </c>
      <c r="B192" s="37">
        <v>45807</v>
      </c>
      <c r="C192" s="3" t="s">
        <v>50</v>
      </c>
      <c r="D192" s="335" t="s">
        <v>50</v>
      </c>
      <c r="E192" s="3">
        <v>1</v>
      </c>
      <c r="F192" s="333">
        <v>8500</v>
      </c>
      <c r="G192" s="444"/>
      <c r="I192" s="337" t="s">
        <v>447</v>
      </c>
      <c r="J192" s="13" t="s">
        <v>449</v>
      </c>
      <c r="K192" s="226">
        <v>29000</v>
      </c>
    </row>
    <row r="193" spans="1:12" x14ac:dyDescent="0.3">
      <c r="A193" s="3">
        <v>6</v>
      </c>
      <c r="B193" s="37">
        <v>45816</v>
      </c>
      <c r="C193" s="3">
        <v>1</v>
      </c>
      <c r="D193" s="339">
        <v>12500</v>
      </c>
      <c r="E193" s="3" t="s">
        <v>50</v>
      </c>
      <c r="F193" s="335" t="s">
        <v>50</v>
      </c>
      <c r="G193" s="444"/>
      <c r="I193" s="337" t="s">
        <v>447</v>
      </c>
      <c r="J193" s="13" t="s">
        <v>450</v>
      </c>
      <c r="K193" s="329">
        <f>SUM(K6:K43)</f>
        <v>942500</v>
      </c>
    </row>
    <row r="194" spans="1:12" x14ac:dyDescent="0.3">
      <c r="A194" s="3">
        <v>7</v>
      </c>
      <c r="B194" s="37">
        <v>45817</v>
      </c>
      <c r="C194" s="3">
        <v>1</v>
      </c>
      <c r="D194" s="339">
        <v>12500</v>
      </c>
      <c r="E194" s="3" t="s">
        <v>50</v>
      </c>
      <c r="F194" s="335" t="s">
        <v>50</v>
      </c>
      <c r="G194" s="444"/>
      <c r="I194" s="625" t="s">
        <v>504</v>
      </c>
      <c r="J194" s="625"/>
      <c r="K194" s="321">
        <f>K190-K191-K192-K193</f>
        <v>0</v>
      </c>
    </row>
    <row r="195" spans="1:12" x14ac:dyDescent="0.3">
      <c r="A195" s="3">
        <v>8</v>
      </c>
      <c r="B195" s="37">
        <v>45822</v>
      </c>
      <c r="C195" s="3">
        <v>1</v>
      </c>
      <c r="D195" s="339">
        <v>12500</v>
      </c>
      <c r="E195" s="3" t="s">
        <v>50</v>
      </c>
      <c r="F195" s="335" t="s">
        <v>50</v>
      </c>
      <c r="G195" s="444"/>
    </row>
    <row r="196" spans="1:12" x14ac:dyDescent="0.3">
      <c r="A196" s="3">
        <v>9</v>
      </c>
      <c r="B196" s="37">
        <v>45823</v>
      </c>
      <c r="C196" s="3">
        <v>1</v>
      </c>
      <c r="D196" s="339">
        <v>12500</v>
      </c>
      <c r="E196" s="3">
        <v>1</v>
      </c>
      <c r="F196" s="333">
        <v>6500</v>
      </c>
      <c r="G196" s="444"/>
    </row>
    <row r="197" spans="1:12" ht="15.6" x14ac:dyDescent="0.3">
      <c r="A197" s="3">
        <v>10</v>
      </c>
      <c r="B197" s="37">
        <v>45824</v>
      </c>
      <c r="C197" s="3">
        <v>1</v>
      </c>
      <c r="D197" s="339">
        <v>12500</v>
      </c>
      <c r="E197" s="3" t="s">
        <v>50</v>
      </c>
      <c r="F197" s="335" t="s">
        <v>50</v>
      </c>
      <c r="G197" s="444"/>
      <c r="I197" s="626" t="s">
        <v>534</v>
      </c>
      <c r="J197" s="626"/>
      <c r="K197" s="626"/>
    </row>
    <row r="198" spans="1:12" x14ac:dyDescent="0.3">
      <c r="A198" s="3">
        <v>11</v>
      </c>
      <c r="B198" s="37">
        <v>45830</v>
      </c>
      <c r="C198" s="3">
        <v>1</v>
      </c>
      <c r="D198" s="339">
        <v>12500</v>
      </c>
      <c r="E198" s="3">
        <v>1</v>
      </c>
      <c r="F198" s="333">
        <v>6500</v>
      </c>
      <c r="G198" s="444"/>
      <c r="I198" s="323" t="s">
        <v>326</v>
      </c>
      <c r="J198" s="323" t="s">
        <v>441</v>
      </c>
      <c r="K198" s="323" t="s">
        <v>442</v>
      </c>
    </row>
    <row r="199" spans="1:12" x14ac:dyDescent="0.3">
      <c r="A199" s="3">
        <v>12</v>
      </c>
      <c r="B199" s="37">
        <v>45831</v>
      </c>
      <c r="C199" s="3">
        <v>1</v>
      </c>
      <c r="D199" s="339">
        <v>12500</v>
      </c>
      <c r="E199" s="3">
        <v>1</v>
      </c>
      <c r="F199" s="333">
        <v>6500</v>
      </c>
      <c r="G199" s="444"/>
      <c r="I199" s="3">
        <v>1</v>
      </c>
      <c r="J199" s="236" t="s">
        <v>511</v>
      </c>
      <c r="K199" s="336">
        <f>G82</f>
        <v>587000</v>
      </c>
    </row>
    <row r="200" spans="1:12" x14ac:dyDescent="0.3">
      <c r="A200" s="3">
        <v>13</v>
      </c>
      <c r="B200" s="37">
        <v>45832</v>
      </c>
      <c r="C200" s="3">
        <v>1</v>
      </c>
      <c r="D200" s="339">
        <v>12500</v>
      </c>
      <c r="E200" s="3">
        <v>1</v>
      </c>
      <c r="F200" s="333">
        <v>6500</v>
      </c>
      <c r="G200" s="444"/>
      <c r="I200" s="3">
        <v>2</v>
      </c>
      <c r="J200" s="236" t="s">
        <v>512</v>
      </c>
      <c r="K200" s="336">
        <f>D232</f>
        <v>87500</v>
      </c>
    </row>
    <row r="201" spans="1:12" x14ac:dyDescent="0.3">
      <c r="A201" s="3">
        <v>14</v>
      </c>
      <c r="B201" s="37">
        <v>45833</v>
      </c>
      <c r="C201" s="3">
        <v>1</v>
      </c>
      <c r="D201" s="339">
        <v>12500</v>
      </c>
      <c r="E201" s="3">
        <v>1</v>
      </c>
      <c r="F201" s="333">
        <v>6500</v>
      </c>
      <c r="G201" s="445"/>
      <c r="I201" s="3">
        <v>3</v>
      </c>
      <c r="J201" s="236" t="s">
        <v>513</v>
      </c>
      <c r="K201" s="336">
        <f>G232</f>
        <v>19500</v>
      </c>
    </row>
    <row r="202" spans="1:12" x14ac:dyDescent="0.3">
      <c r="A202" s="3">
        <v>15</v>
      </c>
      <c r="B202" s="37">
        <v>45837</v>
      </c>
      <c r="C202" s="3">
        <v>1</v>
      </c>
      <c r="D202" s="339">
        <v>12500</v>
      </c>
      <c r="E202" s="3" t="s">
        <v>50</v>
      </c>
      <c r="F202" s="335" t="s">
        <v>50</v>
      </c>
      <c r="G202" s="226">
        <v>4000</v>
      </c>
      <c r="I202" s="616" t="s">
        <v>451</v>
      </c>
      <c r="J202" s="616"/>
      <c r="K202" s="338">
        <f>K199+K200+K201</f>
        <v>694000</v>
      </c>
    </row>
    <row r="203" spans="1:12" x14ac:dyDescent="0.3">
      <c r="A203" s="3">
        <v>16</v>
      </c>
      <c r="B203" s="37">
        <v>45844</v>
      </c>
      <c r="C203" s="3">
        <v>1</v>
      </c>
      <c r="D203" s="339">
        <v>12500</v>
      </c>
      <c r="E203" s="3">
        <v>1</v>
      </c>
      <c r="F203" s="237">
        <v>6500</v>
      </c>
      <c r="G203" s="226">
        <v>4000</v>
      </c>
      <c r="I203" s="3" t="s">
        <v>447</v>
      </c>
      <c r="J203" s="13" t="s">
        <v>450</v>
      </c>
      <c r="K203" s="226">
        <f>K80</f>
        <v>705000</v>
      </c>
    </row>
    <row r="204" spans="1:12" x14ac:dyDescent="0.3">
      <c r="A204" s="3">
        <v>17</v>
      </c>
      <c r="B204" s="37">
        <v>45845</v>
      </c>
      <c r="C204" s="3">
        <v>1</v>
      </c>
      <c r="D204" s="339">
        <v>12500</v>
      </c>
      <c r="E204" s="3">
        <v>1</v>
      </c>
      <c r="F204" s="237">
        <v>6500</v>
      </c>
      <c r="G204" s="226">
        <v>4000</v>
      </c>
      <c r="I204" s="3" t="s">
        <v>447</v>
      </c>
      <c r="J204" s="13" t="s">
        <v>448</v>
      </c>
      <c r="K204" s="226">
        <f>H232</f>
        <v>42934</v>
      </c>
    </row>
    <row r="205" spans="1:12" x14ac:dyDescent="0.3">
      <c r="A205" s="3">
        <v>18</v>
      </c>
      <c r="B205" s="37">
        <v>45848</v>
      </c>
      <c r="C205" s="3">
        <v>1</v>
      </c>
      <c r="D205" s="339">
        <v>12500</v>
      </c>
      <c r="E205" s="3">
        <v>1</v>
      </c>
      <c r="F205" s="237">
        <v>6500</v>
      </c>
      <c r="G205" s="226">
        <v>4000</v>
      </c>
      <c r="I205" s="337"/>
      <c r="J205" s="13"/>
      <c r="K205" s="329"/>
    </row>
    <row r="206" spans="1:12" x14ac:dyDescent="0.3">
      <c r="A206" s="3">
        <v>19</v>
      </c>
      <c r="B206" s="37">
        <v>45849</v>
      </c>
      <c r="C206" s="3">
        <v>1</v>
      </c>
      <c r="D206" s="339">
        <v>12500</v>
      </c>
      <c r="E206" s="3">
        <v>1</v>
      </c>
      <c r="F206" s="237">
        <v>6500</v>
      </c>
      <c r="G206" s="226">
        <v>4000</v>
      </c>
      <c r="I206" s="625" t="s">
        <v>574</v>
      </c>
      <c r="J206" s="625"/>
      <c r="K206" s="321">
        <f>K202-K203-K204</f>
        <v>-53934</v>
      </c>
      <c r="L206" s="94"/>
    </row>
    <row r="207" spans="1:12" x14ac:dyDescent="0.3">
      <c r="A207" s="3">
        <v>20</v>
      </c>
      <c r="B207" s="37">
        <v>45853</v>
      </c>
      <c r="C207" s="3">
        <v>1</v>
      </c>
      <c r="D207" s="339">
        <v>12500</v>
      </c>
      <c r="E207" s="3" t="s">
        <v>50</v>
      </c>
      <c r="F207" s="335" t="s">
        <v>50</v>
      </c>
      <c r="G207" s="226">
        <v>4000</v>
      </c>
    </row>
    <row r="208" spans="1:12" ht="15.6" x14ac:dyDescent="0.3">
      <c r="A208" s="3">
        <v>21</v>
      </c>
      <c r="B208" s="37">
        <v>45856</v>
      </c>
      <c r="C208" s="3">
        <v>1</v>
      </c>
      <c r="D208" s="339">
        <v>12500</v>
      </c>
      <c r="E208" s="3">
        <v>1</v>
      </c>
      <c r="F208" s="237">
        <v>6500</v>
      </c>
      <c r="G208" s="226">
        <v>4000</v>
      </c>
      <c r="I208" s="626" t="s">
        <v>478</v>
      </c>
      <c r="J208" s="626"/>
      <c r="K208" s="626"/>
    </row>
    <row r="209" spans="1:11" x14ac:dyDescent="0.3">
      <c r="A209" s="3">
        <v>22</v>
      </c>
      <c r="B209" s="37">
        <v>45857</v>
      </c>
      <c r="C209" s="3">
        <v>0.5</v>
      </c>
      <c r="D209" s="339">
        <f>12500/2</f>
        <v>6250</v>
      </c>
      <c r="E209" s="3">
        <v>0.5</v>
      </c>
      <c r="F209" s="237">
        <f>6500/2</f>
        <v>3250</v>
      </c>
      <c r="G209" s="226">
        <v>4500</v>
      </c>
      <c r="I209" s="323" t="s">
        <v>326</v>
      </c>
      <c r="J209" s="323" t="s">
        <v>441</v>
      </c>
      <c r="K209" s="323" t="s">
        <v>442</v>
      </c>
    </row>
    <row r="210" spans="1:11" x14ac:dyDescent="0.3">
      <c r="A210" s="3">
        <v>23</v>
      </c>
      <c r="B210" s="37">
        <v>45859</v>
      </c>
      <c r="C210" s="3">
        <v>1</v>
      </c>
      <c r="D210" s="339">
        <v>12500</v>
      </c>
      <c r="E210" s="3">
        <v>1</v>
      </c>
      <c r="F210" s="237">
        <v>6500</v>
      </c>
      <c r="G210" s="235" t="s">
        <v>50</v>
      </c>
      <c r="I210" s="3">
        <v>1</v>
      </c>
      <c r="J210" s="236" t="s">
        <v>575</v>
      </c>
      <c r="K210" s="336">
        <f>G183</f>
        <v>1478000</v>
      </c>
    </row>
    <row r="211" spans="1:11" x14ac:dyDescent="0.3">
      <c r="A211" s="3">
        <v>24</v>
      </c>
      <c r="B211" s="37">
        <v>45860</v>
      </c>
      <c r="C211" s="3">
        <v>1</v>
      </c>
      <c r="D211" s="339">
        <v>12500</v>
      </c>
      <c r="E211" s="3">
        <v>1</v>
      </c>
      <c r="F211" s="237">
        <v>6500</v>
      </c>
      <c r="G211" s="226">
        <v>4500</v>
      </c>
      <c r="I211" s="3">
        <v>2</v>
      </c>
      <c r="J211" s="236" t="s">
        <v>512</v>
      </c>
      <c r="K211" s="336">
        <f>D257</f>
        <v>169000</v>
      </c>
    </row>
    <row r="212" spans="1:11" x14ac:dyDescent="0.3">
      <c r="A212" s="3">
        <v>25</v>
      </c>
      <c r="B212" s="37">
        <v>45862</v>
      </c>
      <c r="C212" s="3">
        <v>1</v>
      </c>
      <c r="D212" s="339">
        <v>12500</v>
      </c>
      <c r="E212" s="3" t="s">
        <v>50</v>
      </c>
      <c r="F212" s="335" t="s">
        <v>50</v>
      </c>
      <c r="G212" s="226">
        <v>4000</v>
      </c>
      <c r="I212" s="3">
        <v>3</v>
      </c>
      <c r="J212" s="236" t="s">
        <v>513</v>
      </c>
      <c r="K212" s="336">
        <f>G257</f>
        <v>45500</v>
      </c>
    </row>
    <row r="213" spans="1:11" x14ac:dyDescent="0.3">
      <c r="A213" s="3">
        <v>26</v>
      </c>
      <c r="B213" s="37">
        <v>45866</v>
      </c>
      <c r="C213" s="3">
        <v>1</v>
      </c>
      <c r="D213" s="339">
        <v>12500</v>
      </c>
      <c r="E213" s="3" t="s">
        <v>50</v>
      </c>
      <c r="F213" s="335" t="s">
        <v>50</v>
      </c>
      <c r="G213" s="226">
        <v>4000</v>
      </c>
      <c r="I213" s="616" t="s">
        <v>451</v>
      </c>
      <c r="J213" s="616"/>
      <c r="K213" s="338">
        <f>K210+K211+K212</f>
        <v>1692500</v>
      </c>
    </row>
    <row r="214" spans="1:11" x14ac:dyDescent="0.3">
      <c r="A214" s="3">
        <v>27</v>
      </c>
      <c r="B214" s="37">
        <v>45871</v>
      </c>
      <c r="C214" s="3">
        <v>1</v>
      </c>
      <c r="D214" s="339">
        <v>12500</v>
      </c>
      <c r="E214" s="3">
        <v>1</v>
      </c>
      <c r="F214" s="237">
        <v>6500</v>
      </c>
      <c r="G214" s="226">
        <v>5000</v>
      </c>
      <c r="I214" s="3" t="s">
        <v>447</v>
      </c>
      <c r="J214" s="13" t="s">
        <v>562</v>
      </c>
      <c r="K214" s="226">
        <v>53934</v>
      </c>
    </row>
    <row r="215" spans="1:11" x14ac:dyDescent="0.3">
      <c r="A215" s="3">
        <v>28</v>
      </c>
      <c r="B215" s="37">
        <v>45873</v>
      </c>
      <c r="C215" s="3">
        <v>1</v>
      </c>
      <c r="D215" s="339">
        <v>12500</v>
      </c>
      <c r="E215" s="3" t="s">
        <v>50</v>
      </c>
      <c r="F215" s="335" t="s">
        <v>50</v>
      </c>
      <c r="G215" s="226">
        <v>5000</v>
      </c>
      <c r="I215" s="3" t="s">
        <v>447</v>
      </c>
      <c r="J215" s="13" t="s">
        <v>450</v>
      </c>
      <c r="K215" s="226">
        <f>K183</f>
        <v>1398000</v>
      </c>
    </row>
    <row r="216" spans="1:11" x14ac:dyDescent="0.3">
      <c r="A216" s="3"/>
      <c r="B216" s="37"/>
      <c r="C216" s="3"/>
      <c r="D216" s="339"/>
      <c r="E216" s="3"/>
      <c r="F216" s="335"/>
      <c r="G216" s="226"/>
      <c r="I216" s="3" t="s">
        <v>447</v>
      </c>
      <c r="J216" s="13" t="s">
        <v>448</v>
      </c>
      <c r="K216" s="226">
        <f>H257</f>
        <v>20200</v>
      </c>
    </row>
    <row r="217" spans="1:11" x14ac:dyDescent="0.3">
      <c r="A217" s="623" t="s">
        <v>98</v>
      </c>
      <c r="B217" s="623"/>
      <c r="C217" s="332">
        <f>SUM(C188:C216)</f>
        <v>25.5</v>
      </c>
      <c r="D217" s="334">
        <f>SUM(D188:D216)</f>
        <v>318750</v>
      </c>
      <c r="E217" s="332">
        <f t="shared" ref="E217:F217" si="0">SUM(E188:E214)</f>
        <v>16.5</v>
      </c>
      <c r="F217" s="334">
        <f t="shared" si="0"/>
        <v>111250</v>
      </c>
      <c r="G217" s="301">
        <v>92000</v>
      </c>
      <c r="I217" s="625" t="s">
        <v>573</v>
      </c>
      <c r="J217" s="625"/>
      <c r="K217" s="321">
        <f>K213-K214-K215-K216</f>
        <v>220366</v>
      </c>
    </row>
    <row r="219" spans="1:11" x14ac:dyDescent="0.3">
      <c r="A219" s="621" t="s">
        <v>535</v>
      </c>
      <c r="B219" s="621"/>
      <c r="C219" s="621"/>
      <c r="D219" s="621"/>
      <c r="E219" s="621"/>
      <c r="F219" s="621"/>
      <c r="G219" s="621"/>
      <c r="H219" s="621"/>
      <c r="I219" s="94"/>
    </row>
    <row r="220" spans="1:11" x14ac:dyDescent="0.3">
      <c r="A220" s="621"/>
      <c r="B220" s="621"/>
      <c r="C220" s="621"/>
      <c r="D220" s="621"/>
      <c r="E220" s="621"/>
      <c r="F220" s="621"/>
      <c r="G220" s="621"/>
      <c r="H220" s="621"/>
    </row>
    <row r="221" spans="1:11" x14ac:dyDescent="0.3">
      <c r="A221" s="323" t="s">
        <v>326</v>
      </c>
      <c r="B221" s="323" t="s">
        <v>437</v>
      </c>
      <c r="C221" s="323" t="s">
        <v>455</v>
      </c>
      <c r="D221" s="323" t="s">
        <v>439</v>
      </c>
      <c r="E221" s="323" t="s">
        <v>327</v>
      </c>
      <c r="F221" s="323" t="s">
        <v>456</v>
      </c>
      <c r="G221" s="323" t="s">
        <v>440</v>
      </c>
      <c r="H221" s="323" t="s">
        <v>438</v>
      </c>
    </row>
    <row r="222" spans="1:11" x14ac:dyDescent="0.3">
      <c r="A222" s="3">
        <v>1</v>
      </c>
      <c r="B222" s="2">
        <v>45891</v>
      </c>
      <c r="C222" s="3">
        <v>1</v>
      </c>
      <c r="D222" s="235">
        <v>12500</v>
      </c>
      <c r="E222" s="235"/>
      <c r="F222" s="13"/>
      <c r="G222" s="13"/>
      <c r="H222" s="226">
        <v>4000</v>
      </c>
    </row>
    <row r="223" spans="1:11" x14ac:dyDescent="0.3">
      <c r="A223" s="3">
        <v>2</v>
      </c>
      <c r="B223" s="2">
        <v>45910</v>
      </c>
      <c r="C223" s="3">
        <v>1</v>
      </c>
      <c r="D223" s="235">
        <v>12500</v>
      </c>
      <c r="E223" s="235"/>
      <c r="F223" s="13"/>
      <c r="G223" s="13"/>
      <c r="H223" s="226">
        <v>5000</v>
      </c>
    </row>
    <row r="224" spans="1:11" x14ac:dyDescent="0.3">
      <c r="A224" s="3">
        <v>3</v>
      </c>
      <c r="B224" s="2">
        <v>45928</v>
      </c>
      <c r="C224" s="3">
        <v>1</v>
      </c>
      <c r="D224" s="237">
        <v>12500</v>
      </c>
      <c r="E224" s="339"/>
      <c r="F224" s="13"/>
      <c r="G224" s="13"/>
      <c r="H224" s="226">
        <v>2000</v>
      </c>
    </row>
    <row r="225" spans="1:12" x14ac:dyDescent="0.3">
      <c r="A225" s="3">
        <v>4</v>
      </c>
      <c r="B225" s="2">
        <v>45929</v>
      </c>
      <c r="C225" s="3">
        <v>1</v>
      </c>
      <c r="D225" s="235">
        <v>12500</v>
      </c>
      <c r="E225" s="237"/>
      <c r="F225" s="3">
        <v>1</v>
      </c>
      <c r="G225" s="226">
        <v>6500</v>
      </c>
      <c r="H225" s="226">
        <f>89.7*50</f>
        <v>4485</v>
      </c>
      <c r="J225" s="316">
        <v>45920</v>
      </c>
      <c r="K225" s="23" t="s">
        <v>479</v>
      </c>
      <c r="L225" t="s">
        <v>480</v>
      </c>
    </row>
    <row r="226" spans="1:12" x14ac:dyDescent="0.3">
      <c r="A226" s="3">
        <v>5</v>
      </c>
      <c r="B226" s="2">
        <v>45942</v>
      </c>
      <c r="C226" s="3">
        <v>1</v>
      </c>
      <c r="D226" s="235">
        <v>12500</v>
      </c>
      <c r="E226" s="235"/>
      <c r="F226" s="3">
        <v>1</v>
      </c>
      <c r="G226" s="226">
        <v>6500</v>
      </c>
      <c r="H226" s="226">
        <f>89.7*50</f>
        <v>4485</v>
      </c>
      <c r="J226" s="316">
        <v>45928</v>
      </c>
      <c r="K226" s="23" t="s">
        <v>479</v>
      </c>
      <c r="L226" t="s">
        <v>480</v>
      </c>
    </row>
    <row r="227" spans="1:12" x14ac:dyDescent="0.3">
      <c r="A227" s="3">
        <v>6</v>
      </c>
      <c r="B227" s="2">
        <v>45949</v>
      </c>
      <c r="C227" s="3">
        <v>1</v>
      </c>
      <c r="D227" s="226">
        <v>12500</v>
      </c>
      <c r="E227" s="235"/>
      <c r="F227" s="3">
        <v>1</v>
      </c>
      <c r="G227" s="226">
        <v>6500</v>
      </c>
      <c r="H227" s="226">
        <v>7200</v>
      </c>
      <c r="J227" s="316">
        <v>45929</v>
      </c>
      <c r="K227" s="23" t="s">
        <v>479</v>
      </c>
      <c r="L227" s="23">
        <v>7200</v>
      </c>
    </row>
    <row r="228" spans="1:12" x14ac:dyDescent="0.3">
      <c r="A228" s="3"/>
      <c r="B228" s="2">
        <v>46075</v>
      </c>
      <c r="C228" s="3">
        <v>1</v>
      </c>
      <c r="D228" s="226">
        <v>12500</v>
      </c>
      <c r="E228" s="226"/>
      <c r="F228" s="13"/>
      <c r="G228" s="13"/>
      <c r="H228" s="226">
        <v>5000</v>
      </c>
      <c r="J228" s="316">
        <v>45942</v>
      </c>
      <c r="K228" s="23" t="s">
        <v>479</v>
      </c>
      <c r="L228" t="s">
        <v>491</v>
      </c>
    </row>
    <row r="229" spans="1:12" x14ac:dyDescent="0.3">
      <c r="A229" s="3"/>
      <c r="B229" s="2"/>
      <c r="C229" s="3"/>
      <c r="D229" s="226"/>
      <c r="E229" s="226"/>
      <c r="F229" s="13"/>
      <c r="G229" s="13"/>
      <c r="H229" s="226">
        <f>89.7*70</f>
        <v>6279</v>
      </c>
      <c r="J229" s="316">
        <v>45949</v>
      </c>
      <c r="K229" s="23" t="s">
        <v>479</v>
      </c>
      <c r="L229" t="s">
        <v>480</v>
      </c>
    </row>
    <row r="230" spans="1:12" x14ac:dyDescent="0.3">
      <c r="A230" s="3"/>
      <c r="B230" s="2"/>
      <c r="C230" s="3"/>
      <c r="D230" s="226"/>
      <c r="E230" s="226"/>
      <c r="F230" s="13"/>
      <c r="G230" s="13"/>
      <c r="H230" s="226">
        <f>89.7*50</f>
        <v>4485</v>
      </c>
    </row>
    <row r="231" spans="1:12" x14ac:dyDescent="0.3">
      <c r="A231" s="13"/>
      <c r="B231" s="3"/>
      <c r="C231" s="13"/>
      <c r="D231" s="13"/>
      <c r="E231" s="13"/>
      <c r="F231" s="13"/>
      <c r="G231" s="13"/>
      <c r="H231" s="13"/>
    </row>
    <row r="232" spans="1:12" x14ac:dyDescent="0.3">
      <c r="A232" s="520" t="s">
        <v>98</v>
      </c>
      <c r="B232" s="522"/>
      <c r="C232" s="332">
        <v>6</v>
      </c>
      <c r="D232" s="334">
        <f>SUM(D222:D229)</f>
        <v>87500</v>
      </c>
      <c r="E232" s="334"/>
      <c r="F232" s="332">
        <v>2</v>
      </c>
      <c r="G232" s="319">
        <f>G226+G227+G225</f>
        <v>19500</v>
      </c>
      <c r="H232" s="319">
        <f>SUM(H222:H230)</f>
        <v>42934</v>
      </c>
    </row>
    <row r="235" spans="1:12" x14ac:dyDescent="0.3">
      <c r="A235" s="621" t="s">
        <v>536</v>
      </c>
      <c r="B235" s="621"/>
      <c r="C235" s="621"/>
      <c r="D235" s="621"/>
      <c r="E235" s="621"/>
      <c r="F235" s="621"/>
      <c r="G235" s="621"/>
      <c r="H235" s="621"/>
    </row>
    <row r="236" spans="1:12" x14ac:dyDescent="0.3">
      <c r="A236" s="621"/>
      <c r="B236" s="621"/>
      <c r="C236" s="621"/>
      <c r="D236" s="621"/>
      <c r="E236" s="621"/>
      <c r="F236" s="621"/>
      <c r="G236" s="621"/>
      <c r="H236" s="621"/>
    </row>
    <row r="237" spans="1:12" x14ac:dyDescent="0.3">
      <c r="A237" s="323" t="s">
        <v>326</v>
      </c>
      <c r="B237" s="323" t="s">
        <v>437</v>
      </c>
      <c r="C237" s="323" t="s">
        <v>455</v>
      </c>
      <c r="D237" s="323" t="s">
        <v>439</v>
      </c>
      <c r="E237" s="323" t="s">
        <v>493</v>
      </c>
      <c r="F237" s="323" t="s">
        <v>456</v>
      </c>
      <c r="G237" s="323" t="s">
        <v>440</v>
      </c>
      <c r="H237" s="323" t="s">
        <v>438</v>
      </c>
    </row>
    <row r="238" spans="1:12" x14ac:dyDescent="0.3">
      <c r="A238" s="3">
        <v>1</v>
      </c>
      <c r="B238" s="2">
        <v>45968</v>
      </c>
      <c r="C238" s="3">
        <v>1</v>
      </c>
      <c r="D238" s="235">
        <v>12500</v>
      </c>
      <c r="E238" s="366">
        <v>45979</v>
      </c>
      <c r="F238" s="3">
        <v>1</v>
      </c>
      <c r="G238" s="226">
        <v>6500</v>
      </c>
      <c r="H238" s="226">
        <v>4000</v>
      </c>
    </row>
    <row r="239" spans="1:12" x14ac:dyDescent="0.3">
      <c r="A239" s="3">
        <v>2</v>
      </c>
      <c r="B239" s="2">
        <v>45979</v>
      </c>
      <c r="C239" s="3">
        <v>1</v>
      </c>
      <c r="D239" s="235">
        <v>8500</v>
      </c>
      <c r="E239" s="366">
        <v>45984</v>
      </c>
      <c r="F239" s="3">
        <v>1</v>
      </c>
      <c r="G239" s="226">
        <v>6500</v>
      </c>
      <c r="H239" s="226">
        <v>4500</v>
      </c>
    </row>
    <row r="240" spans="1:12" x14ac:dyDescent="0.3">
      <c r="A240" s="3">
        <v>3</v>
      </c>
      <c r="B240" s="2">
        <v>45980</v>
      </c>
      <c r="C240" s="3">
        <v>1</v>
      </c>
      <c r="D240" s="237">
        <v>12500</v>
      </c>
      <c r="E240" s="367">
        <v>46003</v>
      </c>
      <c r="F240" s="3">
        <v>2</v>
      </c>
      <c r="G240" s="226">
        <v>13000</v>
      </c>
      <c r="H240" s="226">
        <v>7200</v>
      </c>
    </row>
    <row r="241" spans="1:8" x14ac:dyDescent="0.3">
      <c r="A241" s="3">
        <v>4</v>
      </c>
      <c r="B241" s="2">
        <v>45984</v>
      </c>
      <c r="C241" s="3">
        <v>1</v>
      </c>
      <c r="D241" s="235">
        <v>12500</v>
      </c>
      <c r="E241" s="367">
        <v>46038</v>
      </c>
      <c r="F241" s="3">
        <v>1</v>
      </c>
      <c r="G241" s="226">
        <v>6500</v>
      </c>
      <c r="H241" s="226">
        <v>4500</v>
      </c>
    </row>
    <row r="242" spans="1:8" x14ac:dyDescent="0.3">
      <c r="A242" s="3">
        <v>5</v>
      </c>
      <c r="B242" s="2">
        <v>45986</v>
      </c>
      <c r="C242" s="3">
        <v>1</v>
      </c>
      <c r="D242" s="235">
        <v>12500</v>
      </c>
      <c r="E242" s="366">
        <v>46044</v>
      </c>
      <c r="F242" s="3">
        <v>1</v>
      </c>
      <c r="G242" s="226">
        <v>6500</v>
      </c>
      <c r="H242" s="13"/>
    </row>
    <row r="243" spans="1:8" x14ac:dyDescent="0.3">
      <c r="A243" s="3">
        <v>6</v>
      </c>
      <c r="B243" s="2">
        <v>46001</v>
      </c>
      <c r="C243" s="3">
        <v>1</v>
      </c>
      <c r="D243" s="226">
        <v>8500</v>
      </c>
      <c r="E243" s="366">
        <v>46054</v>
      </c>
      <c r="F243" s="3">
        <v>1</v>
      </c>
      <c r="G243" s="226">
        <v>6500</v>
      </c>
      <c r="H243" s="226"/>
    </row>
    <row r="244" spans="1:8" x14ac:dyDescent="0.3">
      <c r="A244" s="3">
        <v>7</v>
      </c>
      <c r="B244" s="2">
        <v>46003</v>
      </c>
      <c r="C244" s="3">
        <v>1</v>
      </c>
      <c r="D244" s="226">
        <v>8500</v>
      </c>
      <c r="E244" s="226"/>
      <c r="F244" s="13"/>
      <c r="G244" s="13"/>
      <c r="H244" s="226"/>
    </row>
    <row r="245" spans="1:8" x14ac:dyDescent="0.3">
      <c r="A245" s="3">
        <v>8</v>
      </c>
      <c r="B245" s="2">
        <v>46004</v>
      </c>
      <c r="C245" s="3">
        <v>1</v>
      </c>
      <c r="D245" s="226">
        <v>8500</v>
      </c>
      <c r="E245" s="226"/>
      <c r="F245" s="13"/>
      <c r="G245" s="13"/>
      <c r="H245" s="226"/>
    </row>
    <row r="246" spans="1:8" x14ac:dyDescent="0.3">
      <c r="A246" s="3">
        <v>9</v>
      </c>
      <c r="B246" s="2">
        <v>46026</v>
      </c>
      <c r="C246" s="3">
        <v>1</v>
      </c>
      <c r="D246" s="226">
        <v>8500</v>
      </c>
      <c r="E246" s="226"/>
      <c r="F246" s="13"/>
      <c r="G246" s="13"/>
      <c r="H246" s="226"/>
    </row>
    <row r="247" spans="1:8" x14ac:dyDescent="0.3">
      <c r="A247" s="3">
        <v>10</v>
      </c>
      <c r="B247" s="2">
        <v>46028</v>
      </c>
      <c r="C247" s="3">
        <v>1</v>
      </c>
      <c r="D247" s="226">
        <v>8500</v>
      </c>
      <c r="E247" s="226"/>
      <c r="F247" s="13"/>
      <c r="G247" s="13"/>
      <c r="H247" s="226"/>
    </row>
    <row r="248" spans="1:8" x14ac:dyDescent="0.3">
      <c r="A248" s="3">
        <v>11</v>
      </c>
      <c r="B248" s="2">
        <v>46030</v>
      </c>
      <c r="C248" s="3">
        <v>1</v>
      </c>
      <c r="D248" s="226">
        <v>8500</v>
      </c>
      <c r="E248" s="226"/>
      <c r="F248" s="13"/>
      <c r="G248" s="13"/>
      <c r="H248" s="226"/>
    </row>
    <row r="249" spans="1:8" x14ac:dyDescent="0.3">
      <c r="A249" s="3">
        <v>12</v>
      </c>
      <c r="B249" s="2">
        <v>46034</v>
      </c>
      <c r="C249" s="3">
        <v>1</v>
      </c>
      <c r="D249" s="226">
        <v>8500</v>
      </c>
      <c r="E249" s="226"/>
      <c r="F249" s="13"/>
      <c r="G249" s="13"/>
      <c r="H249" s="226"/>
    </row>
    <row r="250" spans="1:8" x14ac:dyDescent="0.3">
      <c r="A250" s="3">
        <v>13</v>
      </c>
      <c r="B250" s="2">
        <v>46036</v>
      </c>
      <c r="C250" s="3">
        <v>1</v>
      </c>
      <c r="D250" s="226">
        <v>8500</v>
      </c>
      <c r="E250" s="226"/>
      <c r="F250" s="13"/>
      <c r="G250" s="13"/>
      <c r="H250" s="226"/>
    </row>
    <row r="251" spans="1:8" x14ac:dyDescent="0.3">
      <c r="A251" s="3">
        <v>14</v>
      </c>
      <c r="B251" s="2">
        <v>46038</v>
      </c>
      <c r="C251" s="3">
        <v>1</v>
      </c>
      <c r="D251" s="226">
        <v>8500</v>
      </c>
      <c r="E251" s="226"/>
      <c r="F251" s="13"/>
      <c r="G251" s="13"/>
      <c r="H251" s="226"/>
    </row>
    <row r="252" spans="1:8" x14ac:dyDescent="0.3">
      <c r="A252" s="3">
        <v>15</v>
      </c>
      <c r="B252" s="2">
        <v>46043</v>
      </c>
      <c r="C252" s="3">
        <v>1</v>
      </c>
      <c r="D252" s="226">
        <v>8500</v>
      </c>
      <c r="E252" s="226"/>
      <c r="F252" s="13"/>
      <c r="G252" s="13"/>
      <c r="H252" s="226"/>
    </row>
    <row r="253" spans="1:8" x14ac:dyDescent="0.3">
      <c r="A253" s="3">
        <v>16</v>
      </c>
      <c r="B253" s="2">
        <v>46044</v>
      </c>
      <c r="C253" s="3">
        <v>1</v>
      </c>
      <c r="D253" s="226">
        <v>8500</v>
      </c>
      <c r="E253" s="226"/>
      <c r="F253" s="13"/>
      <c r="G253" s="13"/>
      <c r="H253" s="226"/>
    </row>
    <row r="254" spans="1:8" x14ac:dyDescent="0.3">
      <c r="A254" s="3">
        <v>17</v>
      </c>
      <c r="B254" s="2">
        <v>46046</v>
      </c>
      <c r="C254" s="3">
        <v>1</v>
      </c>
      <c r="D254" s="226">
        <v>8500</v>
      </c>
      <c r="E254" s="226"/>
      <c r="F254" s="13"/>
      <c r="G254" s="13"/>
      <c r="H254" s="226"/>
    </row>
    <row r="255" spans="1:8" x14ac:dyDescent="0.3">
      <c r="A255" s="3">
        <v>18</v>
      </c>
      <c r="B255" s="2">
        <v>46054</v>
      </c>
      <c r="C255" s="3">
        <v>1</v>
      </c>
      <c r="D255" s="226">
        <v>8500</v>
      </c>
      <c r="E255" s="226"/>
      <c r="F255" s="13"/>
      <c r="G255" s="13"/>
      <c r="H255" s="226"/>
    </row>
    <row r="256" spans="1:8" x14ac:dyDescent="0.3">
      <c r="A256" s="13"/>
      <c r="B256" s="3"/>
      <c r="C256" s="13"/>
      <c r="D256" s="13"/>
      <c r="E256" s="13"/>
      <c r="F256" s="13"/>
      <c r="G256" s="13"/>
      <c r="H256" s="13"/>
    </row>
    <row r="257" spans="1:8" x14ac:dyDescent="0.3">
      <c r="A257" s="520" t="s">
        <v>98</v>
      </c>
      <c r="B257" s="522"/>
      <c r="C257" s="332">
        <f>SUM(C238:C256)</f>
        <v>18</v>
      </c>
      <c r="D257" s="334">
        <f>SUM(D238:D255)</f>
        <v>169000</v>
      </c>
      <c r="E257" s="334"/>
      <c r="F257" s="351">
        <f>SUM(F238:F256)</f>
        <v>7</v>
      </c>
      <c r="G257" s="319">
        <f>SUM(G238:G246)</f>
        <v>45500</v>
      </c>
      <c r="H257" s="319">
        <f>SUM(H238:H246)</f>
        <v>20200</v>
      </c>
    </row>
  </sheetData>
  <mergeCells count="25">
    <mergeCell ref="I183:J183"/>
    <mergeCell ref="A232:B232"/>
    <mergeCell ref="I197:K197"/>
    <mergeCell ref="I202:J202"/>
    <mergeCell ref="I206:J206"/>
    <mergeCell ref="A219:H220"/>
    <mergeCell ref="I208:K208"/>
    <mergeCell ref="I213:J213"/>
    <mergeCell ref="I217:J217"/>
    <mergeCell ref="A235:H236"/>
    <mergeCell ref="A257:B257"/>
    <mergeCell ref="A2:K2"/>
    <mergeCell ref="A217:B217"/>
    <mergeCell ref="G188:G201"/>
    <mergeCell ref="A185:G186"/>
    <mergeCell ref="I46:J46"/>
    <mergeCell ref="I190:J190"/>
    <mergeCell ref="I194:J194"/>
    <mergeCell ref="I185:K185"/>
    <mergeCell ref="A184:K184"/>
    <mergeCell ref="A45:F45"/>
    <mergeCell ref="A46:G46"/>
    <mergeCell ref="A183:F183"/>
    <mergeCell ref="A84:G84"/>
    <mergeCell ref="A82:F82"/>
  </mergeCells>
  <pageMargins left="0.7" right="0.7" top="0.75" bottom="0.75" header="0.3" footer="0.3"/>
  <pageSetup scale="40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02"/>
  <sheetViews>
    <sheetView topLeftCell="D59" zoomScaleNormal="100" workbookViewId="0">
      <selection activeCell="G64" sqref="G64:G99"/>
    </sheetView>
  </sheetViews>
  <sheetFormatPr defaultColWidth="9.109375" defaultRowHeight="14.4" x14ac:dyDescent="0.3"/>
  <cols>
    <col min="2" max="2" width="10.88671875" bestFit="1" customWidth="1"/>
    <col min="3" max="3" width="23.44140625" bestFit="1" customWidth="1"/>
    <col min="6" max="7" width="14.33203125" bestFit="1" customWidth="1"/>
    <col min="8" max="8" width="23.44140625" bestFit="1" customWidth="1"/>
    <col min="9" max="9" width="15.5546875" bestFit="1" customWidth="1"/>
    <col min="10" max="10" width="12" bestFit="1" customWidth="1"/>
    <col min="11" max="11" width="2.88671875" customWidth="1"/>
    <col min="13" max="13" width="11" bestFit="1" customWidth="1"/>
    <col min="14" max="14" width="13.5546875" bestFit="1" customWidth="1"/>
    <col min="15" max="15" width="9.5546875" bestFit="1" customWidth="1"/>
    <col min="16" max="16" width="1.88671875" customWidth="1"/>
    <col min="17" max="17" width="23.33203125" bestFit="1" customWidth="1"/>
    <col min="18" max="18" width="16" customWidth="1"/>
    <col min="19" max="19" width="12" bestFit="1" customWidth="1"/>
  </cols>
  <sheetData>
    <row r="1" spans="1:19" ht="21.6" thickBot="1" x14ac:dyDescent="0.45">
      <c r="A1" s="566" t="s">
        <v>168</v>
      </c>
      <c r="B1" s="567"/>
      <c r="C1" s="567"/>
      <c r="D1" s="567"/>
      <c r="E1" s="567"/>
      <c r="F1" s="567"/>
      <c r="G1" s="567"/>
      <c r="H1" s="567"/>
      <c r="I1" s="567"/>
      <c r="J1" s="568"/>
    </row>
    <row r="2" spans="1:19" ht="18" thickBot="1" x14ac:dyDescent="0.5">
      <c r="A2" s="142" t="s">
        <v>167</v>
      </c>
      <c r="B2" s="143" t="s">
        <v>2</v>
      </c>
      <c r="C2" s="143" t="s">
        <v>137</v>
      </c>
      <c r="D2" s="143" t="s">
        <v>6</v>
      </c>
      <c r="E2" s="143" t="s">
        <v>7</v>
      </c>
      <c r="F2" s="143" t="s">
        <v>126</v>
      </c>
      <c r="G2" s="143" t="s">
        <v>169</v>
      </c>
      <c r="H2" s="143" t="s">
        <v>172</v>
      </c>
      <c r="I2" s="143" t="s">
        <v>127</v>
      </c>
      <c r="J2" s="144" t="s">
        <v>125</v>
      </c>
      <c r="L2" s="547" t="s">
        <v>283</v>
      </c>
      <c r="M2" s="548"/>
      <c r="N2" s="548"/>
      <c r="O2" s="549"/>
      <c r="Q2" s="553" t="s">
        <v>286</v>
      </c>
      <c r="R2" s="554"/>
    </row>
    <row r="3" spans="1:19" x14ac:dyDescent="0.3">
      <c r="A3" s="16">
        <v>1</v>
      </c>
      <c r="B3" s="16" t="s">
        <v>170</v>
      </c>
      <c r="C3" s="16" t="s">
        <v>171</v>
      </c>
      <c r="D3" s="16">
        <v>3000</v>
      </c>
      <c r="E3" s="16" t="s">
        <v>32</v>
      </c>
      <c r="F3" s="16">
        <v>43500</v>
      </c>
      <c r="G3" s="16"/>
      <c r="H3" s="16"/>
      <c r="I3" s="91"/>
      <c r="J3" s="295"/>
      <c r="L3" s="208" t="s">
        <v>326</v>
      </c>
      <c r="M3" s="209" t="s">
        <v>2</v>
      </c>
      <c r="N3" s="209" t="s">
        <v>291</v>
      </c>
      <c r="O3" s="210" t="s">
        <v>327</v>
      </c>
      <c r="Q3" s="88" t="s">
        <v>284</v>
      </c>
      <c r="R3" s="211">
        <v>366200</v>
      </c>
    </row>
    <row r="4" spans="1:19" x14ac:dyDescent="0.3">
      <c r="A4" s="3">
        <v>2</v>
      </c>
      <c r="B4" s="3" t="s">
        <v>170</v>
      </c>
      <c r="C4" s="3" t="s">
        <v>173</v>
      </c>
      <c r="D4" s="3">
        <v>853</v>
      </c>
      <c r="E4" s="3" t="s">
        <v>82</v>
      </c>
      <c r="F4" s="3">
        <v>58857</v>
      </c>
      <c r="G4" s="3"/>
      <c r="H4" s="3"/>
      <c r="I4" s="13"/>
      <c r="J4" s="237"/>
      <c r="L4" s="7">
        <v>1</v>
      </c>
      <c r="M4" s="4" t="s">
        <v>271</v>
      </c>
      <c r="N4" s="206">
        <v>50000</v>
      </c>
      <c r="O4" s="207" t="s">
        <v>273</v>
      </c>
      <c r="Q4" s="39" t="s">
        <v>285</v>
      </c>
      <c r="R4" s="212">
        <v>512847</v>
      </c>
    </row>
    <row r="5" spans="1:19" ht="18" thickBot="1" x14ac:dyDescent="0.5">
      <c r="A5" s="3">
        <v>3</v>
      </c>
      <c r="B5" s="3" t="s">
        <v>165</v>
      </c>
      <c r="C5" s="3" t="s">
        <v>178</v>
      </c>
      <c r="D5" s="3">
        <v>600</v>
      </c>
      <c r="E5" s="3" t="s">
        <v>32</v>
      </c>
      <c r="F5" s="3">
        <v>57000</v>
      </c>
      <c r="G5" s="3"/>
      <c r="H5" s="3"/>
      <c r="I5" s="13"/>
      <c r="J5" s="237"/>
      <c r="K5" s="141"/>
      <c r="L5" s="7">
        <v>2</v>
      </c>
      <c r="M5" s="4" t="s">
        <v>272</v>
      </c>
      <c r="N5" s="206">
        <v>150000</v>
      </c>
      <c r="O5" s="207" t="s">
        <v>273</v>
      </c>
      <c r="Q5" s="87" t="s">
        <v>367</v>
      </c>
      <c r="R5" s="213">
        <f>327189+24150+3780+26000+F37+F38+F41+F42+F44+F46+F47+F48+F45+F50+F52+F53+F55</f>
        <v>677057</v>
      </c>
    </row>
    <row r="6" spans="1:19" ht="18" thickBot="1" x14ac:dyDescent="0.5">
      <c r="A6" s="16">
        <v>4</v>
      </c>
      <c r="B6" s="13" t="s">
        <v>214</v>
      </c>
      <c r="C6" s="562" t="s">
        <v>213</v>
      </c>
      <c r="D6" s="562"/>
      <c r="E6" s="562"/>
      <c r="F6" s="562"/>
      <c r="G6" s="562"/>
      <c r="H6" s="562"/>
      <c r="I6" s="563"/>
      <c r="J6" s="237">
        <v>50000</v>
      </c>
      <c r="K6" s="141"/>
      <c r="L6" s="7">
        <v>3</v>
      </c>
      <c r="M6" s="4" t="s">
        <v>274</v>
      </c>
      <c r="N6" s="206">
        <v>100000</v>
      </c>
      <c r="O6" s="207" t="s">
        <v>275</v>
      </c>
      <c r="Q6" s="204" t="s">
        <v>287</v>
      </c>
      <c r="R6" s="214">
        <f>SUM(R3:R5)</f>
        <v>1556104</v>
      </c>
      <c r="S6" s="94"/>
    </row>
    <row r="7" spans="1:19" ht="15" thickBot="1" x14ac:dyDescent="0.35">
      <c r="A7" s="3">
        <v>5</v>
      </c>
      <c r="B7" s="3" t="s">
        <v>179</v>
      </c>
      <c r="C7" s="3" t="s">
        <v>173</v>
      </c>
      <c r="D7" s="3">
        <v>558.70000000000005</v>
      </c>
      <c r="E7" s="3" t="s">
        <v>82</v>
      </c>
      <c r="F7" s="3">
        <v>38550</v>
      </c>
      <c r="G7" s="3"/>
      <c r="H7" s="3"/>
      <c r="I7" s="13"/>
      <c r="J7" s="237"/>
      <c r="L7" s="7">
        <v>4</v>
      </c>
      <c r="M7" s="4" t="s">
        <v>276</v>
      </c>
      <c r="N7" s="206">
        <v>55000</v>
      </c>
      <c r="O7" s="207" t="s">
        <v>273</v>
      </c>
      <c r="Q7" s="205" t="s">
        <v>328</v>
      </c>
      <c r="R7" s="215">
        <v>10200</v>
      </c>
      <c r="S7" s="231"/>
    </row>
    <row r="8" spans="1:19" ht="15" thickBot="1" x14ac:dyDescent="0.35">
      <c r="A8" s="3">
        <v>6</v>
      </c>
      <c r="B8" s="13" t="s">
        <v>211</v>
      </c>
      <c r="C8" s="558" t="s">
        <v>213</v>
      </c>
      <c r="D8" s="559"/>
      <c r="E8" s="559"/>
      <c r="F8" s="559"/>
      <c r="G8" s="559"/>
      <c r="H8" s="559"/>
      <c r="I8" s="560"/>
      <c r="J8" s="237">
        <v>50000</v>
      </c>
      <c r="L8" s="7">
        <v>5</v>
      </c>
      <c r="M8" s="4" t="s">
        <v>279</v>
      </c>
      <c r="N8" s="206">
        <v>90200</v>
      </c>
      <c r="O8" s="207" t="s">
        <v>280</v>
      </c>
      <c r="Q8" s="216" t="s">
        <v>403</v>
      </c>
      <c r="R8" s="217">
        <f>R6-N28-R7</f>
        <v>-1296</v>
      </c>
    </row>
    <row r="9" spans="1:19" x14ac:dyDescent="0.3">
      <c r="A9" s="16">
        <v>7</v>
      </c>
      <c r="B9" s="13" t="s">
        <v>242</v>
      </c>
      <c r="C9" s="558" t="s">
        <v>213</v>
      </c>
      <c r="D9" s="559"/>
      <c r="E9" s="559"/>
      <c r="F9" s="559"/>
      <c r="G9" s="559"/>
      <c r="H9" s="559"/>
      <c r="I9" s="560"/>
      <c r="J9" s="237">
        <v>100000</v>
      </c>
      <c r="L9" s="7">
        <v>6</v>
      </c>
      <c r="M9" s="4" t="s">
        <v>277</v>
      </c>
      <c r="N9" s="206">
        <v>50000</v>
      </c>
      <c r="O9" s="207" t="s">
        <v>273</v>
      </c>
    </row>
    <row r="10" spans="1:19" x14ac:dyDescent="0.3">
      <c r="A10" s="3">
        <v>8</v>
      </c>
      <c r="B10" s="3" t="s">
        <v>222</v>
      </c>
      <c r="C10" s="3" t="s">
        <v>173</v>
      </c>
      <c r="D10" s="3">
        <v>585</v>
      </c>
      <c r="E10" s="3" t="s">
        <v>82</v>
      </c>
      <c r="F10" s="3">
        <v>44520</v>
      </c>
      <c r="G10" s="3"/>
      <c r="H10" s="3"/>
      <c r="I10" s="13"/>
      <c r="J10" s="237"/>
      <c r="L10" s="7">
        <v>7</v>
      </c>
      <c r="M10" s="4" t="s">
        <v>278</v>
      </c>
      <c r="N10" s="206">
        <v>30000</v>
      </c>
      <c r="O10" s="207" t="s">
        <v>280</v>
      </c>
    </row>
    <row r="11" spans="1:19" x14ac:dyDescent="0.3">
      <c r="A11" s="3">
        <v>9</v>
      </c>
      <c r="B11" s="3" t="s">
        <v>223</v>
      </c>
      <c r="C11" s="3" t="s">
        <v>30</v>
      </c>
      <c r="D11" s="3">
        <v>2000</v>
      </c>
      <c r="E11" s="3" t="s">
        <v>32</v>
      </c>
      <c r="F11" s="3">
        <v>31200</v>
      </c>
      <c r="G11" s="3"/>
      <c r="H11" s="3"/>
      <c r="I11" s="13"/>
      <c r="J11" s="237"/>
      <c r="L11" s="7">
        <v>8</v>
      </c>
      <c r="M11" s="4" t="s">
        <v>281</v>
      </c>
      <c r="N11" s="206">
        <v>50000</v>
      </c>
      <c r="O11" s="207" t="s">
        <v>280</v>
      </c>
    </row>
    <row r="12" spans="1:19" ht="15" customHeight="1" x14ac:dyDescent="0.3">
      <c r="A12" s="558"/>
      <c r="B12" s="559"/>
      <c r="C12" s="559"/>
      <c r="D12" s="559"/>
      <c r="E12" s="559"/>
      <c r="F12" s="559"/>
      <c r="G12" s="559"/>
      <c r="H12" s="559"/>
      <c r="I12" s="559"/>
      <c r="J12" s="560"/>
      <c r="L12" s="7">
        <v>9</v>
      </c>
      <c r="M12" s="4" t="s">
        <v>282</v>
      </c>
      <c r="N12" s="206">
        <v>50000</v>
      </c>
      <c r="O12" s="207" t="s">
        <v>280</v>
      </c>
    </row>
    <row r="13" spans="1:19" x14ac:dyDescent="0.3">
      <c r="L13" s="7">
        <v>10</v>
      </c>
      <c r="M13" s="4" t="s">
        <v>211</v>
      </c>
      <c r="N13" s="206">
        <v>50000</v>
      </c>
      <c r="O13" s="207" t="s">
        <v>280</v>
      </c>
    </row>
    <row r="14" spans="1:19" x14ac:dyDescent="0.3">
      <c r="A14" s="3">
        <v>10</v>
      </c>
      <c r="B14" s="3" t="s">
        <v>246</v>
      </c>
      <c r="C14" s="558" t="s">
        <v>213</v>
      </c>
      <c r="D14" s="559"/>
      <c r="E14" s="559"/>
      <c r="F14" s="559"/>
      <c r="G14" s="559"/>
      <c r="H14" s="559"/>
      <c r="I14" s="560"/>
      <c r="J14" s="237">
        <v>50000</v>
      </c>
      <c r="L14" s="7">
        <v>11</v>
      </c>
      <c r="M14" s="4" t="s">
        <v>242</v>
      </c>
      <c r="N14" s="206">
        <v>50000</v>
      </c>
      <c r="O14" s="207" t="s">
        <v>273</v>
      </c>
    </row>
    <row r="15" spans="1:19" x14ac:dyDescent="0.3">
      <c r="A15" s="3">
        <v>11</v>
      </c>
      <c r="B15" s="3" t="s">
        <v>244</v>
      </c>
      <c r="C15" s="569" t="s">
        <v>396</v>
      </c>
      <c r="D15" s="570"/>
      <c r="E15" s="570"/>
      <c r="F15" s="570"/>
      <c r="G15" s="570"/>
      <c r="H15" s="570"/>
      <c r="I15" s="571"/>
      <c r="J15" s="237">
        <v>42000</v>
      </c>
      <c r="L15" s="7">
        <v>12</v>
      </c>
      <c r="M15" s="4" t="s">
        <v>242</v>
      </c>
      <c r="N15" s="206">
        <v>50000</v>
      </c>
      <c r="O15" s="207" t="s">
        <v>280</v>
      </c>
      <c r="Q15" t="s">
        <v>340</v>
      </c>
    </row>
    <row r="16" spans="1:19" x14ac:dyDescent="0.3">
      <c r="A16" s="558"/>
      <c r="B16" s="559"/>
      <c r="C16" s="559"/>
      <c r="D16" s="559"/>
      <c r="E16" s="559"/>
      <c r="F16" s="559"/>
      <c r="G16" s="559"/>
      <c r="H16" s="559"/>
      <c r="I16" s="559"/>
      <c r="J16" s="560"/>
      <c r="L16" s="7">
        <v>13</v>
      </c>
      <c r="M16" s="4" t="s">
        <v>246</v>
      </c>
      <c r="N16" s="206">
        <v>50000</v>
      </c>
      <c r="O16" s="207" t="s">
        <v>273</v>
      </c>
    </row>
    <row r="17" spans="1:15" x14ac:dyDescent="0.3">
      <c r="A17" s="227">
        <v>1</v>
      </c>
      <c r="B17" s="199" t="s">
        <v>240</v>
      </c>
      <c r="C17" s="199" t="s">
        <v>241</v>
      </c>
      <c r="D17" s="199">
        <v>50</v>
      </c>
      <c r="E17" s="199" t="s">
        <v>175</v>
      </c>
      <c r="F17" s="199">
        <v>23850</v>
      </c>
      <c r="G17" s="199"/>
      <c r="H17" s="199"/>
      <c r="I17" s="200"/>
      <c r="J17" s="296"/>
      <c r="L17" s="7">
        <v>14</v>
      </c>
      <c r="M17" s="4" t="s">
        <v>244</v>
      </c>
      <c r="N17" s="206">
        <v>42000</v>
      </c>
      <c r="O17" s="207" t="s">
        <v>280</v>
      </c>
    </row>
    <row r="18" spans="1:15" x14ac:dyDescent="0.3">
      <c r="A18" s="16">
        <v>2</v>
      </c>
      <c r="B18" s="3" t="s">
        <v>244</v>
      </c>
      <c r="C18" s="3" t="s">
        <v>395</v>
      </c>
      <c r="D18" s="3">
        <v>50</v>
      </c>
      <c r="E18" s="3" t="s">
        <v>175</v>
      </c>
      <c r="F18" s="3">
        <v>29254</v>
      </c>
      <c r="G18" s="3"/>
      <c r="H18" s="3"/>
      <c r="I18" s="13"/>
      <c r="J18" s="237"/>
      <c r="L18" s="7">
        <v>15</v>
      </c>
      <c r="M18" s="4" t="s">
        <v>251</v>
      </c>
      <c r="N18" s="206">
        <v>75000</v>
      </c>
      <c r="O18" s="207" t="s">
        <v>273</v>
      </c>
    </row>
    <row r="19" spans="1:15" x14ac:dyDescent="0.3">
      <c r="A19" s="3">
        <v>3</v>
      </c>
      <c r="B19" s="3" t="s">
        <v>247</v>
      </c>
      <c r="C19" s="3" t="s">
        <v>270</v>
      </c>
      <c r="D19" s="3">
        <v>50</v>
      </c>
      <c r="E19" s="3" t="s">
        <v>269</v>
      </c>
      <c r="F19" s="3">
        <v>23850</v>
      </c>
      <c r="G19" s="3"/>
      <c r="H19" s="3"/>
      <c r="I19" s="13"/>
      <c r="J19" s="237"/>
      <c r="L19" s="7">
        <v>16</v>
      </c>
      <c r="M19" s="4" t="s">
        <v>288</v>
      </c>
      <c r="N19" s="206">
        <v>70000</v>
      </c>
      <c r="O19" s="207" t="s">
        <v>273</v>
      </c>
    </row>
    <row r="20" spans="1:15" x14ac:dyDescent="0.3">
      <c r="A20" s="16">
        <v>4</v>
      </c>
      <c r="B20" s="3" t="s">
        <v>248</v>
      </c>
      <c r="C20" s="3" t="s">
        <v>174</v>
      </c>
      <c r="D20" s="3">
        <v>50</v>
      </c>
      <c r="E20" s="3" t="s">
        <v>175</v>
      </c>
      <c r="F20" s="3">
        <v>24100</v>
      </c>
      <c r="G20" s="3"/>
      <c r="H20" s="3"/>
      <c r="I20" s="13"/>
      <c r="J20" s="237"/>
      <c r="L20" s="7">
        <v>17</v>
      </c>
      <c r="M20" s="8">
        <v>45742</v>
      </c>
      <c r="N20" s="206">
        <v>75000</v>
      </c>
      <c r="O20" s="207" t="s">
        <v>273</v>
      </c>
    </row>
    <row r="21" spans="1:15" x14ac:dyDescent="0.3">
      <c r="A21" s="16">
        <v>5</v>
      </c>
      <c r="B21" s="3" t="s">
        <v>250</v>
      </c>
      <c r="C21" s="3" t="s">
        <v>174</v>
      </c>
      <c r="D21" s="3">
        <v>50</v>
      </c>
      <c r="E21" s="3" t="s">
        <v>175</v>
      </c>
      <c r="F21" s="3">
        <v>24100</v>
      </c>
      <c r="G21" s="3"/>
      <c r="H21" s="3"/>
      <c r="I21" s="13"/>
      <c r="J21" s="237"/>
      <c r="L21" s="72">
        <v>18</v>
      </c>
      <c r="M21" s="8">
        <v>45755</v>
      </c>
      <c r="N21" s="218">
        <v>100000</v>
      </c>
      <c r="O21" s="207" t="s">
        <v>280</v>
      </c>
    </row>
    <row r="22" spans="1:15" x14ac:dyDescent="0.3">
      <c r="A22" s="3">
        <v>6</v>
      </c>
      <c r="B22" s="3" t="s">
        <v>251</v>
      </c>
      <c r="C22" s="558" t="s">
        <v>213</v>
      </c>
      <c r="D22" s="559"/>
      <c r="E22" s="559"/>
      <c r="F22" s="559"/>
      <c r="G22" s="559"/>
      <c r="H22" s="559"/>
      <c r="I22" s="560"/>
      <c r="J22" s="237">
        <v>75000</v>
      </c>
      <c r="L22" s="7">
        <v>19</v>
      </c>
      <c r="M22" s="8">
        <v>45765</v>
      </c>
      <c r="N22" s="232">
        <v>40000</v>
      </c>
      <c r="O22" s="207" t="s">
        <v>280</v>
      </c>
    </row>
    <row r="23" spans="1:15" x14ac:dyDescent="0.3">
      <c r="A23" s="16">
        <v>7</v>
      </c>
      <c r="B23" s="3" t="s">
        <v>251</v>
      </c>
      <c r="C23" s="3" t="s">
        <v>174</v>
      </c>
      <c r="D23" s="3">
        <v>50</v>
      </c>
      <c r="E23" s="3" t="s">
        <v>175</v>
      </c>
      <c r="F23" s="3">
        <v>24100</v>
      </c>
      <c r="G23" s="3"/>
      <c r="H23" s="3"/>
      <c r="I23" s="13"/>
      <c r="J23" s="237"/>
      <c r="L23" s="7">
        <v>20</v>
      </c>
      <c r="M23" s="8">
        <v>45784</v>
      </c>
      <c r="N23" s="232">
        <v>50000</v>
      </c>
      <c r="O23" s="207" t="s">
        <v>280</v>
      </c>
    </row>
    <row r="24" spans="1:15" x14ac:dyDescent="0.3">
      <c r="A24" s="16">
        <v>8</v>
      </c>
      <c r="B24" s="3" t="s">
        <v>253</v>
      </c>
      <c r="C24" s="3" t="s">
        <v>174</v>
      </c>
      <c r="D24" s="3">
        <v>50</v>
      </c>
      <c r="E24" s="3" t="s">
        <v>175</v>
      </c>
      <c r="F24" s="3">
        <v>23850</v>
      </c>
      <c r="G24" s="3"/>
      <c r="H24" s="3"/>
      <c r="I24" s="13"/>
      <c r="J24" s="237"/>
      <c r="L24" s="1">
        <v>21</v>
      </c>
      <c r="M24" s="2">
        <v>45806</v>
      </c>
      <c r="N24" s="226">
        <v>100000</v>
      </c>
      <c r="O24" s="207" t="s">
        <v>280</v>
      </c>
    </row>
    <row r="25" spans="1:15" x14ac:dyDescent="0.3">
      <c r="A25" s="3">
        <v>9</v>
      </c>
      <c r="B25" s="3" t="s">
        <v>253</v>
      </c>
      <c r="C25" s="3" t="s">
        <v>254</v>
      </c>
      <c r="D25" s="3">
        <v>332.4</v>
      </c>
      <c r="E25" s="3" t="s">
        <v>82</v>
      </c>
      <c r="F25" s="3">
        <v>21729</v>
      </c>
      <c r="G25" s="3"/>
      <c r="H25" s="3"/>
      <c r="I25" s="13"/>
      <c r="J25" s="237"/>
      <c r="L25" s="1">
        <v>22</v>
      </c>
      <c r="M25" s="37">
        <v>45832</v>
      </c>
      <c r="N25" s="226">
        <v>40000</v>
      </c>
      <c r="O25" s="21"/>
    </row>
    <row r="26" spans="1:15" x14ac:dyDescent="0.3">
      <c r="A26" s="16">
        <v>10</v>
      </c>
      <c r="B26" s="3" t="s">
        <v>305</v>
      </c>
      <c r="C26" s="3" t="s">
        <v>33</v>
      </c>
      <c r="D26" s="3">
        <v>50</v>
      </c>
      <c r="E26" s="3" t="s">
        <v>175</v>
      </c>
      <c r="F26" s="3">
        <v>23850</v>
      </c>
      <c r="G26" s="3"/>
      <c r="H26" s="3"/>
      <c r="I26" s="13"/>
      <c r="J26" s="237"/>
      <c r="L26" s="39">
        <v>23</v>
      </c>
      <c r="M26" s="37">
        <v>45854</v>
      </c>
      <c r="N26" s="226">
        <v>100000</v>
      </c>
      <c r="O26" s="21"/>
    </row>
    <row r="27" spans="1:15" x14ac:dyDescent="0.3">
      <c r="A27" s="16">
        <v>11</v>
      </c>
      <c r="B27" s="3" t="s">
        <v>305</v>
      </c>
      <c r="C27" s="3" t="s">
        <v>294</v>
      </c>
      <c r="D27" s="3"/>
      <c r="E27" s="3"/>
      <c r="F27" s="3">
        <v>12106</v>
      </c>
      <c r="G27" s="3"/>
      <c r="H27" s="3"/>
      <c r="I27" s="13"/>
      <c r="J27" s="237"/>
      <c r="L27" s="39">
        <v>24</v>
      </c>
      <c r="M27" s="37">
        <v>45870</v>
      </c>
      <c r="N27" s="226">
        <v>30000</v>
      </c>
      <c r="O27" s="21"/>
    </row>
    <row r="28" spans="1:15" ht="15" thickBot="1" x14ac:dyDescent="0.35">
      <c r="A28" s="3">
        <v>12</v>
      </c>
      <c r="B28" s="3" t="s">
        <v>288</v>
      </c>
      <c r="C28" s="558" t="s">
        <v>213</v>
      </c>
      <c r="D28" s="559"/>
      <c r="E28" s="559"/>
      <c r="F28" s="559"/>
      <c r="G28" s="559"/>
      <c r="H28" s="559"/>
      <c r="I28" s="560"/>
      <c r="J28" s="237">
        <v>70000</v>
      </c>
      <c r="L28" s="556" t="s">
        <v>98</v>
      </c>
      <c r="M28" s="557"/>
      <c r="N28" s="246">
        <f>SUM(N4:N27)</f>
        <v>1547200</v>
      </c>
      <c r="O28" s="247"/>
    </row>
    <row r="29" spans="1:15" x14ac:dyDescent="0.3">
      <c r="A29" s="16">
        <v>13</v>
      </c>
      <c r="B29" s="3" t="s">
        <v>302</v>
      </c>
      <c r="C29" s="3" t="s">
        <v>174</v>
      </c>
      <c r="D29" s="3">
        <v>50</v>
      </c>
      <c r="E29" s="3" t="s">
        <v>175</v>
      </c>
      <c r="F29" s="3">
        <v>24100</v>
      </c>
      <c r="G29" s="3"/>
      <c r="H29" s="3"/>
      <c r="I29" s="13"/>
      <c r="J29" s="237"/>
    </row>
    <row r="30" spans="1:15" x14ac:dyDescent="0.3">
      <c r="A30" s="16">
        <v>14</v>
      </c>
      <c r="B30" s="3" t="s">
        <v>304</v>
      </c>
      <c r="C30" s="3" t="s">
        <v>174</v>
      </c>
      <c r="D30" s="3">
        <v>50</v>
      </c>
      <c r="E30" s="3" t="s">
        <v>175</v>
      </c>
      <c r="F30" s="3">
        <v>24100</v>
      </c>
      <c r="G30" s="3"/>
      <c r="H30" s="3"/>
      <c r="I30" s="13"/>
      <c r="J30" s="237"/>
    </row>
    <row r="31" spans="1:15" x14ac:dyDescent="0.3">
      <c r="A31" s="3">
        <v>15</v>
      </c>
      <c r="B31" s="3" t="s">
        <v>303</v>
      </c>
      <c r="C31" s="3" t="s">
        <v>174</v>
      </c>
      <c r="D31" s="3">
        <v>50</v>
      </c>
      <c r="E31" s="3" t="s">
        <v>175</v>
      </c>
      <c r="F31" s="3">
        <v>24100</v>
      </c>
      <c r="G31" s="3"/>
      <c r="H31" s="3"/>
      <c r="I31" s="13"/>
      <c r="J31" s="237"/>
    </row>
    <row r="32" spans="1:15" x14ac:dyDescent="0.3">
      <c r="A32" s="16">
        <v>16</v>
      </c>
      <c r="B32" s="3" t="s">
        <v>303</v>
      </c>
      <c r="C32" s="3" t="s">
        <v>174</v>
      </c>
      <c r="D32" s="3">
        <v>50</v>
      </c>
      <c r="E32" s="3" t="s">
        <v>175</v>
      </c>
      <c r="F32" s="3">
        <v>24100</v>
      </c>
      <c r="G32" s="3"/>
      <c r="H32" s="3"/>
      <c r="I32" s="13"/>
      <c r="J32" s="237"/>
    </row>
    <row r="33" spans="1:10" x14ac:dyDescent="0.3">
      <c r="A33" s="16">
        <v>17</v>
      </c>
      <c r="B33" s="3" t="s">
        <v>308</v>
      </c>
      <c r="C33" s="3" t="s">
        <v>174</v>
      </c>
      <c r="D33" s="3">
        <v>50</v>
      </c>
      <c r="E33" s="3" t="s">
        <v>175</v>
      </c>
      <c r="F33" s="3">
        <f>D33*450+1000+100+550</f>
        <v>24150</v>
      </c>
      <c r="G33" s="3"/>
      <c r="H33" s="3"/>
      <c r="I33" s="13"/>
      <c r="J33" s="237"/>
    </row>
    <row r="34" spans="1:10" x14ac:dyDescent="0.3">
      <c r="A34" s="3">
        <v>18</v>
      </c>
      <c r="B34" s="3" t="s">
        <v>308</v>
      </c>
      <c r="C34" s="3" t="s">
        <v>309</v>
      </c>
      <c r="D34" s="3">
        <v>50.4</v>
      </c>
      <c r="E34" s="3" t="s">
        <v>82</v>
      </c>
      <c r="F34" s="3">
        <f>D34*75</f>
        <v>3780</v>
      </c>
      <c r="G34" s="3"/>
      <c r="H34" s="3"/>
      <c r="I34" s="13"/>
      <c r="J34" s="237"/>
    </row>
    <row r="35" spans="1:10" x14ac:dyDescent="0.3">
      <c r="A35" s="16">
        <v>19</v>
      </c>
      <c r="B35" s="3" t="s">
        <v>325</v>
      </c>
      <c r="C35" s="3" t="s">
        <v>174</v>
      </c>
      <c r="D35" s="3">
        <v>50</v>
      </c>
      <c r="E35" s="3" t="s">
        <v>175</v>
      </c>
      <c r="F35" s="3">
        <v>26000</v>
      </c>
      <c r="G35" s="3"/>
      <c r="H35" s="3"/>
      <c r="I35" s="13"/>
      <c r="J35" s="237"/>
    </row>
    <row r="36" spans="1:10" x14ac:dyDescent="0.3">
      <c r="A36" s="16">
        <v>20</v>
      </c>
      <c r="B36" s="2">
        <v>45742</v>
      </c>
      <c r="C36" s="558" t="s">
        <v>213</v>
      </c>
      <c r="D36" s="559"/>
      <c r="E36" s="559"/>
      <c r="F36" s="559"/>
      <c r="G36" s="559"/>
      <c r="H36" s="559"/>
      <c r="I36" s="560"/>
      <c r="J36" s="237">
        <v>75000</v>
      </c>
    </row>
    <row r="37" spans="1:10" x14ac:dyDescent="0.3">
      <c r="A37" s="3">
        <v>21</v>
      </c>
      <c r="B37" s="2">
        <v>45754</v>
      </c>
      <c r="C37" s="3" t="s">
        <v>174</v>
      </c>
      <c r="D37" s="3">
        <v>50</v>
      </c>
      <c r="E37" s="3" t="s">
        <v>175</v>
      </c>
      <c r="F37" s="3">
        <v>23600</v>
      </c>
      <c r="G37" s="3"/>
      <c r="H37" s="3"/>
      <c r="I37" s="13"/>
      <c r="J37" s="237"/>
    </row>
    <row r="38" spans="1:10" x14ac:dyDescent="0.3">
      <c r="A38" s="16">
        <v>22</v>
      </c>
      <c r="B38" s="2">
        <v>45754</v>
      </c>
      <c r="C38" s="3" t="s">
        <v>171</v>
      </c>
      <c r="D38" s="3">
        <v>1000</v>
      </c>
      <c r="E38" s="3" t="s">
        <v>32</v>
      </c>
      <c r="F38" s="3">
        <v>16600</v>
      </c>
      <c r="G38" s="3"/>
      <c r="H38" s="3"/>
      <c r="I38" s="13"/>
      <c r="J38" s="237"/>
    </row>
    <row r="39" spans="1:10" x14ac:dyDescent="0.3">
      <c r="A39" s="16">
        <v>23</v>
      </c>
      <c r="B39" s="2">
        <v>45756</v>
      </c>
      <c r="C39" s="558" t="s">
        <v>213</v>
      </c>
      <c r="D39" s="559"/>
      <c r="E39" s="559"/>
      <c r="F39" s="559"/>
      <c r="G39" s="559"/>
      <c r="H39" s="559"/>
      <c r="I39" s="560"/>
      <c r="J39" s="226">
        <v>100000</v>
      </c>
    </row>
    <row r="40" spans="1:10" x14ac:dyDescent="0.3">
      <c r="A40" s="3">
        <v>24</v>
      </c>
      <c r="B40" s="2">
        <v>45762</v>
      </c>
      <c r="C40" s="3"/>
      <c r="D40" s="3"/>
      <c r="E40" s="3"/>
      <c r="F40" s="3">
        <v>22000</v>
      </c>
      <c r="G40" s="3"/>
      <c r="H40" s="3"/>
      <c r="I40" s="3"/>
      <c r="J40" s="226"/>
    </row>
    <row r="41" spans="1:10" x14ac:dyDescent="0.3">
      <c r="A41" s="16">
        <v>25</v>
      </c>
      <c r="B41" s="2">
        <v>45762</v>
      </c>
      <c r="C41" s="3" t="s">
        <v>174</v>
      </c>
      <c r="D41" s="3">
        <v>50</v>
      </c>
      <c r="E41" s="3" t="s">
        <v>175</v>
      </c>
      <c r="F41" s="3">
        <v>24100</v>
      </c>
      <c r="G41" s="3"/>
      <c r="H41" s="3"/>
      <c r="I41" s="13"/>
      <c r="J41" s="226"/>
    </row>
    <row r="42" spans="1:10" x14ac:dyDescent="0.3">
      <c r="A42" s="16">
        <v>26</v>
      </c>
      <c r="B42" s="2">
        <v>45763</v>
      </c>
      <c r="C42" s="3" t="s">
        <v>171</v>
      </c>
      <c r="D42" s="3">
        <v>1000</v>
      </c>
      <c r="E42" s="3" t="s">
        <v>32</v>
      </c>
      <c r="F42" s="3">
        <v>16600</v>
      </c>
      <c r="G42" s="3"/>
      <c r="H42" s="3"/>
      <c r="I42" s="13"/>
      <c r="J42" s="226"/>
    </row>
    <row r="43" spans="1:10" x14ac:dyDescent="0.3">
      <c r="A43" s="3">
        <v>27</v>
      </c>
      <c r="B43" s="2">
        <v>45765</v>
      </c>
      <c r="C43" s="558" t="s">
        <v>213</v>
      </c>
      <c r="D43" s="559"/>
      <c r="E43" s="559"/>
      <c r="F43" s="559"/>
      <c r="G43" s="559"/>
      <c r="H43" s="559"/>
      <c r="I43" s="560"/>
      <c r="J43" s="226">
        <v>40000</v>
      </c>
    </row>
    <row r="44" spans="1:10" x14ac:dyDescent="0.3">
      <c r="A44" s="16">
        <v>28</v>
      </c>
      <c r="B44" s="2">
        <v>45771</v>
      </c>
      <c r="C44" s="3" t="s">
        <v>174</v>
      </c>
      <c r="D44" s="3">
        <v>50</v>
      </c>
      <c r="E44" s="3" t="s">
        <v>175</v>
      </c>
      <c r="F44" s="3">
        <v>24600</v>
      </c>
      <c r="G44" s="3"/>
      <c r="H44" s="3"/>
      <c r="I44" s="13"/>
      <c r="J44" s="226"/>
    </row>
    <row r="45" spans="1:10" x14ac:dyDescent="0.3">
      <c r="A45" s="16">
        <v>29</v>
      </c>
      <c r="B45" s="2">
        <v>45775</v>
      </c>
      <c r="C45" s="3" t="s">
        <v>352</v>
      </c>
      <c r="D45" s="3">
        <v>80</v>
      </c>
      <c r="E45" s="3" t="s">
        <v>353</v>
      </c>
      <c r="F45" s="3">
        <v>3800</v>
      </c>
      <c r="G45" s="3"/>
      <c r="H45" s="3"/>
      <c r="I45" s="13"/>
      <c r="J45" s="226"/>
    </row>
    <row r="46" spans="1:10" x14ac:dyDescent="0.3">
      <c r="A46" s="3">
        <v>30</v>
      </c>
      <c r="B46" s="2">
        <v>45776</v>
      </c>
      <c r="C46" s="3" t="s">
        <v>174</v>
      </c>
      <c r="D46" s="3">
        <v>50</v>
      </c>
      <c r="E46" s="3" t="s">
        <v>175</v>
      </c>
      <c r="F46" s="3">
        <v>24100</v>
      </c>
      <c r="G46" s="3"/>
      <c r="H46" s="3"/>
      <c r="I46" s="13"/>
      <c r="J46" s="226"/>
    </row>
    <row r="47" spans="1:10" x14ac:dyDescent="0.3">
      <c r="A47" s="16">
        <v>31</v>
      </c>
      <c r="B47" s="2">
        <v>45776</v>
      </c>
      <c r="C47" s="3" t="s">
        <v>174</v>
      </c>
      <c r="D47" s="3">
        <v>50</v>
      </c>
      <c r="E47" s="3" t="s">
        <v>175</v>
      </c>
      <c r="F47" s="3">
        <v>24600</v>
      </c>
      <c r="G47" s="13"/>
      <c r="H47" s="13"/>
      <c r="I47" s="13"/>
      <c r="J47" s="226"/>
    </row>
    <row r="48" spans="1:10" x14ac:dyDescent="0.3">
      <c r="A48" s="16">
        <v>32</v>
      </c>
      <c r="B48" s="2">
        <v>45777</v>
      </c>
      <c r="C48" s="3" t="s">
        <v>171</v>
      </c>
      <c r="D48" s="3">
        <v>1000</v>
      </c>
      <c r="E48" s="3" t="s">
        <v>32</v>
      </c>
      <c r="F48" s="3">
        <v>16600</v>
      </c>
      <c r="G48" s="13"/>
      <c r="H48" s="13"/>
      <c r="I48" s="13"/>
      <c r="J48" s="226"/>
    </row>
    <row r="49" spans="1:18" x14ac:dyDescent="0.3">
      <c r="A49" s="3">
        <v>33</v>
      </c>
      <c r="B49" s="2">
        <v>45784</v>
      </c>
      <c r="C49" s="558" t="s">
        <v>213</v>
      </c>
      <c r="D49" s="559"/>
      <c r="E49" s="559"/>
      <c r="F49" s="559"/>
      <c r="G49" s="559"/>
      <c r="H49" s="559"/>
      <c r="I49" s="560"/>
      <c r="J49" s="226">
        <v>50000</v>
      </c>
    </row>
    <row r="50" spans="1:18" x14ac:dyDescent="0.3">
      <c r="A50" s="16">
        <v>34</v>
      </c>
      <c r="B50" s="2">
        <v>45789</v>
      </c>
      <c r="C50" s="3" t="s">
        <v>174</v>
      </c>
      <c r="D50" s="3">
        <v>50</v>
      </c>
      <c r="E50" s="3" t="s">
        <v>175</v>
      </c>
      <c r="F50" s="3">
        <v>27600</v>
      </c>
      <c r="G50" s="13"/>
      <c r="H50" s="13"/>
      <c r="I50" s="13"/>
      <c r="J50" s="226"/>
    </row>
    <row r="51" spans="1:18" x14ac:dyDescent="0.3">
      <c r="A51" s="16">
        <v>35</v>
      </c>
      <c r="B51" s="2">
        <v>45806</v>
      </c>
      <c r="C51" s="558" t="s">
        <v>213</v>
      </c>
      <c r="D51" s="559"/>
      <c r="E51" s="559"/>
      <c r="F51" s="559"/>
      <c r="G51" s="559"/>
      <c r="H51" s="559"/>
      <c r="I51" s="560"/>
      <c r="J51" s="226">
        <v>100000</v>
      </c>
    </row>
    <row r="52" spans="1:18" x14ac:dyDescent="0.3">
      <c r="A52" s="3">
        <v>36</v>
      </c>
      <c r="B52" s="2">
        <v>45818</v>
      </c>
      <c r="C52" s="3" t="s">
        <v>171</v>
      </c>
      <c r="D52" s="3">
        <v>2000</v>
      </c>
      <c r="E52" s="3" t="s">
        <v>32</v>
      </c>
      <c r="F52" s="3">
        <v>32400</v>
      </c>
      <c r="G52" s="13"/>
      <c r="H52" s="13"/>
      <c r="I52" s="13"/>
      <c r="J52" s="13"/>
      <c r="Q52" s="231"/>
    </row>
    <row r="53" spans="1:18" x14ac:dyDescent="0.3">
      <c r="A53" s="16">
        <v>37</v>
      </c>
      <c r="B53" s="8">
        <v>45822</v>
      </c>
      <c r="C53" s="3" t="s">
        <v>171</v>
      </c>
      <c r="D53" s="3">
        <v>1000</v>
      </c>
      <c r="E53" s="3" t="s">
        <v>32</v>
      </c>
      <c r="F53" s="3">
        <v>16200</v>
      </c>
      <c r="G53" s="4"/>
      <c r="H53" s="4"/>
      <c r="I53" s="4"/>
      <c r="J53" s="4"/>
    </row>
    <row r="54" spans="1:18" x14ac:dyDescent="0.3">
      <c r="A54" s="16">
        <v>38</v>
      </c>
      <c r="B54" s="8">
        <v>45832</v>
      </c>
      <c r="C54" s="558" t="s">
        <v>213</v>
      </c>
      <c r="D54" s="559"/>
      <c r="E54" s="559"/>
      <c r="F54" s="559"/>
      <c r="G54" s="559"/>
      <c r="H54" s="559"/>
      <c r="I54" s="560"/>
      <c r="J54" s="294">
        <v>40000</v>
      </c>
    </row>
    <row r="55" spans="1:18" x14ac:dyDescent="0.3">
      <c r="A55" s="3">
        <v>39</v>
      </c>
      <c r="B55" s="8">
        <v>45834</v>
      </c>
      <c r="C55" s="4" t="s">
        <v>394</v>
      </c>
      <c r="D55" s="4">
        <v>15</v>
      </c>
      <c r="E55" s="4" t="s">
        <v>32</v>
      </c>
      <c r="F55" s="376">
        <v>45138</v>
      </c>
      <c r="G55" s="4"/>
      <c r="H55" s="4"/>
      <c r="I55" s="4"/>
      <c r="J55" s="4"/>
    </row>
    <row r="56" spans="1:18" x14ac:dyDescent="0.3">
      <c r="A56" s="16">
        <v>40</v>
      </c>
      <c r="B56" s="8">
        <v>45834</v>
      </c>
      <c r="C56" s="4" t="s">
        <v>174</v>
      </c>
      <c r="D56" s="4">
        <v>50</v>
      </c>
      <c r="E56" s="4" t="s">
        <v>175</v>
      </c>
      <c r="F56" s="378"/>
      <c r="G56" s="4"/>
      <c r="H56" s="4"/>
      <c r="I56" s="4"/>
      <c r="J56" s="4"/>
    </row>
    <row r="57" spans="1:18" x14ac:dyDescent="0.3">
      <c r="A57" s="16">
        <v>41</v>
      </c>
      <c r="B57" s="8">
        <v>45854</v>
      </c>
      <c r="C57" s="561"/>
      <c r="D57" s="562"/>
      <c r="E57" s="562"/>
      <c r="F57" s="562"/>
      <c r="G57" s="562"/>
      <c r="H57" s="562"/>
      <c r="I57" s="563"/>
      <c r="J57" s="294">
        <v>100000</v>
      </c>
    </row>
    <row r="58" spans="1:18" x14ac:dyDescent="0.3">
      <c r="A58" s="111">
        <v>42</v>
      </c>
      <c r="B58" s="8">
        <v>45870</v>
      </c>
      <c r="C58" s="505"/>
      <c r="D58" s="505"/>
      <c r="E58" s="505"/>
      <c r="F58" s="505"/>
      <c r="G58" s="505"/>
      <c r="H58" s="505"/>
      <c r="I58" s="505"/>
      <c r="J58" s="309">
        <v>30000</v>
      </c>
    </row>
    <row r="59" spans="1:18" x14ac:dyDescent="0.3">
      <c r="A59" s="572" t="s">
        <v>27</v>
      </c>
      <c r="B59" s="573"/>
      <c r="C59" s="573"/>
      <c r="D59" s="573"/>
      <c r="E59" s="574"/>
      <c r="F59" s="300">
        <f>F17+F18+F19+F20+F21+F23+F24+F25+F26+F27+F29+F30+F31+F32+F33+F34+F35+F37+F38+F40+F41+F42+F44+F45+F46+F47+F48+F50+F52+F53+F55</f>
        <v>699057</v>
      </c>
      <c r="G59" s="575">
        <f>J22+J28+J36+J39+J43+J49+J51+J54+J57+J58</f>
        <v>680000</v>
      </c>
      <c r="H59" s="573"/>
      <c r="I59" s="573"/>
      <c r="J59" s="574"/>
    </row>
    <row r="60" spans="1:18" x14ac:dyDescent="0.3">
      <c r="A60" s="520" t="s">
        <v>397</v>
      </c>
      <c r="B60" s="521"/>
      <c r="C60" s="521"/>
      <c r="D60" s="521"/>
      <c r="E60" s="522"/>
      <c r="F60" s="576">
        <f>F59-G59</f>
        <v>19057</v>
      </c>
      <c r="G60" s="521"/>
      <c r="H60" s="521"/>
      <c r="I60" s="521"/>
      <c r="J60" s="522"/>
    </row>
    <row r="61" spans="1:18" ht="15" thickBot="1" x14ac:dyDescent="0.35">
      <c r="A61" s="564" t="s">
        <v>492</v>
      </c>
      <c r="B61" s="564"/>
      <c r="C61" s="564"/>
      <c r="D61" s="564"/>
      <c r="E61" s="564"/>
      <c r="F61" s="564"/>
      <c r="G61" s="564"/>
      <c r="H61" s="564"/>
      <c r="I61" s="564"/>
      <c r="J61" s="565"/>
    </row>
    <row r="62" spans="1:18" ht="15" thickBot="1" x14ac:dyDescent="0.35">
      <c r="A62" s="555" t="s">
        <v>464</v>
      </c>
      <c r="B62" s="555"/>
      <c r="C62" s="555"/>
      <c r="D62" s="555"/>
      <c r="E62" s="555"/>
      <c r="F62" s="555"/>
      <c r="G62" s="555"/>
      <c r="H62" s="555"/>
      <c r="I62" s="555"/>
      <c r="J62" s="555"/>
      <c r="L62" s="547" t="s">
        <v>500</v>
      </c>
      <c r="M62" s="548"/>
      <c r="N62" s="548"/>
      <c r="O62" s="549"/>
      <c r="Q62" s="634" t="s">
        <v>286</v>
      </c>
      <c r="R62" s="638"/>
    </row>
    <row r="63" spans="1:18" x14ac:dyDescent="0.3">
      <c r="A63" s="108" t="s">
        <v>326</v>
      </c>
      <c r="B63" s="108" t="s">
        <v>493</v>
      </c>
      <c r="C63" s="108" t="s">
        <v>494</v>
      </c>
      <c r="D63" s="108" t="s">
        <v>495</v>
      </c>
      <c r="E63" s="108" t="s">
        <v>496</v>
      </c>
      <c r="F63" s="108" t="s">
        <v>497</v>
      </c>
      <c r="G63" s="334" t="s">
        <v>498</v>
      </c>
      <c r="H63" s="123" t="s">
        <v>499</v>
      </c>
      <c r="I63" s="3"/>
      <c r="J63" s="3"/>
      <c r="L63" s="208" t="s">
        <v>326</v>
      </c>
      <c r="M63" s="209" t="s">
        <v>2</v>
      </c>
      <c r="N63" s="209" t="s">
        <v>291</v>
      </c>
      <c r="O63" s="210" t="s">
        <v>327</v>
      </c>
      <c r="Q63" s="88" t="s">
        <v>481</v>
      </c>
      <c r="R63" s="211">
        <f>G102</f>
        <v>1270730</v>
      </c>
    </row>
    <row r="64" spans="1:18" x14ac:dyDescent="0.3">
      <c r="A64" s="3">
        <v>1</v>
      </c>
      <c r="B64" s="2">
        <v>45910</v>
      </c>
      <c r="C64" s="3" t="s">
        <v>171</v>
      </c>
      <c r="D64" s="3">
        <v>3000</v>
      </c>
      <c r="E64" s="3" t="s">
        <v>32</v>
      </c>
      <c r="F64" s="226">
        <f>14*3000</f>
        <v>42000</v>
      </c>
      <c r="G64" s="443">
        <f>107000+7000+1050+4900</f>
        <v>119950</v>
      </c>
      <c r="H64" s="373">
        <v>45913</v>
      </c>
      <c r="I64" s="13"/>
      <c r="J64" s="13"/>
      <c r="L64" s="7">
        <v>1</v>
      </c>
      <c r="M64" s="8">
        <v>45925</v>
      </c>
      <c r="N64" s="206">
        <v>75000</v>
      </c>
      <c r="O64" s="207" t="s">
        <v>275</v>
      </c>
      <c r="Q64" s="39"/>
      <c r="R64" s="212"/>
    </row>
    <row r="65" spans="1:18" ht="15" thickBot="1" x14ac:dyDescent="0.35">
      <c r="A65" s="3">
        <v>2</v>
      </c>
      <c r="B65" s="2">
        <v>45911</v>
      </c>
      <c r="C65" s="3" t="s">
        <v>171</v>
      </c>
      <c r="D65" s="3">
        <v>1000</v>
      </c>
      <c r="E65" s="3" t="s">
        <v>32</v>
      </c>
      <c r="F65" s="226">
        <f>D65*14</f>
        <v>14000</v>
      </c>
      <c r="G65" s="444"/>
      <c r="H65" s="374"/>
      <c r="I65" s="13"/>
      <c r="J65" s="13"/>
      <c r="L65" s="7">
        <v>2</v>
      </c>
      <c r="M65" s="8">
        <v>45953</v>
      </c>
      <c r="N65" s="206">
        <v>95000</v>
      </c>
      <c r="O65" s="207" t="s">
        <v>273</v>
      </c>
      <c r="Q65" s="87"/>
      <c r="R65" s="213"/>
    </row>
    <row r="66" spans="1:18" ht="15" thickBot="1" x14ac:dyDescent="0.35">
      <c r="A66" s="359">
        <v>3</v>
      </c>
      <c r="B66" s="358">
        <v>45911</v>
      </c>
      <c r="C66" s="359" t="s">
        <v>174</v>
      </c>
      <c r="D66" s="359">
        <v>50</v>
      </c>
      <c r="E66" s="359" t="s">
        <v>175</v>
      </c>
      <c r="F66" s="297">
        <f>460*D66</f>
        <v>23000</v>
      </c>
      <c r="G66" s="444"/>
      <c r="H66" s="374"/>
      <c r="I66" s="13"/>
      <c r="J66" s="13"/>
      <c r="L66" s="7">
        <v>3</v>
      </c>
      <c r="M66" s="8">
        <v>45974</v>
      </c>
      <c r="N66" s="206">
        <v>150000</v>
      </c>
      <c r="O66" s="207"/>
      <c r="Q66" s="204" t="s">
        <v>482</v>
      </c>
      <c r="R66" s="214">
        <f>N78</f>
        <v>1145000</v>
      </c>
    </row>
    <row r="67" spans="1:18" ht="15" thickBot="1" x14ac:dyDescent="0.35">
      <c r="A67" s="3">
        <v>4</v>
      </c>
      <c r="B67" s="2">
        <v>45912</v>
      </c>
      <c r="C67" s="3" t="s">
        <v>171</v>
      </c>
      <c r="D67" s="3">
        <v>1000</v>
      </c>
      <c r="E67" s="3" t="s">
        <v>32</v>
      </c>
      <c r="F67" s="226">
        <f t="shared" ref="F67:F74" si="0">D67*14</f>
        <v>14000</v>
      </c>
      <c r="G67" s="444"/>
      <c r="H67" s="374"/>
      <c r="I67" s="13"/>
      <c r="J67" s="13"/>
      <c r="L67" s="7">
        <v>4</v>
      </c>
      <c r="M67" s="8">
        <v>45984</v>
      </c>
      <c r="N67" s="232">
        <v>100000</v>
      </c>
      <c r="O67" s="369"/>
      <c r="Q67" s="354" t="s">
        <v>397</v>
      </c>
      <c r="R67" s="355">
        <f>R63-R66</f>
        <v>125730</v>
      </c>
    </row>
    <row r="68" spans="1:18" x14ac:dyDescent="0.3">
      <c r="A68" s="3">
        <v>5</v>
      </c>
      <c r="B68" s="2">
        <v>45913</v>
      </c>
      <c r="C68" s="3" t="s">
        <v>171</v>
      </c>
      <c r="D68" s="3">
        <v>1000</v>
      </c>
      <c r="E68" s="3" t="s">
        <v>32</v>
      </c>
      <c r="F68" s="226">
        <f t="shared" si="0"/>
        <v>14000</v>
      </c>
      <c r="G68" s="445"/>
      <c r="H68" s="375"/>
      <c r="I68" s="13"/>
      <c r="J68" s="13"/>
      <c r="L68" s="7">
        <v>5</v>
      </c>
      <c r="M68" s="2">
        <v>46005</v>
      </c>
      <c r="N68" s="226">
        <v>150000</v>
      </c>
      <c r="O68" s="21"/>
      <c r="Q68" s="639" t="s">
        <v>583</v>
      </c>
      <c r="R68" s="639"/>
    </row>
    <row r="69" spans="1:18" x14ac:dyDescent="0.3">
      <c r="A69" s="3">
        <v>6</v>
      </c>
      <c r="B69" s="2">
        <v>45916</v>
      </c>
      <c r="C69" s="3" t="s">
        <v>171</v>
      </c>
      <c r="D69" s="3">
        <v>2000</v>
      </c>
      <c r="E69" s="3" t="s">
        <v>32</v>
      </c>
      <c r="F69" s="226">
        <f t="shared" si="0"/>
        <v>28000</v>
      </c>
      <c r="G69" s="206">
        <f>F69+2000+300+1400</f>
        <v>31700</v>
      </c>
      <c r="H69" s="8">
        <v>45916</v>
      </c>
      <c r="I69" s="13"/>
      <c r="J69" s="13"/>
      <c r="L69" s="7">
        <v>6</v>
      </c>
      <c r="M69" s="2">
        <v>46023</v>
      </c>
      <c r="N69" s="226">
        <v>150000</v>
      </c>
      <c r="O69" s="21"/>
      <c r="Q69" s="640"/>
      <c r="R69" s="640"/>
    </row>
    <row r="70" spans="1:18" x14ac:dyDescent="0.3">
      <c r="A70" s="3">
        <v>7</v>
      </c>
      <c r="B70" s="2">
        <v>45918</v>
      </c>
      <c r="C70" s="3" t="s">
        <v>171</v>
      </c>
      <c r="D70" s="3">
        <v>1000</v>
      </c>
      <c r="E70" s="3" t="s">
        <v>32</v>
      </c>
      <c r="F70" s="226">
        <f t="shared" si="0"/>
        <v>14000</v>
      </c>
      <c r="G70" s="206">
        <v>15850</v>
      </c>
      <c r="H70" s="8">
        <v>45918</v>
      </c>
      <c r="I70" s="13"/>
      <c r="J70" s="13"/>
      <c r="L70" s="1">
        <v>7</v>
      </c>
      <c r="M70" s="2">
        <v>46039</v>
      </c>
      <c r="N70" s="226">
        <v>100000</v>
      </c>
      <c r="O70" s="21"/>
    </row>
    <row r="71" spans="1:18" x14ac:dyDescent="0.3">
      <c r="A71" s="3">
        <v>8</v>
      </c>
      <c r="B71" s="2">
        <v>45928</v>
      </c>
      <c r="C71" s="3" t="s">
        <v>171</v>
      </c>
      <c r="D71" s="3">
        <v>1000</v>
      </c>
      <c r="E71" s="3" t="s">
        <v>32</v>
      </c>
      <c r="F71" s="226">
        <f t="shared" si="0"/>
        <v>14000</v>
      </c>
      <c r="G71" s="443">
        <f>15850*4</f>
        <v>63400</v>
      </c>
      <c r="H71" s="373">
        <v>45929</v>
      </c>
      <c r="I71" s="13"/>
      <c r="J71" s="13"/>
      <c r="L71" s="1">
        <v>8</v>
      </c>
      <c r="M71" s="2">
        <v>46076</v>
      </c>
      <c r="N71" s="226">
        <v>75000</v>
      </c>
      <c r="O71" s="21"/>
    </row>
    <row r="72" spans="1:18" x14ac:dyDescent="0.3">
      <c r="A72" s="3">
        <v>9</v>
      </c>
      <c r="B72" s="2">
        <v>45929</v>
      </c>
      <c r="C72" s="3" t="s">
        <v>171</v>
      </c>
      <c r="D72" s="3">
        <v>1000</v>
      </c>
      <c r="E72" s="3" t="s">
        <v>32</v>
      </c>
      <c r="F72" s="226">
        <f t="shared" si="0"/>
        <v>14000</v>
      </c>
      <c r="G72" s="444"/>
      <c r="H72" s="377"/>
      <c r="I72" s="13"/>
      <c r="J72" s="13"/>
      <c r="L72" s="1">
        <v>9</v>
      </c>
      <c r="M72" s="2">
        <v>46085</v>
      </c>
      <c r="N72" s="226">
        <v>50000</v>
      </c>
      <c r="O72" s="21"/>
    </row>
    <row r="73" spans="1:18" x14ac:dyDescent="0.3">
      <c r="A73" s="3">
        <v>10</v>
      </c>
      <c r="B73" s="2">
        <v>45929</v>
      </c>
      <c r="C73" s="3" t="s">
        <v>171</v>
      </c>
      <c r="D73" s="3">
        <v>1000</v>
      </c>
      <c r="E73" s="3" t="s">
        <v>32</v>
      </c>
      <c r="F73" s="226">
        <f t="shared" si="0"/>
        <v>14000</v>
      </c>
      <c r="G73" s="444"/>
      <c r="H73" s="377"/>
      <c r="I73" s="13"/>
      <c r="J73" s="13"/>
      <c r="L73" s="1">
        <v>10</v>
      </c>
      <c r="M73" s="37">
        <v>46101</v>
      </c>
      <c r="N73" s="226">
        <v>100000</v>
      </c>
      <c r="O73" s="21"/>
    </row>
    <row r="74" spans="1:18" x14ac:dyDescent="0.3">
      <c r="A74" s="3">
        <v>11</v>
      </c>
      <c r="B74" s="2">
        <v>45929</v>
      </c>
      <c r="C74" s="3" t="s">
        <v>171</v>
      </c>
      <c r="D74" s="3">
        <v>1000</v>
      </c>
      <c r="E74" s="3" t="s">
        <v>32</v>
      </c>
      <c r="F74" s="226">
        <f t="shared" si="0"/>
        <v>14000</v>
      </c>
      <c r="G74" s="445"/>
      <c r="H74" s="378"/>
      <c r="I74" s="13"/>
      <c r="J74" s="13"/>
      <c r="L74" s="1">
        <v>11</v>
      </c>
      <c r="M74" s="37">
        <v>46134</v>
      </c>
      <c r="N74" s="226">
        <v>100000</v>
      </c>
      <c r="O74" s="21"/>
    </row>
    <row r="75" spans="1:18" x14ac:dyDescent="0.3">
      <c r="A75" s="359">
        <v>12</v>
      </c>
      <c r="B75" s="358">
        <v>45930</v>
      </c>
      <c r="C75" s="359" t="s">
        <v>174</v>
      </c>
      <c r="D75" s="359">
        <v>50</v>
      </c>
      <c r="E75" s="359" t="s">
        <v>175</v>
      </c>
      <c r="F75" s="297">
        <v>23000</v>
      </c>
      <c r="G75" s="206">
        <v>24700</v>
      </c>
      <c r="H75" s="8">
        <v>45930</v>
      </c>
      <c r="I75" s="13"/>
      <c r="J75" s="13"/>
      <c r="L75" s="39"/>
      <c r="M75" s="13"/>
      <c r="N75" s="13"/>
      <c r="O75" s="21"/>
    </row>
    <row r="76" spans="1:18" x14ac:dyDescent="0.3">
      <c r="A76" s="3">
        <v>13</v>
      </c>
      <c r="B76" s="2">
        <v>45936</v>
      </c>
      <c r="C76" s="3" t="s">
        <v>171</v>
      </c>
      <c r="D76" s="3">
        <v>1000</v>
      </c>
      <c r="E76" s="3" t="s">
        <v>32</v>
      </c>
      <c r="F76" s="226">
        <f>D76*14</f>
        <v>14000</v>
      </c>
      <c r="G76" s="206">
        <v>15850</v>
      </c>
      <c r="H76" s="8">
        <v>45936</v>
      </c>
      <c r="I76" s="13"/>
      <c r="J76" s="13"/>
      <c r="L76" s="39"/>
      <c r="M76" s="13"/>
      <c r="N76" s="13"/>
      <c r="O76" s="21"/>
    </row>
    <row r="77" spans="1:18" ht="15" thickBot="1" x14ac:dyDescent="0.35">
      <c r="A77" s="3">
        <v>14</v>
      </c>
      <c r="B77" s="2">
        <v>45938</v>
      </c>
      <c r="C77" s="3" t="s">
        <v>171</v>
      </c>
      <c r="D77" s="3">
        <v>1000</v>
      </c>
      <c r="E77" s="3" t="s">
        <v>32</v>
      </c>
      <c r="F77" s="226">
        <f>D77*14</f>
        <v>14000</v>
      </c>
      <c r="G77" s="206">
        <v>15850</v>
      </c>
      <c r="H77" s="8">
        <v>45938</v>
      </c>
      <c r="I77" s="13"/>
      <c r="J77" s="13"/>
      <c r="L77" s="87"/>
      <c r="M77" s="243"/>
      <c r="N77" s="198"/>
      <c r="O77" s="114"/>
    </row>
    <row r="78" spans="1:18" ht="15" thickBot="1" x14ac:dyDescent="0.35">
      <c r="A78" s="359">
        <v>15</v>
      </c>
      <c r="B78" s="358">
        <v>45945</v>
      </c>
      <c r="C78" s="359" t="s">
        <v>33</v>
      </c>
      <c r="D78" s="359">
        <v>30</v>
      </c>
      <c r="E78" s="359" t="s">
        <v>175</v>
      </c>
      <c r="F78" s="297">
        <f>D78*460</f>
        <v>13800</v>
      </c>
      <c r="G78" s="443">
        <v>66892</v>
      </c>
      <c r="H78" s="373">
        <v>45945</v>
      </c>
      <c r="I78" s="13"/>
      <c r="J78" s="13"/>
      <c r="L78" s="634" t="s">
        <v>98</v>
      </c>
      <c r="M78" s="635"/>
      <c r="N78" s="370">
        <f>SUM(N64:N74)</f>
        <v>1145000</v>
      </c>
      <c r="O78" s="371"/>
    </row>
    <row r="79" spans="1:18" x14ac:dyDescent="0.3">
      <c r="A79" s="361">
        <v>16</v>
      </c>
      <c r="B79" s="362">
        <v>45945</v>
      </c>
      <c r="C79" s="361" t="s">
        <v>483</v>
      </c>
      <c r="D79" s="361">
        <v>20</v>
      </c>
      <c r="E79" s="361" t="s">
        <v>484</v>
      </c>
      <c r="F79" s="318">
        <v>51092</v>
      </c>
      <c r="G79" s="445"/>
      <c r="H79" s="378"/>
      <c r="I79" s="13"/>
      <c r="J79" s="13"/>
    </row>
    <row r="80" spans="1:18" x14ac:dyDescent="0.3">
      <c r="A80" s="359">
        <v>17</v>
      </c>
      <c r="B80" s="358">
        <v>45947</v>
      </c>
      <c r="C80" s="359" t="s">
        <v>174</v>
      </c>
      <c r="D80" s="359">
        <v>400</v>
      </c>
      <c r="E80" s="359" t="s">
        <v>175</v>
      </c>
      <c r="F80" s="297">
        <v>188000</v>
      </c>
      <c r="G80" s="294">
        <v>188000</v>
      </c>
      <c r="H80" s="8">
        <v>45947</v>
      </c>
      <c r="I80" s="13"/>
      <c r="J80" s="13"/>
    </row>
    <row r="81" spans="1:13" x14ac:dyDescent="0.3">
      <c r="A81" s="3">
        <v>19</v>
      </c>
      <c r="B81" s="2">
        <v>45954</v>
      </c>
      <c r="C81" s="3" t="s">
        <v>171</v>
      </c>
      <c r="D81" s="3">
        <v>960</v>
      </c>
      <c r="E81" s="3" t="s">
        <v>32</v>
      </c>
      <c r="F81" s="226">
        <f>D81*14</f>
        <v>13440</v>
      </c>
      <c r="G81" s="329">
        <f>F81+1000+200+700</f>
        <v>15340</v>
      </c>
      <c r="H81" s="2">
        <v>45954</v>
      </c>
      <c r="I81" s="13"/>
      <c r="J81" s="13"/>
    </row>
    <row r="82" spans="1:13" x14ac:dyDescent="0.3">
      <c r="A82" s="3">
        <v>20</v>
      </c>
      <c r="B82" s="2">
        <v>45974</v>
      </c>
      <c r="C82" s="3" t="s">
        <v>174</v>
      </c>
      <c r="D82" s="3">
        <v>500</v>
      </c>
      <c r="E82" s="3" t="s">
        <v>550</v>
      </c>
      <c r="F82" s="226">
        <v>235000</v>
      </c>
      <c r="G82" s="329">
        <v>235000</v>
      </c>
      <c r="H82" s="2">
        <v>45974</v>
      </c>
      <c r="I82" s="13"/>
      <c r="J82" s="13"/>
    </row>
    <row r="83" spans="1:13" x14ac:dyDescent="0.3">
      <c r="A83" s="493">
        <v>21</v>
      </c>
      <c r="B83" s="373">
        <v>45983</v>
      </c>
      <c r="C83" s="3" t="s">
        <v>551</v>
      </c>
      <c r="D83" s="3" t="s">
        <v>50</v>
      </c>
      <c r="E83" s="3" t="s">
        <v>552</v>
      </c>
      <c r="F83" s="226">
        <v>2470</v>
      </c>
      <c r="G83" s="636">
        <f>53526+2470+1000+200+520</f>
        <v>57716</v>
      </c>
      <c r="H83" s="373">
        <v>45983</v>
      </c>
      <c r="I83" s="13"/>
      <c r="J83" s="13"/>
    </row>
    <row r="84" spans="1:13" x14ac:dyDescent="0.3">
      <c r="A84" s="495"/>
      <c r="B84" s="375"/>
      <c r="C84" s="3" t="s">
        <v>530</v>
      </c>
      <c r="D84" s="3" t="s">
        <v>50</v>
      </c>
      <c r="E84" s="3" t="s">
        <v>552</v>
      </c>
      <c r="F84" s="226">
        <v>53526</v>
      </c>
      <c r="G84" s="637"/>
      <c r="H84" s="375"/>
      <c r="I84" s="13"/>
      <c r="J84" s="13"/>
    </row>
    <row r="85" spans="1:13" x14ac:dyDescent="0.3">
      <c r="A85" s="493">
        <v>22</v>
      </c>
      <c r="B85" s="373">
        <v>45995</v>
      </c>
      <c r="C85" s="3" t="s">
        <v>554</v>
      </c>
      <c r="D85" s="3">
        <v>2500</v>
      </c>
      <c r="E85" s="3" t="s">
        <v>555</v>
      </c>
      <c r="F85" s="226">
        <v>36250</v>
      </c>
      <c r="G85" s="443">
        <v>69280</v>
      </c>
      <c r="H85" s="373">
        <v>45995</v>
      </c>
      <c r="I85" s="13"/>
      <c r="J85" s="13"/>
    </row>
    <row r="86" spans="1:13" x14ac:dyDescent="0.3">
      <c r="A86" s="495"/>
      <c r="B86" s="375"/>
      <c r="C86" s="3" t="s">
        <v>530</v>
      </c>
      <c r="D86" s="3">
        <v>11</v>
      </c>
      <c r="E86" s="3" t="s">
        <v>484</v>
      </c>
      <c r="F86" s="226">
        <v>27630</v>
      </c>
      <c r="G86" s="445"/>
      <c r="H86" s="375"/>
      <c r="I86" s="13"/>
      <c r="J86" s="13"/>
    </row>
    <row r="87" spans="1:13" x14ac:dyDescent="0.3">
      <c r="A87" s="493">
        <v>23</v>
      </c>
      <c r="B87" s="373">
        <v>46002</v>
      </c>
      <c r="C87" s="3" t="s">
        <v>554</v>
      </c>
      <c r="D87" s="3">
        <v>1000</v>
      </c>
      <c r="E87" s="3" t="s">
        <v>32</v>
      </c>
      <c r="F87" s="226">
        <v>14500</v>
      </c>
      <c r="G87" s="443">
        <v>21775</v>
      </c>
      <c r="H87" s="373">
        <v>46002</v>
      </c>
      <c r="I87" s="13"/>
      <c r="J87" s="13"/>
    </row>
    <row r="88" spans="1:13" x14ac:dyDescent="0.3">
      <c r="A88" s="495"/>
      <c r="B88" s="375"/>
      <c r="C88" s="3" t="s">
        <v>551</v>
      </c>
      <c r="D88" s="3">
        <v>2</v>
      </c>
      <c r="E88" s="3" t="s">
        <v>484</v>
      </c>
      <c r="F88" s="226">
        <v>5325</v>
      </c>
      <c r="G88" s="445"/>
      <c r="H88" s="375"/>
      <c r="I88" s="13"/>
      <c r="J88" s="13"/>
    </row>
    <row r="89" spans="1:13" x14ac:dyDescent="0.3">
      <c r="A89" s="3">
        <v>24</v>
      </c>
      <c r="B89" s="2">
        <v>46004</v>
      </c>
      <c r="C89" s="3" t="s">
        <v>554</v>
      </c>
      <c r="D89" s="3">
        <v>1000</v>
      </c>
      <c r="E89" s="3" t="s">
        <v>32</v>
      </c>
      <c r="F89" s="226">
        <v>14500</v>
      </c>
      <c r="G89" s="226">
        <v>16400</v>
      </c>
      <c r="H89" s="2">
        <v>46004</v>
      </c>
      <c r="I89" s="13"/>
      <c r="J89" s="13"/>
    </row>
    <row r="90" spans="1:13" x14ac:dyDescent="0.3">
      <c r="A90" s="3">
        <v>25</v>
      </c>
      <c r="B90" s="2">
        <v>46010</v>
      </c>
      <c r="C90" s="3" t="s">
        <v>174</v>
      </c>
      <c r="D90" s="3">
        <v>50</v>
      </c>
      <c r="E90" s="3" t="s">
        <v>175</v>
      </c>
      <c r="F90" s="237">
        <f>460*D90</f>
        <v>23000</v>
      </c>
      <c r="G90" s="235">
        <v>24700</v>
      </c>
      <c r="H90" s="3" t="s">
        <v>537</v>
      </c>
      <c r="I90" s="13"/>
      <c r="J90" s="13"/>
    </row>
    <row r="91" spans="1:13" x14ac:dyDescent="0.3">
      <c r="A91" s="3">
        <v>26</v>
      </c>
      <c r="B91" s="2">
        <v>46035</v>
      </c>
      <c r="C91" s="3" t="s">
        <v>174</v>
      </c>
      <c r="D91" s="3">
        <v>200</v>
      </c>
      <c r="E91" s="3" t="s">
        <v>175</v>
      </c>
      <c r="F91" s="237">
        <v>98000</v>
      </c>
      <c r="G91" s="235">
        <v>104800</v>
      </c>
      <c r="H91" s="2">
        <v>46035</v>
      </c>
      <c r="I91" s="13"/>
      <c r="J91" s="13"/>
      <c r="M91" s="360"/>
    </row>
    <row r="92" spans="1:13" x14ac:dyDescent="0.3">
      <c r="A92" s="3">
        <v>27</v>
      </c>
      <c r="B92" s="2">
        <v>46065</v>
      </c>
      <c r="C92" s="3" t="s">
        <v>171</v>
      </c>
      <c r="D92" s="3">
        <v>2000</v>
      </c>
      <c r="E92" s="3" t="s">
        <v>32</v>
      </c>
      <c r="F92" s="226">
        <v>29000</v>
      </c>
      <c r="G92" s="226">
        <v>32800</v>
      </c>
      <c r="H92" s="2">
        <v>46065</v>
      </c>
      <c r="I92" s="13"/>
      <c r="J92" s="13"/>
    </row>
    <row r="93" spans="1:13" x14ac:dyDescent="0.3">
      <c r="A93" s="376">
        <v>28</v>
      </c>
      <c r="B93" s="373">
        <v>46069</v>
      </c>
      <c r="C93" s="3" t="s">
        <v>174</v>
      </c>
      <c r="D93" s="3">
        <v>40</v>
      </c>
      <c r="E93" s="3" t="s">
        <v>175</v>
      </c>
      <c r="F93" s="226">
        <v>19600</v>
      </c>
      <c r="G93" s="443">
        <v>55727</v>
      </c>
      <c r="H93" s="373">
        <v>46069</v>
      </c>
      <c r="I93" s="13"/>
      <c r="J93" s="13"/>
      <c r="M93">
        <f>3.04*0.8*15</f>
        <v>36.480000000000004</v>
      </c>
    </row>
    <row r="94" spans="1:13" x14ac:dyDescent="0.3">
      <c r="A94" s="377"/>
      <c r="B94" s="374"/>
      <c r="C94" s="3" t="s">
        <v>566</v>
      </c>
      <c r="D94" s="3">
        <v>37</v>
      </c>
      <c r="E94" s="3" t="s">
        <v>32</v>
      </c>
      <c r="F94" s="226">
        <v>23434</v>
      </c>
      <c r="G94" s="444"/>
      <c r="H94" s="374"/>
      <c r="I94" s="13"/>
      <c r="J94" s="13"/>
    </row>
    <row r="95" spans="1:13" x14ac:dyDescent="0.3">
      <c r="A95" s="377"/>
      <c r="B95" s="374"/>
      <c r="C95" s="3" t="s">
        <v>567</v>
      </c>
      <c r="D95" s="3">
        <v>15</v>
      </c>
      <c r="E95" s="3" t="s">
        <v>32</v>
      </c>
      <c r="F95" s="226">
        <v>8143</v>
      </c>
      <c r="G95" s="444"/>
      <c r="H95" s="374"/>
      <c r="I95" s="13"/>
      <c r="J95" s="13"/>
    </row>
    <row r="96" spans="1:13" x14ac:dyDescent="0.3">
      <c r="A96" s="377"/>
      <c r="B96" s="374"/>
      <c r="C96" s="3" t="s">
        <v>568</v>
      </c>
      <c r="D96" s="3">
        <v>250</v>
      </c>
      <c r="E96" s="3" t="s">
        <v>32</v>
      </c>
      <c r="F96" s="226">
        <v>1750</v>
      </c>
      <c r="G96" s="444"/>
      <c r="H96" s="374"/>
      <c r="I96" s="13"/>
      <c r="J96" s="13"/>
    </row>
    <row r="97" spans="1:10" x14ac:dyDescent="0.3">
      <c r="A97" s="378"/>
      <c r="B97" s="375"/>
      <c r="C97" s="3" t="s">
        <v>569</v>
      </c>
      <c r="D97" s="3">
        <v>10</v>
      </c>
      <c r="E97" s="3" t="s">
        <v>82</v>
      </c>
      <c r="F97" s="226">
        <v>1000</v>
      </c>
      <c r="G97" s="445"/>
      <c r="H97" s="375"/>
      <c r="I97" s="13"/>
      <c r="J97" s="13"/>
    </row>
    <row r="98" spans="1:10" x14ac:dyDescent="0.3">
      <c r="A98" s="3">
        <v>29</v>
      </c>
      <c r="B98" s="2">
        <v>46076</v>
      </c>
      <c r="C98" s="3" t="s">
        <v>174</v>
      </c>
      <c r="D98" s="3">
        <v>150</v>
      </c>
      <c r="E98" s="3" t="s">
        <v>175</v>
      </c>
      <c r="F98" s="226">
        <v>73500</v>
      </c>
      <c r="G98" s="226">
        <v>78600</v>
      </c>
      <c r="H98" s="2">
        <v>46076</v>
      </c>
      <c r="I98" s="13"/>
      <c r="J98" s="13"/>
    </row>
    <row r="99" spans="1:10" x14ac:dyDescent="0.3">
      <c r="A99" s="3">
        <v>30</v>
      </c>
      <c r="B99" s="2">
        <v>46077</v>
      </c>
      <c r="C99" s="3" t="s">
        <v>171</v>
      </c>
      <c r="D99" s="3">
        <v>1000</v>
      </c>
      <c r="E99" s="3" t="s">
        <v>32</v>
      </c>
      <c r="F99" s="226">
        <v>14500</v>
      </c>
      <c r="G99" s="235">
        <v>16400</v>
      </c>
      <c r="H99" s="2">
        <v>46077</v>
      </c>
      <c r="I99" s="13"/>
      <c r="J99" s="13"/>
    </row>
    <row r="100" spans="1:10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3">
      <c r="A102" s="550" t="s">
        <v>98</v>
      </c>
      <c r="B102" s="551"/>
      <c r="C102" s="551"/>
      <c r="D102" s="551"/>
      <c r="E102" s="552"/>
      <c r="F102" s="352">
        <f>SUM(F64:F100)</f>
        <v>1203460</v>
      </c>
      <c r="G102" s="352">
        <f>SUM(G63:G100)</f>
        <v>1270730</v>
      </c>
      <c r="H102" s="353"/>
      <c r="I102" s="353"/>
      <c r="J102" s="353"/>
    </row>
  </sheetData>
  <mergeCells count="55">
    <mergeCell ref="Q68:R69"/>
    <mergeCell ref="C9:I9"/>
    <mergeCell ref="A1:J1"/>
    <mergeCell ref="L2:O2"/>
    <mergeCell ref="Q2:R2"/>
    <mergeCell ref="C6:I6"/>
    <mergeCell ref="C8:I8"/>
    <mergeCell ref="C51:I51"/>
    <mergeCell ref="A12:J12"/>
    <mergeCell ref="C14:I14"/>
    <mergeCell ref="C15:I15"/>
    <mergeCell ref="A16:J16"/>
    <mergeCell ref="C22:I22"/>
    <mergeCell ref="C28:I28"/>
    <mergeCell ref="L28:M28"/>
    <mergeCell ref="C36:I36"/>
    <mergeCell ref="C39:I39"/>
    <mergeCell ref="C43:I43"/>
    <mergeCell ref="C49:I49"/>
    <mergeCell ref="Q62:R62"/>
    <mergeCell ref="C54:I54"/>
    <mergeCell ref="F55:F56"/>
    <mergeCell ref="C57:I57"/>
    <mergeCell ref="C58:I58"/>
    <mergeCell ref="A59:E59"/>
    <mergeCell ref="G59:J59"/>
    <mergeCell ref="A60:E60"/>
    <mergeCell ref="F60:J60"/>
    <mergeCell ref="A61:J61"/>
    <mergeCell ref="A62:J62"/>
    <mergeCell ref="L62:O62"/>
    <mergeCell ref="G64:G68"/>
    <mergeCell ref="H64:H68"/>
    <mergeCell ref="G71:G74"/>
    <mergeCell ref="H71:H74"/>
    <mergeCell ref="G83:G84"/>
    <mergeCell ref="H83:H84"/>
    <mergeCell ref="G78:G79"/>
    <mergeCell ref="H78:H79"/>
    <mergeCell ref="L78:M78"/>
    <mergeCell ref="A102:E102"/>
    <mergeCell ref="G85:G86"/>
    <mergeCell ref="H85:H86"/>
    <mergeCell ref="B83:B84"/>
    <mergeCell ref="B85:B86"/>
    <mergeCell ref="A85:A86"/>
    <mergeCell ref="A83:A84"/>
    <mergeCell ref="B87:B88"/>
    <mergeCell ref="A87:A88"/>
    <mergeCell ref="G87:G88"/>
    <mergeCell ref="B93:B97"/>
    <mergeCell ref="A93:A97"/>
    <mergeCell ref="G93:G97"/>
    <mergeCell ref="H93:H97"/>
    <mergeCell ref="H87:H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MATARIAL DETAILS</vt:lpstr>
      <vt:lpstr>MODI &amp; CO</vt:lpstr>
      <vt:lpstr>SHEET</vt:lpstr>
      <vt:lpstr>GANGA NEW PART</vt:lpstr>
      <vt:lpstr>GANGA</vt:lpstr>
      <vt:lpstr>JAGDAMBA</vt:lpstr>
      <vt:lpstr>Sheet1</vt:lpstr>
      <vt:lpstr>KAMAKHYA</vt:lpstr>
      <vt:lpstr>local purches</vt:lpstr>
      <vt:lpstr>GANGA TILL-08.08.25</vt:lpstr>
      <vt:lpstr>Ganga Summary </vt:lpstr>
      <vt:lpstr>Jagadamba as per s 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Junaid Islam seikh</cp:lastModifiedBy>
  <cp:lastPrinted>2025-09-25T12:46:06Z</cp:lastPrinted>
  <dcterms:created xsi:type="dcterms:W3CDTF">2024-09-29T09:52:10Z</dcterms:created>
  <dcterms:modified xsi:type="dcterms:W3CDTF">2026-06-18T06:28:55Z</dcterms:modified>
</cp:coreProperties>
</file>